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isc\Desktop\Proyectos\The Cost of Distress Survival, Truncation Risk and Valuation\"/>
    </mc:Choice>
  </mc:AlternateContent>
  <xr:revisionPtr revIDLastSave="0" documentId="13_ncr:1_{4F0EE971-14DA-4962-8A9D-4E8A87E54DC4}" xr6:coauthVersionLast="47" xr6:coauthVersionMax="47" xr10:uidLastSave="{00000000-0000-0000-0000-000000000000}"/>
  <bookViews>
    <workbookView xWindow="-108" yWindow="-108" windowWidth="23256" windowHeight="12456" firstSheet="1" activeTab="1" xr2:uid="{83B6E8BD-79FA-43FA-A386-58515D28616E}"/>
  </bookViews>
  <sheets>
    <sheet name="Escenario Base" sheetId="3" state="hidden" r:id="rId1"/>
    <sheet name="Flujo de Caja" sheetId="1" r:id="rId2"/>
    <sheet name="Depreciacion" sheetId="2" state="hidden" r:id="rId3"/>
  </sheets>
  <definedNames>
    <definedName name="_xlnm._FilterDatabase" localSheetId="1" hidden="1">'Flujo de Caja'!$AA$1:$AB$101</definedName>
    <definedName name="_xlchart.v1.0" hidden="1">'Flujo de Caja'!$AA$2:$AA$10001</definedName>
    <definedName name="_xlchart.v1.1" hidden="1">'Flujo de Caja'!$AE$2:$AE$10001</definedName>
    <definedName name="_xlchart.v1.2" hidden="1">'Flujo de Caja'!$AD$2:$AD$10001</definedName>
    <definedName name="_xlchart.v1.3" hidden="1">'Flujo de Caja'!$AA$2:$AA$10001</definedName>
    <definedName name="_xlchart.v1.4" hidden="1">'Flujo de Caja'!$AE$2:$AE$10001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0" i="1" l="1"/>
  <c r="T11" i="1" s="1"/>
  <c r="S11" i="1" s="1"/>
  <c r="T8" i="1"/>
  <c r="S8" i="1" s="1"/>
  <c r="S10" i="1" l="1"/>
  <c r="T9" i="1"/>
  <c r="S9" i="1" s="1"/>
  <c r="I53" i="1" l="1"/>
  <c r="S6" i="1" l="1"/>
  <c r="T2" i="1"/>
  <c r="S4" i="1"/>
  <c r="D19" i="1"/>
  <c r="P19" i="1" s="1"/>
  <c r="B8" i="2"/>
  <c r="C8" i="2" s="1"/>
  <c r="D8" i="2" s="1"/>
  <c r="E8" i="2" s="1"/>
  <c r="D22" i="1"/>
  <c r="E22" i="1" s="1"/>
  <c r="I56" i="1"/>
  <c r="T13" i="1" s="1"/>
  <c r="J53" i="1"/>
  <c r="J54" i="1"/>
  <c r="I54" i="1"/>
  <c r="C38" i="1"/>
  <c r="C37" i="1"/>
  <c r="C36" i="1"/>
  <c r="C35" i="1"/>
  <c r="C34" i="1"/>
  <c r="C33" i="1"/>
  <c r="C32" i="1"/>
  <c r="C31" i="1"/>
  <c r="E31" i="3"/>
  <c r="C38" i="3"/>
  <c r="J19" i="3" s="1" a="1"/>
  <c r="M19" i="3" s="1"/>
  <c r="C37" i="3"/>
  <c r="C36" i="3"/>
  <c r="C35" i="3"/>
  <c r="C34" i="3"/>
  <c r="C33" i="3"/>
  <c r="C32" i="3"/>
  <c r="C31" i="3"/>
  <c r="J39" i="3"/>
  <c r="K39" i="3" s="1"/>
  <c r="L39" i="3" s="1"/>
  <c r="M39" i="3" s="1"/>
  <c r="N39" i="3" s="1"/>
  <c r="O39" i="3" s="1"/>
  <c r="P39" i="3" s="1"/>
  <c r="Q39" i="3" s="1"/>
  <c r="Q36" i="3"/>
  <c r="Q30" i="3"/>
  <c r="P30" i="3"/>
  <c r="O30" i="3"/>
  <c r="N30" i="3"/>
  <c r="Q24" i="3"/>
  <c r="P24" i="3"/>
  <c r="O24" i="3"/>
  <c r="N24" i="3"/>
  <c r="Q22" i="3"/>
  <c r="P22" i="3"/>
  <c r="O22" i="3"/>
  <c r="N22" i="3"/>
  <c r="K22" i="3"/>
  <c r="D22" i="3"/>
  <c r="M22" i="3" s="1"/>
  <c r="D21" i="3"/>
  <c r="M21" i="3" s="1"/>
  <c r="Q20" i="3"/>
  <c r="P20" i="3"/>
  <c r="O20" i="3"/>
  <c r="N20" i="3"/>
  <c r="M20" i="3"/>
  <c r="L20" i="3"/>
  <c r="K20" i="3"/>
  <c r="D20" i="3"/>
  <c r="J20" i="3" s="1"/>
  <c r="D19" i="3"/>
  <c r="P18" i="3"/>
  <c r="O18" i="3"/>
  <c r="N18" i="3"/>
  <c r="M18" i="3"/>
  <c r="Q15" i="3"/>
  <c r="Q13" i="3"/>
  <c r="Q16" i="3" s="1"/>
  <c r="I8" i="3"/>
  <c r="D6" i="3"/>
  <c r="D5" i="3"/>
  <c r="I7" i="3" s="1"/>
  <c r="D4" i="3"/>
  <c r="I5" i="3" s="1"/>
  <c r="D3" i="3"/>
  <c r="I4" i="3" s="1"/>
  <c r="D2" i="3"/>
  <c r="I3" i="3" s="1"/>
  <c r="J39" i="1"/>
  <c r="K39" i="1" s="1"/>
  <c r="L39" i="1" s="1"/>
  <c r="M39" i="1" s="1"/>
  <c r="N39" i="1" s="1"/>
  <c r="O39" i="1" s="1"/>
  <c r="P39" i="1" s="1"/>
  <c r="Q39" i="1" s="1"/>
  <c r="Q36" i="1"/>
  <c r="P18" i="1"/>
  <c r="O18" i="1"/>
  <c r="N18" i="1"/>
  <c r="M18" i="1"/>
  <c r="I9" i="2"/>
  <c r="Q24" i="1" s="1"/>
  <c r="Q30" i="1" s="1"/>
  <c r="H9" i="2"/>
  <c r="P24" i="1" s="1"/>
  <c r="P30" i="1" s="1"/>
  <c r="G9" i="2"/>
  <c r="F9" i="2"/>
  <c r="O24" i="1"/>
  <c r="O30" i="1" s="1"/>
  <c r="N24" i="1"/>
  <c r="N30" i="1" s="1"/>
  <c r="I8" i="1"/>
  <c r="D20" i="1"/>
  <c r="P20" i="1" s="1"/>
  <c r="Q13" i="1"/>
  <c r="Q16" i="1" s="1"/>
  <c r="Q15" i="1"/>
  <c r="D6" i="1"/>
  <c r="D4" i="1"/>
  <c r="I5" i="1" s="1"/>
  <c r="D21" i="1"/>
  <c r="J21" i="1" s="1"/>
  <c r="D5" i="1"/>
  <c r="I7" i="1" s="1"/>
  <c r="D3" i="1"/>
  <c r="I4" i="1" s="1"/>
  <c r="Q38" i="1" s="1"/>
  <c r="D2" i="1"/>
  <c r="E2" i="1" s="1"/>
  <c r="I6" i="3" l="1"/>
  <c r="E5" i="3"/>
  <c r="J37" i="3"/>
  <c r="K37" i="3"/>
  <c r="L37" i="3"/>
  <c r="M37" i="3"/>
  <c r="B7" i="2"/>
  <c r="K54" i="1"/>
  <c r="K53" i="1"/>
  <c r="Q19" i="1"/>
  <c r="J19" i="1"/>
  <c r="J25" i="1" s="1"/>
  <c r="K19" i="1"/>
  <c r="J10" i="1" s="1"/>
  <c r="L19" i="1"/>
  <c r="K10" i="1" s="1"/>
  <c r="M19" i="1"/>
  <c r="L10" i="1" s="1"/>
  <c r="N19" i="1"/>
  <c r="O19" i="1"/>
  <c r="J19" i="3"/>
  <c r="Q19" i="3"/>
  <c r="L19" i="3"/>
  <c r="K19" i="3"/>
  <c r="P19" i="3"/>
  <c r="O19" i="3"/>
  <c r="N19" i="3"/>
  <c r="Q38" i="3"/>
  <c r="P38" i="3"/>
  <c r="O38" i="3"/>
  <c r="K38" i="3"/>
  <c r="Q14" i="3"/>
  <c r="N38" i="3"/>
  <c r="M38" i="3"/>
  <c r="L38" i="3"/>
  <c r="J38" i="3"/>
  <c r="I2" i="3"/>
  <c r="E21" i="3"/>
  <c r="E19" i="3"/>
  <c r="K21" i="3"/>
  <c r="L21" i="3"/>
  <c r="N21" i="3"/>
  <c r="P37" i="3"/>
  <c r="E2" i="3"/>
  <c r="O21" i="3"/>
  <c r="Q37" i="3"/>
  <c r="E3" i="3"/>
  <c r="P21" i="3"/>
  <c r="Q21" i="3"/>
  <c r="E22" i="3"/>
  <c r="J22" i="3"/>
  <c r="J21" i="3"/>
  <c r="N37" i="3"/>
  <c r="O37" i="3"/>
  <c r="L22" i="3"/>
  <c r="I6" i="1"/>
  <c r="O37" i="1"/>
  <c r="P37" i="1"/>
  <c r="Q37" i="1"/>
  <c r="J38" i="1"/>
  <c r="J37" i="1"/>
  <c r="K38" i="1"/>
  <c r="L38" i="1"/>
  <c r="M38" i="1"/>
  <c r="N38" i="1"/>
  <c r="O38" i="1"/>
  <c r="N37" i="1"/>
  <c r="Q14" i="1"/>
  <c r="P38" i="1"/>
  <c r="K37" i="1"/>
  <c r="L37" i="1"/>
  <c r="M37" i="1"/>
  <c r="L22" i="1"/>
  <c r="M22" i="1"/>
  <c r="O21" i="1"/>
  <c r="P21" i="1"/>
  <c r="Q21" i="1"/>
  <c r="J22" i="1"/>
  <c r="K22" i="1"/>
  <c r="E21" i="1"/>
  <c r="M21" i="1"/>
  <c r="K21" i="1"/>
  <c r="L21" i="1"/>
  <c r="N21" i="1"/>
  <c r="Q20" i="1"/>
  <c r="E5" i="1"/>
  <c r="E19" i="1"/>
  <c r="K20" i="1"/>
  <c r="O22" i="1"/>
  <c r="L20" i="1"/>
  <c r="P22" i="1"/>
  <c r="M20" i="1"/>
  <c r="Q22" i="1"/>
  <c r="B2" i="2"/>
  <c r="C2" i="2" s="1"/>
  <c r="D2" i="2" s="1"/>
  <c r="E2" i="2" s="1"/>
  <c r="F2" i="2" s="1"/>
  <c r="I3" i="1"/>
  <c r="I2" i="1" s="1"/>
  <c r="N20" i="1"/>
  <c r="E3" i="1"/>
  <c r="J20" i="1"/>
  <c r="N22" i="1"/>
  <c r="B3" i="2"/>
  <c r="O20" i="1"/>
  <c r="Q12" i="1" l="1"/>
  <c r="Q18" i="1" s="1"/>
  <c r="B9" i="2"/>
  <c r="C7" i="2"/>
  <c r="J10" i="3"/>
  <c r="I10" i="3"/>
  <c r="I9" i="3" s="1"/>
  <c r="I18" i="3" s="1"/>
  <c r="I33" i="3" s="1"/>
  <c r="J25" i="3"/>
  <c r="L10" i="3"/>
  <c r="K10" i="3"/>
  <c r="I10" i="1"/>
  <c r="I9" i="1" s="1"/>
  <c r="I18" i="1" s="1"/>
  <c r="K9" i="1"/>
  <c r="L9" i="1"/>
  <c r="C3" i="2"/>
  <c r="B4" i="2"/>
  <c r="C9" i="2" l="1"/>
  <c r="D7" i="2"/>
  <c r="J24" i="1"/>
  <c r="J30" i="1" s="1"/>
  <c r="J24" i="3"/>
  <c r="J30" i="3" s="1"/>
  <c r="J23" i="1"/>
  <c r="J29" i="1" s="1"/>
  <c r="J23" i="3"/>
  <c r="J29" i="3" s="1"/>
  <c r="K9" i="3"/>
  <c r="K18" i="3" s="1"/>
  <c r="Q12" i="3"/>
  <c r="Q18" i="3" s="1"/>
  <c r="L9" i="3"/>
  <c r="I34" i="3"/>
  <c r="J9" i="3"/>
  <c r="K18" i="1"/>
  <c r="L18" i="1"/>
  <c r="L40" i="1"/>
  <c r="L42" i="1" s="1"/>
  <c r="J9" i="1"/>
  <c r="K40" i="1" s="1"/>
  <c r="K42" i="1" s="1"/>
  <c r="I33" i="1"/>
  <c r="I43" i="1" s="1"/>
  <c r="D3" i="2"/>
  <c r="C4" i="2"/>
  <c r="D9" i="2" l="1"/>
  <c r="E7" i="2"/>
  <c r="E9" i="2" s="1"/>
  <c r="K24" i="1"/>
  <c r="K30" i="1" s="1"/>
  <c r="K24" i="3"/>
  <c r="K30" i="3" s="1"/>
  <c r="J26" i="1"/>
  <c r="J27" i="1" s="1"/>
  <c r="K25" i="1" s="1"/>
  <c r="J26" i="3"/>
  <c r="J27" i="3" s="1"/>
  <c r="K25" i="3" s="1"/>
  <c r="K23" i="1"/>
  <c r="K29" i="1" s="1"/>
  <c r="K23" i="3"/>
  <c r="K29" i="3" s="1"/>
  <c r="K40" i="3"/>
  <c r="J18" i="3"/>
  <c r="N40" i="3"/>
  <c r="P40" i="3"/>
  <c r="O40" i="3"/>
  <c r="M40" i="3"/>
  <c r="J40" i="3"/>
  <c r="Q40" i="3"/>
  <c r="I35" i="3"/>
  <c r="L18" i="3"/>
  <c r="L40" i="3"/>
  <c r="J18" i="1"/>
  <c r="Q40" i="1"/>
  <c r="Q42" i="1" s="1"/>
  <c r="P40" i="1"/>
  <c r="P42" i="1" s="1"/>
  <c r="O40" i="1"/>
  <c r="O42" i="1" s="1"/>
  <c r="N40" i="1"/>
  <c r="N42" i="1" s="1"/>
  <c r="M40" i="1"/>
  <c r="M42" i="1" s="1"/>
  <c r="J40" i="1"/>
  <c r="J42" i="1" s="1"/>
  <c r="I34" i="1"/>
  <c r="D4" i="2"/>
  <c r="E3" i="2"/>
  <c r="M24" i="1" l="1"/>
  <c r="M30" i="1" s="1"/>
  <c r="M24" i="3"/>
  <c r="M30" i="3" s="1"/>
  <c r="L24" i="1"/>
  <c r="L30" i="1" s="1"/>
  <c r="L24" i="3"/>
  <c r="L30" i="3" s="1"/>
  <c r="K26" i="1"/>
  <c r="K27" i="1" s="1"/>
  <c r="L25" i="1" s="1"/>
  <c r="I35" i="1"/>
  <c r="J43" i="1" s="1"/>
  <c r="J28" i="3"/>
  <c r="J31" i="3" s="1"/>
  <c r="J33" i="3" s="1"/>
  <c r="K26" i="3"/>
  <c r="L23" i="1"/>
  <c r="L29" i="1" s="1"/>
  <c r="L23" i="3"/>
  <c r="L29" i="3" s="1"/>
  <c r="E4" i="2"/>
  <c r="F3" i="2"/>
  <c r="J28" i="1"/>
  <c r="J31" i="1" s="1"/>
  <c r="J33" i="1" s="1"/>
  <c r="J34" i="1" s="1"/>
  <c r="L26" i="1" l="1"/>
  <c r="L27" i="1" s="1"/>
  <c r="M25" i="1" s="1"/>
  <c r="J34" i="3"/>
  <c r="J35" i="3" s="1"/>
  <c r="K27" i="3"/>
  <c r="L25" i="3" s="1"/>
  <c r="L26" i="3" s="1"/>
  <c r="M23" i="1"/>
  <c r="M29" i="1" s="1"/>
  <c r="M23" i="3"/>
  <c r="M29" i="3" s="1"/>
  <c r="J44" i="1"/>
  <c r="F4" i="2"/>
  <c r="G3" i="2"/>
  <c r="K28" i="1"/>
  <c r="K31" i="1" s="1"/>
  <c r="K33" i="1" s="1"/>
  <c r="K34" i="1" s="1"/>
  <c r="L27" i="3" l="1"/>
  <c r="M25" i="3" s="1"/>
  <c r="M26" i="3" s="1"/>
  <c r="M27" i="3" s="1"/>
  <c r="N25" i="3" s="1"/>
  <c r="K28" i="3"/>
  <c r="K31" i="3" s="1"/>
  <c r="K33" i="3" s="1"/>
  <c r="K44" i="1"/>
  <c r="J35" i="1"/>
  <c r="K35" i="1" s="1"/>
  <c r="N23" i="1"/>
  <c r="N29" i="1" s="1"/>
  <c r="N23" i="3"/>
  <c r="N29" i="3" s="1"/>
  <c r="M26" i="1"/>
  <c r="M27" i="1" s="1"/>
  <c r="N25" i="1" s="1"/>
  <c r="L28" i="1"/>
  <c r="L31" i="1" s="1"/>
  <c r="G4" i="2"/>
  <c r="H3" i="2"/>
  <c r="K34" i="3" l="1"/>
  <c r="K35" i="3" s="1"/>
  <c r="N26" i="3"/>
  <c r="N27" i="3" s="1"/>
  <c r="O25" i="3" s="1"/>
  <c r="L28" i="3"/>
  <c r="L31" i="3" s="1"/>
  <c r="L33" i="3" s="1"/>
  <c r="L34" i="3" s="1"/>
  <c r="M28" i="3"/>
  <c r="M31" i="3" s="1"/>
  <c r="M33" i="3" s="1"/>
  <c r="M34" i="3" s="1"/>
  <c r="L33" i="1"/>
  <c r="K43" i="1"/>
  <c r="L43" i="1"/>
  <c r="N26" i="1"/>
  <c r="N27" i="1" s="1"/>
  <c r="O25" i="1" s="1"/>
  <c r="O23" i="1"/>
  <c r="O29" i="1" s="1"/>
  <c r="O23" i="3"/>
  <c r="O29" i="3" s="1"/>
  <c r="M28" i="1"/>
  <c r="M31" i="1" s="1"/>
  <c r="M33" i="1" s="1"/>
  <c r="M34" i="1" s="1"/>
  <c r="H4" i="2"/>
  <c r="I3" i="2"/>
  <c r="J3" i="2" s="1"/>
  <c r="L35" i="3" l="1"/>
  <c r="M35" i="3" s="1"/>
  <c r="N28" i="3"/>
  <c r="N31" i="3" s="1"/>
  <c r="N33" i="3" s="1"/>
  <c r="N34" i="3" s="1"/>
  <c r="L34" i="1"/>
  <c r="L44" i="1" s="1"/>
  <c r="M44" i="1" s="1"/>
  <c r="O26" i="1"/>
  <c r="O27" i="1" s="1"/>
  <c r="P25" i="1" s="1"/>
  <c r="O26" i="3"/>
  <c r="O27" i="3" s="1"/>
  <c r="P25" i="3" s="1"/>
  <c r="P23" i="1"/>
  <c r="P29" i="1" s="1"/>
  <c r="P23" i="3"/>
  <c r="P29" i="3" s="1"/>
  <c r="N28" i="1"/>
  <c r="N31" i="1" s="1"/>
  <c r="N33" i="1" s="1"/>
  <c r="N34" i="1" s="1"/>
  <c r="I4" i="2"/>
  <c r="N35" i="3" l="1"/>
  <c r="O28" i="3"/>
  <c r="O31" i="3" s="1"/>
  <c r="O33" i="3" s="1"/>
  <c r="O34" i="3" s="1"/>
  <c r="L35" i="1"/>
  <c r="M43" i="1" s="1"/>
  <c r="N44" i="1"/>
  <c r="Q23" i="1"/>
  <c r="Q29" i="1" s="1"/>
  <c r="Q23" i="3"/>
  <c r="Q29" i="3" s="1"/>
  <c r="P26" i="3"/>
  <c r="P27" i="3" s="1"/>
  <c r="Q25" i="3" s="1"/>
  <c r="P26" i="1"/>
  <c r="P27" i="1" s="1"/>
  <c r="Q25" i="1" s="1"/>
  <c r="O28" i="1"/>
  <c r="O31" i="1" s="1"/>
  <c r="O33" i="1" s="1"/>
  <c r="O34" i="1" s="1"/>
  <c r="Q26" i="3" l="1"/>
  <c r="Q27" i="3" s="1"/>
  <c r="Q28" i="3" s="1"/>
  <c r="Q31" i="3" s="1"/>
  <c r="Q33" i="3" s="1"/>
  <c r="Q34" i="3" s="1"/>
  <c r="P28" i="3"/>
  <c r="P31" i="3" s="1"/>
  <c r="P33" i="3" s="1"/>
  <c r="M35" i="1"/>
  <c r="N35" i="1" s="1"/>
  <c r="O43" i="1" s="1"/>
  <c r="Q26" i="1"/>
  <c r="Q27" i="1" s="1"/>
  <c r="Q28" i="1" s="1"/>
  <c r="Q31" i="1" s="1"/>
  <c r="Q33" i="1" s="1"/>
  <c r="Q34" i="1" s="1"/>
  <c r="O35" i="3"/>
  <c r="O44" i="1"/>
  <c r="P28" i="1"/>
  <c r="P31" i="1" s="1"/>
  <c r="P33" i="1" s="1"/>
  <c r="P34" i="1" s="1"/>
  <c r="I48" i="3" l="1"/>
  <c r="I47" i="3"/>
  <c r="P34" i="3"/>
  <c r="I46" i="3" s="1"/>
  <c r="I44" i="3" a="1"/>
  <c r="I44" i="3" s="1"/>
  <c r="P35" i="3"/>
  <c r="Q35" i="3" s="1"/>
  <c r="I49" i="3" s="1"/>
  <c r="I52" i="3" s="1"/>
  <c r="N43" i="1"/>
  <c r="P44" i="1"/>
  <c r="O35" i="1"/>
  <c r="P35" i="1" s="1"/>
  <c r="I48" i="1"/>
  <c r="I47" i="1"/>
  <c r="T4" i="1" s="1"/>
  <c r="Q44" i="1" l="1"/>
  <c r="I52" i="1" s="1" a="1"/>
  <c r="I52" i="1" s="1"/>
  <c r="I46" i="1"/>
  <c r="T5" i="1" s="1"/>
  <c r="Q35" i="1"/>
  <c r="I49" i="1" s="1"/>
  <c r="T6" i="1" s="1"/>
  <c r="Q43" i="1"/>
  <c r="I51" i="1" s="1"/>
  <c r="P43" i="1"/>
</calcChain>
</file>

<file path=xl/sharedStrings.xml><?xml version="1.0" encoding="utf-8"?>
<sst xmlns="http://schemas.openxmlformats.org/spreadsheetml/2006/main" count="215" uniqueCount="101">
  <si>
    <t>Concepto</t>
  </si>
  <si>
    <t>Valor</t>
  </si>
  <si>
    <t>Notas</t>
  </si>
  <si>
    <t>Maquinaria</t>
  </si>
  <si>
    <t>Monto bruto IVA</t>
  </si>
  <si>
    <t>Obras civiles</t>
  </si>
  <si>
    <t>Terreno</t>
  </si>
  <si>
    <t>Ingeniería del proyecto</t>
  </si>
  <si>
    <t>Gastos preoperacionales</t>
  </si>
  <si>
    <t>Capital de trabajo</t>
  </si>
  <si>
    <t>De las ventas brutas</t>
  </si>
  <si>
    <t>Vida útil maquinaria</t>
  </si>
  <si>
    <t>Años</t>
  </si>
  <si>
    <t>Vida contable maquinaria</t>
  </si>
  <si>
    <t>Vida contable obras civiles</t>
  </si>
  <si>
    <t>Amortización inversión diferida</t>
  </si>
  <si>
    <t>Capacidad producción</t>
  </si>
  <si>
    <t>Unidades/año</t>
  </si>
  <si>
    <t>Utilización año 1</t>
  </si>
  <si>
    <t>Utilización año 2</t>
  </si>
  <si>
    <t>Utilización año 3</t>
  </si>
  <si>
    <t>Utilización año 4+</t>
  </si>
  <si>
    <t>Precio venta</t>
  </si>
  <si>
    <t>Por unidad</t>
  </si>
  <si>
    <t>Costo variable</t>
  </si>
  <si>
    <t>100% con crédito fiscal</t>
  </si>
  <si>
    <t>Costo fijo</t>
  </si>
  <si>
    <t>70% tiene CF</t>
  </si>
  <si>
    <t>Gasto administración</t>
  </si>
  <si>
    <t>60% tiene CF</t>
  </si>
  <si>
    <t>Rentabilidad requerida</t>
  </si>
  <si>
    <t>Periodo recuperación máximo</t>
  </si>
  <si>
    <t>Valor residual maquinaria</t>
  </si>
  <si>
    <t>Del valor bruto</t>
  </si>
  <si>
    <t>Valor residual obras civiles</t>
  </si>
  <si>
    <t>Valor contable</t>
  </si>
  <si>
    <t>Valor residual terreno</t>
  </si>
  <si>
    <t>Valor compra</t>
  </si>
  <si>
    <t>Año</t>
  </si>
  <si>
    <t>Utilización</t>
  </si>
  <si>
    <t>Producción unidades</t>
  </si>
  <si>
    <t>Tipo</t>
  </si>
  <si>
    <t>Monto</t>
  </si>
  <si>
    <t>Base</t>
  </si>
  <si>
    <t>Unitario</t>
  </si>
  <si>
    <t>por unidad</t>
  </si>
  <si>
    <t>Anual</t>
  </si>
  <si>
    <t>Valor Sin IVA</t>
  </si>
  <si>
    <t>IVA</t>
  </si>
  <si>
    <t>Activo Fijo</t>
  </si>
  <si>
    <t>Obras Civiles</t>
  </si>
  <si>
    <t>Activo Diferido</t>
  </si>
  <si>
    <t>Valor Terminal</t>
  </si>
  <si>
    <t>Flujo de inversion</t>
  </si>
  <si>
    <t>Ventas</t>
  </si>
  <si>
    <t>Costo Variable</t>
  </si>
  <si>
    <t>Costo Fijo</t>
  </si>
  <si>
    <t>Gastos de Admin</t>
  </si>
  <si>
    <t>Depreciacion</t>
  </si>
  <si>
    <t>Depreciación</t>
  </si>
  <si>
    <t>Amortización</t>
  </si>
  <si>
    <t>IT Efectivo</t>
  </si>
  <si>
    <t>UAI</t>
  </si>
  <si>
    <t>IUE</t>
  </si>
  <si>
    <t>UDI</t>
  </si>
  <si>
    <t>Flujo de operación</t>
  </si>
  <si>
    <t>Valor Terminal contable</t>
  </si>
  <si>
    <t>Inversion Diferida</t>
  </si>
  <si>
    <t>Amortizacion</t>
  </si>
  <si>
    <t>Flujo de caja libre</t>
  </si>
  <si>
    <t>Capital de trabajo Necesario</t>
  </si>
  <si>
    <t>Efecto impositivo</t>
  </si>
  <si>
    <t>Flujos descontados</t>
  </si>
  <si>
    <t>VAN</t>
  </si>
  <si>
    <t>TIR</t>
  </si>
  <si>
    <t>TIRM</t>
  </si>
  <si>
    <t>Periodo de recuperacion</t>
  </si>
  <si>
    <t>Liquidacion Anticipada de Activos</t>
  </si>
  <si>
    <t>Liquidacion Anticipada de Maquinaria</t>
  </si>
  <si>
    <t>Liquidacion Anticipada de Obras Civiles</t>
  </si>
  <si>
    <t>Liquidacion Anticipada de Terreno</t>
  </si>
  <si>
    <t>Liquidacion Anticipada Capital de Trabajo</t>
  </si>
  <si>
    <t>Años →</t>
  </si>
  <si>
    <t>Valor Terminal Liquidacion Anticipada de Activos</t>
  </si>
  <si>
    <t>Flujos descontados Acum</t>
  </si>
  <si>
    <t>Valor de Liquidacion Anticipada de Activos (% del valor de compra)</t>
  </si>
  <si>
    <t>Flujo Acum (-1) + Valor Terminal Liquidacion Anticipada de Activos</t>
  </si>
  <si>
    <t>VAN Fracaso</t>
  </si>
  <si>
    <t>Flag</t>
  </si>
  <si>
    <t>Prob Fracaso</t>
  </si>
  <si>
    <t>Prob Exit</t>
  </si>
  <si>
    <t>Vanf</t>
  </si>
  <si>
    <t>Van Esperado</t>
  </si>
  <si>
    <t>Tasa de Descuento</t>
  </si>
  <si>
    <t>Tiempo de Vida del Proyecto</t>
  </si>
  <si>
    <t>VAN ESPERADO</t>
  </si>
  <si>
    <t>VAN Liquidacion de Activos</t>
  </si>
  <si>
    <t>VAN Sin escenarios de quiebre</t>
  </si>
  <si>
    <t>Ejemplo</t>
  </si>
  <si>
    <t>VAN Simulado</t>
  </si>
  <si>
    <t>IVA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</si>
</sst>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00"/>
    <numFmt numFmtId="165" formatCode="0.0"/>
    <numFmt numFmtId="167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6">
    <xf numFmtId="0" fontId="0" fillId="0" borderId="0" xfId="0"/>
    <xf numFmtId="9" fontId="0" fillId="0" borderId="0" xfId="0" applyNumberFormat="1"/>
    <xf numFmtId="0" fontId="1" fillId="0" borderId="0" xfId="0" applyFont="1"/>
    <xf numFmtId="3" fontId="0" fillId="0" borderId="0" xfId="0" applyNumberFormat="1"/>
    <xf numFmtId="0" fontId="2" fillId="0" borderId="0" xfId="0" applyFont="1"/>
    <xf numFmtId="4" fontId="0" fillId="0" borderId="0" xfId="0" applyNumberFormat="1"/>
    <xf numFmtId="0" fontId="0" fillId="0" borderId="0" xfId="0" applyFont="1"/>
    <xf numFmtId="8" fontId="0" fillId="0" borderId="0" xfId="0" applyNumberFormat="1"/>
    <xf numFmtId="0" fontId="3" fillId="0" borderId="0" xfId="0" applyFont="1"/>
    <xf numFmtId="10" fontId="0" fillId="0" borderId="0" xfId="0" applyNumberFormat="1"/>
    <xf numFmtId="3" fontId="1" fillId="0" borderId="0" xfId="0" applyNumberFormat="1" applyFont="1"/>
    <xf numFmtId="9" fontId="5" fillId="0" borderId="0" xfId="0" applyNumberFormat="1" applyFont="1"/>
    <xf numFmtId="3" fontId="5" fillId="0" borderId="0" xfId="0" applyNumberFormat="1" applyFont="1"/>
    <xf numFmtId="0" fontId="0" fillId="2" borderId="0" xfId="0" applyFill="1"/>
    <xf numFmtId="9" fontId="0" fillId="2" borderId="0" xfId="0" applyNumberFormat="1" applyFill="1"/>
    <xf numFmtId="0" fontId="0" fillId="0" borderId="0" xfId="0" applyAlignment="1">
      <alignment horizontal="right"/>
    </xf>
    <xf numFmtId="3" fontId="4" fillId="0" borderId="0" xfId="0" applyNumberFormat="1" applyFont="1"/>
    <xf numFmtId="4" fontId="4" fillId="0" borderId="0" xfId="0" applyNumberFormat="1" applyFont="1"/>
    <xf numFmtId="9" fontId="0" fillId="0" borderId="0" xfId="0" applyNumberFormat="1" applyFill="1"/>
    <xf numFmtId="164" fontId="0" fillId="0" borderId="0" xfId="0" applyNumberFormat="1"/>
    <xf numFmtId="165" fontId="0" fillId="0" borderId="0" xfId="0" applyNumberFormat="1"/>
    <xf numFmtId="44" fontId="1" fillId="0" borderId="0" xfId="1" applyFont="1"/>
    <xf numFmtId="44" fontId="8" fillId="0" borderId="0" xfId="1" applyFont="1"/>
    <xf numFmtId="44" fontId="4" fillId="0" borderId="0" xfId="0" applyNumberFormat="1" applyFont="1"/>
    <xf numFmtId="0" fontId="9" fillId="0" borderId="0" xfId="0" applyFont="1"/>
    <xf numFmtId="3" fontId="9" fillId="0" borderId="0" xfId="0" applyNumberFormat="1" applyFont="1"/>
    <xf numFmtId="40" fontId="7" fillId="0" borderId="0" xfId="1" applyNumberFormat="1" applyFont="1"/>
    <xf numFmtId="0" fontId="10" fillId="0" borderId="2" xfId="0" applyFont="1" applyBorder="1"/>
    <xf numFmtId="0" fontId="10" fillId="0" borderId="4" xfId="0" applyFont="1" applyBorder="1"/>
    <xf numFmtId="8" fontId="11" fillId="0" borderId="5" xfId="0" applyNumberFormat="1" applyFont="1" applyBorder="1" applyAlignment="1">
      <alignment horizontal="center"/>
    </xf>
    <xf numFmtId="4" fontId="11" fillId="0" borderId="5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7" fontId="0" fillId="0" borderId="0" xfId="0" applyNumberFormat="1"/>
    <xf numFmtId="167" fontId="11" fillId="0" borderId="3" xfId="0" applyNumberFormat="1" applyFont="1" applyBorder="1" applyAlignment="1">
      <alignment horizontal="center"/>
    </xf>
    <xf numFmtId="167" fontId="11" fillId="0" borderId="5" xfId="0" applyNumberFormat="1" applyFont="1" applyBorder="1" applyAlignment="1">
      <alignment horizontal="center"/>
    </xf>
    <xf numFmtId="0" fontId="0" fillId="0" borderId="0" xfId="0" applyBorder="1"/>
    <xf numFmtId="0" fontId="10" fillId="3" borderId="6" xfId="0" applyFont="1" applyFill="1" applyBorder="1"/>
    <xf numFmtId="8" fontId="11" fillId="3" borderId="7" xfId="0" applyNumberFormat="1" applyFont="1" applyFill="1" applyBorder="1" applyAlignment="1">
      <alignment horizontal="center"/>
    </xf>
    <xf numFmtId="0" fontId="12" fillId="4" borderId="4" xfId="0" applyFont="1" applyFill="1" applyBorder="1"/>
    <xf numFmtId="9" fontId="12" fillId="4" borderId="5" xfId="0" applyNumberFormat="1" applyFont="1" applyFill="1" applyBorder="1" applyAlignment="1">
      <alignment horizontal="center"/>
    </xf>
    <xf numFmtId="0" fontId="3" fillId="4" borderId="4" xfId="0" applyFont="1" applyFill="1" applyBorder="1"/>
    <xf numFmtId="0" fontId="10" fillId="4" borderId="4" xfId="0" applyFont="1" applyFill="1" applyBorder="1"/>
    <xf numFmtId="8" fontId="11" fillId="4" borderId="5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COSTO VARIABLE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/>
          </a:pPr>
          <a:r>
            <a:rPr lang="es-E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COSTO VARIABLE</a:t>
          </a:r>
        </a:p>
      </cx:txPr>
    </cx:title>
    <cx:plotArea>
      <cx:plotAreaRegion>
        <cx:series layoutId="clusteredColumn" uniqueId="{1C40B54E-7560-4F97-B767-0B09EB17FA0E}"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#,##0.0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VAN ESPERADO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r>
            <a: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VAN ESPERADO</a:t>
          </a:r>
        </a:p>
      </cx:txPr>
    </cx:title>
    <cx:plotArea>
      <cx:plotAreaRegion>
        <cx:series layoutId="clusteredColumn" uniqueId="{CCC80338-7C79-47BE-A14D-C295B4BF8787}">
          <cx:dataPt idx="6">
            <cx:spPr>
              <a:solidFill>
                <a:srgbClr val="FF0000"/>
              </a:solidFill>
            </cx:spPr>
          </cx:dataPt>
          <cx:dataPt idx="7">
            <cx:spPr>
              <a:solidFill>
                <a:srgbClr val="FF0000"/>
              </a:solidFill>
            </cx:spPr>
          </cx:dataPt>
          <cx:dataPt idx="8">
            <cx:spPr>
              <a:solidFill>
                <a:srgbClr val="FF0000"/>
              </a:solidFill>
            </cx:spPr>
          </cx:dataPt>
          <cx:dataPt idx="9">
            <cx:spPr>
              <a:solidFill>
                <a:srgbClr val="FF0000"/>
              </a:solidFill>
            </cx:spPr>
          </cx:dataPt>
          <cx:dataPt idx="10">
            <cx:spPr>
              <a:solidFill>
                <a:srgbClr val="FF0000"/>
              </a:solidFill>
            </cx:spPr>
          </cx:dataPt>
          <cx:dataPt idx="11">
            <cx:spPr>
              <a:solidFill>
                <a:srgbClr val="FF0000"/>
              </a:solidFill>
            </cx:spPr>
          </cx:dataPt>
          <cx:dataPt idx="12">
            <cx:spPr>
              <a:solidFill>
                <a:srgbClr val="FF0000"/>
              </a:solidFill>
            </cx:spPr>
          </cx:dataPt>
          <cx:dataPt idx="13">
            <cx:spPr>
              <a:solidFill>
                <a:srgbClr val="FF0000"/>
              </a:solidFill>
            </cx:spPr>
          </cx:dataPt>
          <cx:dataPt idx="14">
            <cx:spPr>
              <a:solidFill>
                <a:srgbClr val="FF0000"/>
              </a:solidFill>
            </cx:spPr>
          </cx:dataPt>
          <cx:dataPt idx="15">
            <cx:spPr>
              <a:solidFill>
                <a:srgbClr val="FF0000"/>
              </a:solidFill>
            </cx:spPr>
          </cx:dataPt>
          <cx:dataPt idx="16">
            <cx:spPr>
              <a:solidFill>
                <a:srgbClr val="FF0000"/>
              </a:solidFill>
            </cx:spPr>
          </cx:dataPt>
          <cx:dataPt idx="17">
            <cx:spPr>
              <a:solidFill>
                <a:srgbClr val="FF0000"/>
              </a:solidFill>
            </cx:spPr>
          </cx:dataPt>
          <cx:dataPt idx="18">
            <cx:spPr>
              <a:solidFill>
                <a:srgbClr val="FF0000"/>
              </a:solidFill>
            </cx:spPr>
          </cx:dataPt>
          <cx:dataPt idx="19">
            <cx:spPr>
              <a:solidFill>
                <a:srgbClr val="FF0000"/>
              </a:solidFill>
            </cx:spPr>
          </cx:dataPt>
          <cx:dataPt idx="20">
            <cx:spPr>
              <a:solidFill>
                <a:srgbClr val="FF0000"/>
              </a:solidFill>
            </cx:spPr>
          </cx:dataPt>
          <cx:dataPt idx="21">
            <cx:spPr>
              <a:solidFill>
                <a:srgbClr val="FF0000"/>
              </a:solidFill>
            </cx:spPr>
          </cx:dataPt>
          <cx:dataPt idx="22">
            <cx:spPr>
              <a:solidFill>
                <a:srgbClr val="FF0000"/>
              </a:solidFill>
            </cx:spPr>
          </cx:dataPt>
          <cx:dataPt idx="23">
            <cx:spPr>
              <a:solidFill>
                <a:srgbClr val="FF0000"/>
              </a:solidFill>
            </cx:spPr>
          </cx:dataPt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PRECIOS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Narrow" panose="020B0606020202030204" pitchFamily="34" charset="0"/>
            </a:rPr>
            <a:t>PRECIOS</a:t>
          </a:r>
        </a:p>
      </cx:txPr>
    </cx:title>
    <cx:plotArea>
      <cx:plotAreaRegion>
        <cx:series layoutId="clusteredColumn" uniqueId="{27C1C79C-F77E-4422-BD0C-4962A448591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COSTO VARIABLE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Narrow" panose="020B0606020202030204" pitchFamily="34" charset="0"/>
            </a:rPr>
            <a:t>COSTO VARIABLE</a:t>
          </a:r>
        </a:p>
      </cx:txPr>
    </cx:title>
    <cx:plotArea>
      <cx:plotAreaRegion>
        <cx:series layoutId="clusteredColumn" uniqueId="{33244E0A-EDD0-456A-ACE4-D99F10E4ACE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VAN ESPERADO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/>
          </a:pPr>
          <a:r>
            <a: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VAN ESPERADO</a:t>
          </a:r>
        </a:p>
      </cx:txPr>
    </cx:title>
    <cx:plotArea>
      <cx:plotAreaRegion>
        <cx:series layoutId="clusteredColumn" uniqueId="{CCC80338-7C79-47BE-A14D-C295B4BF8787}">
          <cx:dataPt idx="6">
            <cx:spPr>
              <a:solidFill>
                <a:srgbClr val="FF0000"/>
              </a:solidFill>
            </cx:spPr>
          </cx:dataPt>
          <cx:dataPt idx="7">
            <cx:spPr>
              <a:solidFill>
                <a:srgbClr val="FF0000"/>
              </a:solidFill>
            </cx:spPr>
          </cx:dataPt>
          <cx:dataPt idx="8">
            <cx:spPr>
              <a:solidFill>
                <a:srgbClr val="FF0000"/>
              </a:solidFill>
            </cx:spPr>
          </cx:dataPt>
          <cx:dataPt idx="9">
            <cx:spPr>
              <a:solidFill>
                <a:srgbClr val="FF0000"/>
              </a:solidFill>
            </cx:spPr>
          </cx:dataPt>
          <cx:dataPt idx="10">
            <cx:spPr>
              <a:solidFill>
                <a:srgbClr val="FF0000"/>
              </a:solidFill>
            </cx:spPr>
          </cx:dataPt>
          <cx:dataPt idx="11">
            <cx:spPr>
              <a:solidFill>
                <a:srgbClr val="FF0000"/>
              </a:solidFill>
            </cx:spPr>
          </cx:dataPt>
          <cx:dataPt idx="12">
            <cx:spPr>
              <a:solidFill>
                <a:srgbClr val="FF0000"/>
              </a:solidFill>
            </cx:spPr>
          </cx:dataPt>
          <cx:dataPt idx="13">
            <cx:spPr>
              <a:solidFill>
                <a:srgbClr val="FF0000"/>
              </a:solidFill>
            </cx:spPr>
          </cx:dataPt>
          <cx:dataPt idx="14">
            <cx:spPr>
              <a:solidFill>
                <a:srgbClr val="FF0000"/>
              </a:solidFill>
            </cx:spPr>
          </cx:dataPt>
          <cx:dataPt idx="15">
            <cx:spPr>
              <a:solidFill>
                <a:srgbClr val="FF0000"/>
              </a:solidFill>
            </cx:spPr>
          </cx:dataPt>
          <cx:dataPt idx="16">
            <cx:spPr>
              <a:solidFill>
                <a:srgbClr val="FF0000"/>
              </a:solidFill>
            </cx:spPr>
          </cx:dataPt>
          <cx:dataPt idx="17">
            <cx:spPr>
              <a:solidFill>
                <a:srgbClr val="FF0000"/>
              </a:solidFill>
            </cx:spPr>
          </cx:dataPt>
          <cx:dataPt idx="18">
            <cx:spPr>
              <a:solidFill>
                <a:srgbClr val="FF0000"/>
              </a:solidFill>
            </cx:spPr>
          </cx:dataPt>
          <cx:dataPt idx="19">
            <cx:spPr>
              <a:solidFill>
                <a:srgbClr val="FF0000"/>
              </a:solidFill>
            </cx:spPr>
          </cx:dataPt>
          <cx:dataPt idx="20">
            <cx:spPr>
              <a:solidFill>
                <a:srgbClr val="FF0000"/>
              </a:solidFill>
            </cx:spPr>
          </cx:dataPt>
          <cx:dataPt idx="21">
            <cx:spPr>
              <a:solidFill>
                <a:srgbClr val="FF0000"/>
              </a:solidFill>
            </cx:spPr>
          </cx:dataPt>
          <cx:dataPt idx="22">
            <cx:spPr>
              <a:solidFill>
                <a:srgbClr val="FF0000"/>
              </a:solidFill>
            </cx:spPr>
          </cx:dataPt>
          <cx:dataPt idx="23">
            <cx:spPr>
              <a:solidFill>
                <a:srgbClr val="FF0000"/>
              </a:solidFill>
            </cx:spPr>
          </cx:dataPt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image" Target="../media/image1.emf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10051</xdr:row>
      <xdr:rowOff>65443</xdr:rowOff>
    </xdr:from>
    <xdr:to>
      <xdr:col>12</xdr:col>
      <xdr:colOff>885059</xdr:colOff>
      <xdr:row>10075</xdr:row>
      <xdr:rowOff>170899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74FEA92-FE57-DA4C-A2F7-016EAB2D3F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5080" y="1838085643"/>
              <a:ext cx="9594719" cy="44945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228598</xdr:colOff>
      <xdr:row>10006</xdr:row>
      <xdr:rowOff>161365</xdr:rowOff>
    </xdr:from>
    <xdr:to>
      <xdr:col>24</xdr:col>
      <xdr:colOff>349624</xdr:colOff>
      <xdr:row>10035</xdr:row>
      <xdr:rowOff>17928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FB7DE9C-33F6-D0F2-C7EE-D42C0C8BD7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89878" y="1829951965"/>
              <a:ext cx="9005946" cy="51600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215562</xdr:colOff>
      <xdr:row>10035</xdr:row>
      <xdr:rowOff>16708</xdr:rowOff>
    </xdr:from>
    <xdr:to>
      <xdr:col>19</xdr:col>
      <xdr:colOff>513028</xdr:colOff>
      <xdr:row>10050</xdr:row>
      <xdr:rowOff>70497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EE6DA82F-19A3-F593-B9A0-37C0609064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76842" y="1835110828"/>
              <a:ext cx="4678966" cy="27969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516834</xdr:colOff>
      <xdr:row>10035</xdr:row>
      <xdr:rowOff>19879</xdr:rowOff>
    </xdr:from>
    <xdr:to>
      <xdr:col>24</xdr:col>
      <xdr:colOff>351183</xdr:colOff>
      <xdr:row>10050</xdr:row>
      <xdr:rowOff>72887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EB8E0AA8-BCBF-55EC-03A0-524C1167EB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59614" y="1835113999"/>
              <a:ext cx="4337769" cy="2796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510989</xdr:colOff>
      <xdr:row>13</xdr:row>
      <xdr:rowOff>26894</xdr:rowOff>
    </xdr:from>
    <xdr:to>
      <xdr:col>20</xdr:col>
      <xdr:colOff>26895</xdr:colOff>
      <xdr:row>28</xdr:row>
      <xdr:rowOff>17929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3364EDE1-9D38-4BFC-9F68-077B78D0B8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70589" y="2610074"/>
              <a:ext cx="3059206" cy="2612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17929</xdr:colOff>
      <xdr:row>30</xdr:row>
      <xdr:rowOff>17930</xdr:rowOff>
    </xdr:from>
    <xdr:to>
      <xdr:col>19</xdr:col>
      <xdr:colOff>749449</xdr:colOff>
      <xdr:row>41</xdr:row>
      <xdr:rowOff>93681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2A1113F-3615-3AE7-5B41-05756AE37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15411" y="5459506"/>
          <a:ext cx="2757544" cy="194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2087-445F-4260-B32F-EE635343ED8B}">
  <dimension ref="A1:Q52"/>
  <sheetViews>
    <sheetView topLeftCell="B1" zoomScale="75" zoomScaleNormal="55" workbookViewId="0">
      <selection activeCell="B31" sqref="B31:B38"/>
    </sheetView>
  </sheetViews>
  <sheetFormatPr baseColWidth="10" defaultRowHeight="14.4" x14ac:dyDescent="0.3"/>
  <cols>
    <col min="1" max="1" width="29.33203125" bestFit="1" customWidth="1"/>
    <col min="3" max="3" width="19.88671875" bestFit="1" customWidth="1"/>
    <col min="4" max="4" width="12.33203125" bestFit="1" customWidth="1"/>
    <col min="8" max="8" width="40.5546875" bestFit="1" customWidth="1"/>
    <col min="9" max="9" width="12.109375" style="3" customWidth="1"/>
    <col min="10" max="10" width="10.886718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47</v>
      </c>
      <c r="E1" s="2" t="s">
        <v>48</v>
      </c>
      <c r="F1" s="1">
        <v>0.13</v>
      </c>
      <c r="I1" s="10">
        <v>0</v>
      </c>
      <c r="J1" s="2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  <c r="P1" s="2">
        <v>7</v>
      </c>
      <c r="Q1" s="2">
        <v>8</v>
      </c>
    </row>
    <row r="2" spans="1:17" x14ac:dyDescent="0.3">
      <c r="A2" s="6" t="s">
        <v>3</v>
      </c>
      <c r="B2">
        <v>80000</v>
      </c>
      <c r="C2" t="s">
        <v>4</v>
      </c>
      <c r="D2">
        <f>+B2-B2*F$1</f>
        <v>69600</v>
      </c>
      <c r="E2">
        <f>+B2-D2</f>
        <v>10400</v>
      </c>
      <c r="H2" s="2" t="s">
        <v>49</v>
      </c>
      <c r="I2" s="3">
        <f>+SUM(I3:I5)</f>
        <v>-99000</v>
      </c>
    </row>
    <row r="3" spans="1:17" x14ac:dyDescent="0.3">
      <c r="A3" s="6" t="s">
        <v>5</v>
      </c>
      <c r="B3">
        <v>20000</v>
      </c>
      <c r="C3" t="s">
        <v>4</v>
      </c>
      <c r="D3">
        <f>+B3-B3*F$1</f>
        <v>17400</v>
      </c>
      <c r="E3">
        <f>+B3-D3</f>
        <v>2600</v>
      </c>
      <c r="H3" t="s">
        <v>3</v>
      </c>
      <c r="I3" s="3">
        <f>-D2</f>
        <v>-69600</v>
      </c>
    </row>
    <row r="4" spans="1:17" x14ac:dyDescent="0.3">
      <c r="A4" s="6" t="s">
        <v>6</v>
      </c>
      <c r="B4">
        <v>12000</v>
      </c>
      <c r="D4">
        <f>+B4</f>
        <v>12000</v>
      </c>
      <c r="E4">
        <v>0</v>
      </c>
      <c r="H4" t="s">
        <v>50</v>
      </c>
      <c r="I4" s="3">
        <f>-D3</f>
        <v>-17400</v>
      </c>
    </row>
    <row r="5" spans="1:17" x14ac:dyDescent="0.3">
      <c r="A5" s="6" t="s">
        <v>7</v>
      </c>
      <c r="B5">
        <v>10000</v>
      </c>
      <c r="C5" t="s">
        <v>4</v>
      </c>
      <c r="D5">
        <f>+B5-B5*F$1</f>
        <v>8700</v>
      </c>
      <c r="E5">
        <f>+B5-D5</f>
        <v>1300</v>
      </c>
      <c r="H5" t="s">
        <v>6</v>
      </c>
      <c r="I5" s="3">
        <f>-D4</f>
        <v>-12000</v>
      </c>
    </row>
    <row r="6" spans="1:17" x14ac:dyDescent="0.3">
      <c r="A6" t="s">
        <v>8</v>
      </c>
      <c r="B6">
        <v>5000</v>
      </c>
      <c r="D6">
        <f>+B6</f>
        <v>5000</v>
      </c>
      <c r="E6">
        <v>0</v>
      </c>
      <c r="H6" s="2" t="s">
        <v>51</v>
      </c>
      <c r="I6" s="3">
        <f>+SUM(I7:I8)</f>
        <v>-13700</v>
      </c>
    </row>
    <row r="7" spans="1:17" x14ac:dyDescent="0.3">
      <c r="A7" t="s">
        <v>9</v>
      </c>
      <c r="B7" s="1">
        <v>0.1</v>
      </c>
      <c r="C7" t="s">
        <v>10</v>
      </c>
      <c r="H7" t="s">
        <v>7</v>
      </c>
      <c r="I7" s="3">
        <f>-D5</f>
        <v>-8700</v>
      </c>
    </row>
    <row r="8" spans="1:17" x14ac:dyDescent="0.3">
      <c r="A8" t="s">
        <v>11</v>
      </c>
      <c r="B8">
        <v>8</v>
      </c>
      <c r="C8" t="s">
        <v>12</v>
      </c>
      <c r="H8" t="s">
        <v>8</v>
      </c>
      <c r="I8" s="3">
        <f>-B6</f>
        <v>-5000</v>
      </c>
    </row>
    <row r="9" spans="1:17" x14ac:dyDescent="0.3">
      <c r="A9" t="s">
        <v>13</v>
      </c>
      <c r="B9">
        <v>5</v>
      </c>
      <c r="C9" t="s">
        <v>12</v>
      </c>
      <c r="H9" s="2" t="s">
        <v>9</v>
      </c>
      <c r="I9">
        <f>+I10</f>
        <v>-7499.9999999999991</v>
      </c>
      <c r="J9">
        <f>+J10-I10</f>
        <v>-750.00000000000091</v>
      </c>
      <c r="K9">
        <f>+K10-J10</f>
        <v>-1500</v>
      </c>
      <c r="L9">
        <f>+L10-K10</f>
        <v>-750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14</v>
      </c>
      <c r="B10">
        <v>40</v>
      </c>
      <c r="C10" t="s">
        <v>12</v>
      </c>
      <c r="H10" s="6" t="s">
        <v>70</v>
      </c>
      <c r="I10">
        <f>+J19/0.87*$B$7*-1</f>
        <v>-7499.9999999999991</v>
      </c>
      <c r="J10">
        <f>+K19/0.87*$B$7*-1</f>
        <v>-8250</v>
      </c>
      <c r="K10">
        <f>+L19/0.87*$B$7*-1</f>
        <v>-9750</v>
      </c>
      <c r="L10">
        <f>+M19/0.87*$B$7*-1</f>
        <v>-10500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ht="8.4" customHeight="1" x14ac:dyDescent="0.3">
      <c r="H11" s="6"/>
      <c r="I11"/>
    </row>
    <row r="12" spans="1:17" x14ac:dyDescent="0.3">
      <c r="A12" t="s">
        <v>15</v>
      </c>
      <c r="B12">
        <v>4</v>
      </c>
      <c r="C12" t="s">
        <v>12</v>
      </c>
      <c r="H12" s="2" t="s">
        <v>52</v>
      </c>
      <c r="Q12">
        <f>+SUM(Q13:Q16)-L10</f>
        <v>41640</v>
      </c>
    </row>
    <row r="13" spans="1:17" x14ac:dyDescent="0.3">
      <c r="A13" t="s">
        <v>16</v>
      </c>
      <c r="B13">
        <v>30000</v>
      </c>
      <c r="C13" t="s">
        <v>17</v>
      </c>
      <c r="H13" t="s">
        <v>32</v>
      </c>
      <c r="Q13">
        <f>B2*0.1*87%</f>
        <v>6960</v>
      </c>
    </row>
    <row r="14" spans="1:17" x14ac:dyDescent="0.3">
      <c r="A14" t="s">
        <v>18</v>
      </c>
      <c r="B14" s="18">
        <v>0.5</v>
      </c>
      <c r="H14" t="s">
        <v>34</v>
      </c>
      <c r="Q14" s="3">
        <f>-I4--I4*(8/40)</f>
        <v>13920</v>
      </c>
    </row>
    <row r="15" spans="1:17" x14ac:dyDescent="0.3">
      <c r="A15" t="s">
        <v>19</v>
      </c>
      <c r="B15" s="18">
        <v>0.65</v>
      </c>
      <c r="H15" t="s">
        <v>36</v>
      </c>
      <c r="Q15">
        <f>+B4</f>
        <v>12000</v>
      </c>
    </row>
    <row r="16" spans="1:17" x14ac:dyDescent="0.3">
      <c r="A16" t="s">
        <v>20</v>
      </c>
      <c r="B16" s="18">
        <v>0.9</v>
      </c>
      <c r="H16" s="8" t="s">
        <v>71</v>
      </c>
      <c r="Q16">
        <f>+Q13*-25%</f>
        <v>-1740</v>
      </c>
    </row>
    <row r="17" spans="1:17" ht="9" customHeight="1" x14ac:dyDescent="0.3">
      <c r="B17" s="1"/>
      <c r="H17" s="8"/>
    </row>
    <row r="18" spans="1:17" x14ac:dyDescent="0.3">
      <c r="A18" t="s">
        <v>21</v>
      </c>
      <c r="B18" s="1">
        <v>1</v>
      </c>
      <c r="H18" s="4" t="s">
        <v>53</v>
      </c>
      <c r="I18" s="3">
        <f>I12+I9+I2+I6</f>
        <v>-120200</v>
      </c>
      <c r="J18" s="3">
        <f t="shared" ref="J18:Q18" si="0">J12+J9+J2+J6</f>
        <v>-750.00000000000091</v>
      </c>
      <c r="K18" s="3">
        <f t="shared" si="0"/>
        <v>-1500</v>
      </c>
      <c r="L18" s="3">
        <f t="shared" si="0"/>
        <v>-750</v>
      </c>
      <c r="M18" s="3">
        <f t="shared" si="0"/>
        <v>0</v>
      </c>
      <c r="N18" s="3">
        <f t="shared" si="0"/>
        <v>0</v>
      </c>
      <c r="O18" s="3">
        <f t="shared" si="0"/>
        <v>0</v>
      </c>
      <c r="P18" s="3">
        <f t="shared" si="0"/>
        <v>0</v>
      </c>
      <c r="Q18" s="3">
        <f t="shared" si="0"/>
        <v>41640</v>
      </c>
    </row>
    <row r="19" spans="1:17" x14ac:dyDescent="0.3">
      <c r="A19" t="s">
        <v>22</v>
      </c>
      <c r="B19" s="13">
        <v>5</v>
      </c>
      <c r="C19" t="s">
        <v>23</v>
      </c>
      <c r="D19">
        <f>+B19-B19*F$1</f>
        <v>4.3499999999999996</v>
      </c>
      <c r="E19">
        <f>+B19-D19</f>
        <v>0.65000000000000036</v>
      </c>
      <c r="H19" t="s">
        <v>54</v>
      </c>
      <c r="J19" s="3">
        <f t="array" ref="J19:Q19">+TRANSPOSE($C$31:$C$38)*$D$19</f>
        <v>65249.999999999993</v>
      </c>
      <c r="K19" s="3">
        <v>71775</v>
      </c>
      <c r="L19" s="3">
        <v>84825</v>
      </c>
      <c r="M19" s="3">
        <v>91349.999999999985</v>
      </c>
      <c r="N19" s="3">
        <v>110924.99999999999</v>
      </c>
      <c r="O19" s="3">
        <v>130499.99999999999</v>
      </c>
      <c r="P19" s="3">
        <v>130499.99999999999</v>
      </c>
      <c r="Q19" s="3">
        <v>130499.99999999999</v>
      </c>
    </row>
    <row r="20" spans="1:17" x14ac:dyDescent="0.3">
      <c r="A20" t="s">
        <v>24</v>
      </c>
      <c r="B20" s="13">
        <v>1.7</v>
      </c>
      <c r="C20" t="s">
        <v>25</v>
      </c>
      <c r="D20">
        <f>+B20-B20*F$1</f>
        <v>1.4789999999999999</v>
      </c>
      <c r="H20" t="s">
        <v>55</v>
      </c>
      <c r="J20" s="3">
        <f>(+$D$20*B14*$B$13)*-1</f>
        <v>-22184.999999999996</v>
      </c>
      <c r="K20" s="3">
        <f>(+$D$20*B15*$B$13)*-1</f>
        <v>-28840.499999999996</v>
      </c>
      <c r="L20" s="3">
        <f>(+$D$20*B16*$B$13)*-1</f>
        <v>-39933</v>
      </c>
      <c r="M20" s="3">
        <f>(+$D$20*$B$18*$B$13)*-1</f>
        <v>-44369.999999999993</v>
      </c>
      <c r="N20" s="3">
        <f>(+$D$20*$B$18*$B$13)*-1</f>
        <v>-44369.999999999993</v>
      </c>
      <c r="O20" s="3">
        <f>(+$D$20*$B$18*$B$13)*-1</f>
        <v>-44369.999999999993</v>
      </c>
      <c r="P20" s="3">
        <f>(+$D$20*$B$18*$B$13)*-1</f>
        <v>-44369.999999999993</v>
      </c>
      <c r="Q20" s="3">
        <f>(+$D$20*$B$18*$B$13)*-1</f>
        <v>-44369.999999999993</v>
      </c>
    </row>
    <row r="21" spans="1:17" x14ac:dyDescent="0.3">
      <c r="A21" t="s">
        <v>26</v>
      </c>
      <c r="B21" s="13">
        <v>10000</v>
      </c>
      <c r="C21" t="s">
        <v>27</v>
      </c>
      <c r="D21">
        <f>B21-B21*70%*F$1</f>
        <v>9090</v>
      </c>
      <c r="E21">
        <f>+B21-D21</f>
        <v>910</v>
      </c>
      <c r="H21" t="s">
        <v>56</v>
      </c>
      <c r="J21" s="3">
        <f t="shared" ref="J21:Q21" si="1">(+$D$21)*-1</f>
        <v>-9090</v>
      </c>
      <c r="K21" s="3">
        <f t="shared" si="1"/>
        <v>-9090</v>
      </c>
      <c r="L21" s="3">
        <f t="shared" si="1"/>
        <v>-9090</v>
      </c>
      <c r="M21" s="3">
        <f t="shared" si="1"/>
        <v>-9090</v>
      </c>
      <c r="N21" s="3">
        <f t="shared" si="1"/>
        <v>-9090</v>
      </c>
      <c r="O21" s="3">
        <f t="shared" si="1"/>
        <v>-9090</v>
      </c>
      <c r="P21" s="3">
        <f t="shared" si="1"/>
        <v>-9090</v>
      </c>
      <c r="Q21" s="3">
        <f t="shared" si="1"/>
        <v>-9090</v>
      </c>
    </row>
    <row r="22" spans="1:17" x14ac:dyDescent="0.3">
      <c r="A22" t="s">
        <v>28</v>
      </c>
      <c r="B22">
        <v>6000</v>
      </c>
      <c r="C22" t="s">
        <v>29</v>
      </c>
      <c r="D22">
        <f>B22-B22*60%*F$1</f>
        <v>5532</v>
      </c>
      <c r="E22">
        <f>+B22-D22</f>
        <v>468</v>
      </c>
      <c r="H22" t="s">
        <v>57</v>
      </c>
      <c r="J22" s="3">
        <f>+$D$22*-1</f>
        <v>-5532</v>
      </c>
      <c r="K22" s="3">
        <f t="shared" ref="K22:Q22" si="2">+$D$22*-1</f>
        <v>-5532</v>
      </c>
      <c r="L22" s="3">
        <f t="shared" si="2"/>
        <v>-5532</v>
      </c>
      <c r="M22" s="3">
        <f t="shared" si="2"/>
        <v>-5532</v>
      </c>
      <c r="N22" s="3">
        <f t="shared" si="2"/>
        <v>-5532</v>
      </c>
      <c r="O22" s="3">
        <f t="shared" si="2"/>
        <v>-5532</v>
      </c>
      <c r="P22" s="3">
        <f t="shared" si="2"/>
        <v>-5532</v>
      </c>
      <c r="Q22" s="3">
        <f t="shared" si="2"/>
        <v>-5532</v>
      </c>
    </row>
    <row r="23" spans="1:17" x14ac:dyDescent="0.3">
      <c r="A23" t="s">
        <v>30</v>
      </c>
      <c r="B23" s="14">
        <v>0.1</v>
      </c>
      <c r="H23" t="s">
        <v>59</v>
      </c>
      <c r="J23" s="3">
        <f>-Depreciacion!B4</f>
        <v>-14355</v>
      </c>
      <c r="K23" s="3">
        <f>-Depreciacion!C4</f>
        <v>-14355</v>
      </c>
      <c r="L23" s="3">
        <f>-Depreciacion!D4</f>
        <v>-14355</v>
      </c>
      <c r="M23" s="3">
        <f>-Depreciacion!E4</f>
        <v>-14355</v>
      </c>
      <c r="N23" s="3">
        <f>-Depreciacion!F4</f>
        <v>-14355</v>
      </c>
      <c r="O23" s="3">
        <f>-Depreciacion!G4</f>
        <v>-435</v>
      </c>
      <c r="P23" s="3">
        <f>-Depreciacion!H4</f>
        <v>-435</v>
      </c>
      <c r="Q23" s="3">
        <f>-Depreciacion!I4</f>
        <v>-435</v>
      </c>
    </row>
    <row r="24" spans="1:17" x14ac:dyDescent="0.3">
      <c r="A24" t="s">
        <v>31</v>
      </c>
      <c r="B24">
        <v>8</v>
      </c>
      <c r="C24" t="s">
        <v>12</v>
      </c>
      <c r="H24" t="s">
        <v>60</v>
      </c>
      <c r="J24" s="3">
        <f>-Depreciacion!B9</f>
        <v>-3425</v>
      </c>
      <c r="K24" s="3">
        <f>-Depreciacion!C9</f>
        <v>-3425</v>
      </c>
      <c r="L24" s="3">
        <f>-Depreciacion!D9</f>
        <v>-3425</v>
      </c>
      <c r="M24" s="3">
        <f>-Depreciacion!E9</f>
        <v>-3425</v>
      </c>
      <c r="N24" s="3">
        <f>-Depreciacion!F9</f>
        <v>0</v>
      </c>
      <c r="O24" s="3">
        <f>-Depreciacion!G9</f>
        <v>0</v>
      </c>
      <c r="P24" s="3">
        <f>-Depreciacion!H9</f>
        <v>0</v>
      </c>
      <c r="Q24" s="3">
        <f>-Depreciacion!I9</f>
        <v>0</v>
      </c>
    </row>
    <row r="25" spans="1:17" x14ac:dyDescent="0.3">
      <c r="A25" t="s">
        <v>32</v>
      </c>
      <c r="B25" s="1">
        <v>0.1</v>
      </c>
      <c r="C25" t="s">
        <v>33</v>
      </c>
      <c r="H25" t="s">
        <v>61</v>
      </c>
      <c r="J25" s="3">
        <f>-IF(I27&gt;=0,-0.03*J19/0.87,IF(-I27&gt;J19/0.87*0.03,0,-(0.03*J19/0.87+I27)))*-1</f>
        <v>-2249.9999999999995</v>
      </c>
      <c r="K25" s="3">
        <f t="shared" ref="K25:Q25" si="3">-IF(J27&gt;=0,-0.03*K19/0.87,IF(-J27&gt;K19/0.87*0.03,0,-(0.03*K19/0.87+J27)))*-1</f>
        <v>-371.75</v>
      </c>
      <c r="L25" s="3">
        <f t="shared" si="3"/>
        <v>-384.8125</v>
      </c>
      <c r="M25" s="3">
        <f t="shared" si="3"/>
        <v>-123.70312499999955</v>
      </c>
      <c r="N25" s="3">
        <f t="shared" si="3"/>
        <v>-211.42578125000136</v>
      </c>
      <c r="O25" s="3">
        <f t="shared" si="3"/>
        <v>0</v>
      </c>
      <c r="P25" s="3">
        <f t="shared" si="3"/>
        <v>0</v>
      </c>
      <c r="Q25" s="3">
        <f t="shared" si="3"/>
        <v>0</v>
      </c>
    </row>
    <row r="26" spans="1:17" x14ac:dyDescent="0.3">
      <c r="A26" t="s">
        <v>34</v>
      </c>
      <c r="B26" t="s">
        <v>35</v>
      </c>
      <c r="H26" t="s">
        <v>62</v>
      </c>
      <c r="J26" s="3">
        <f>+SUM(J19:J25)</f>
        <v>8413</v>
      </c>
      <c r="K26" s="3">
        <f>+SUM(K19:K25)</f>
        <v>10160.75</v>
      </c>
      <c r="L26" s="3">
        <f>+SUM(L19:L25)</f>
        <v>12105.1875</v>
      </c>
      <c r="M26" s="3">
        <f>+SUM(M19:M25)</f>
        <v>14454.296874999993</v>
      </c>
      <c r="N26" s="3">
        <f t="shared" ref="N26:Q26" si="4">+SUM(N19:N25)</f>
        <v>37366.57421875</v>
      </c>
      <c r="O26" s="3">
        <f t="shared" si="4"/>
        <v>71073</v>
      </c>
      <c r="P26" s="3">
        <f t="shared" si="4"/>
        <v>71073</v>
      </c>
      <c r="Q26" s="3">
        <f t="shared" si="4"/>
        <v>71073</v>
      </c>
    </row>
    <row r="27" spans="1:17" x14ac:dyDescent="0.3">
      <c r="A27" t="s">
        <v>36</v>
      </c>
      <c r="B27" t="s">
        <v>37</v>
      </c>
      <c r="H27" t="s">
        <v>63</v>
      </c>
      <c r="J27" s="3">
        <f>+J26*-0.25</f>
        <v>-2103.25</v>
      </c>
      <c r="K27" s="3">
        <f>+K26*-0.25</f>
        <v>-2540.1875</v>
      </c>
      <c r="L27" s="3">
        <f>+L26*25%*-1</f>
        <v>-3026.296875</v>
      </c>
      <c r="M27" s="3">
        <f>+M26*25%*-1</f>
        <v>-3613.5742187499982</v>
      </c>
      <c r="N27" s="3">
        <f t="shared" ref="N27:Q27" si="5">+N26*25%*-1</f>
        <v>-9341.6435546875</v>
      </c>
      <c r="O27" s="3">
        <f t="shared" si="5"/>
        <v>-17768.25</v>
      </c>
      <c r="P27" s="3">
        <f t="shared" si="5"/>
        <v>-17768.25</v>
      </c>
      <c r="Q27" s="3">
        <f t="shared" si="5"/>
        <v>-17768.25</v>
      </c>
    </row>
    <row r="28" spans="1:17" x14ac:dyDescent="0.3">
      <c r="H28" t="s">
        <v>64</v>
      </c>
      <c r="J28" s="3">
        <f>+J26+J27</f>
        <v>6309.75</v>
      </c>
      <c r="K28" s="3">
        <f t="shared" ref="K28:Q28" si="6">+K26+K27</f>
        <v>7620.5625</v>
      </c>
      <c r="L28" s="3">
        <f t="shared" si="6"/>
        <v>9078.890625</v>
      </c>
      <c r="M28" s="3">
        <f t="shared" si="6"/>
        <v>10840.722656249995</v>
      </c>
      <c r="N28" s="3">
        <f t="shared" si="6"/>
        <v>28024.9306640625</v>
      </c>
      <c r="O28" s="3">
        <f t="shared" si="6"/>
        <v>53304.75</v>
      </c>
      <c r="P28" s="3">
        <f t="shared" si="6"/>
        <v>53304.75</v>
      </c>
      <c r="Q28" s="3">
        <f t="shared" si="6"/>
        <v>53304.75</v>
      </c>
    </row>
    <row r="29" spans="1:17" x14ac:dyDescent="0.3">
      <c r="H29" t="s">
        <v>59</v>
      </c>
      <c r="J29" s="3">
        <f>-J23</f>
        <v>14355</v>
      </c>
      <c r="K29" s="3">
        <f t="shared" ref="K29:Q30" si="7">-K23</f>
        <v>14355</v>
      </c>
      <c r="L29" s="3">
        <f t="shared" si="7"/>
        <v>14355</v>
      </c>
      <c r="M29" s="3">
        <f t="shared" si="7"/>
        <v>14355</v>
      </c>
      <c r="N29" s="3">
        <f t="shared" si="7"/>
        <v>14355</v>
      </c>
      <c r="O29" s="3">
        <f t="shared" si="7"/>
        <v>435</v>
      </c>
      <c r="P29" s="3">
        <f t="shared" si="7"/>
        <v>435</v>
      </c>
      <c r="Q29" s="3">
        <f t="shared" si="7"/>
        <v>435</v>
      </c>
    </row>
    <row r="30" spans="1:17" x14ac:dyDescent="0.3">
      <c r="A30" s="15" t="s">
        <v>38</v>
      </c>
      <c r="B30" t="s">
        <v>39</v>
      </c>
      <c r="C30" t="s">
        <v>40</v>
      </c>
      <c r="H30" t="s">
        <v>60</v>
      </c>
      <c r="J30" s="3">
        <f>-J24</f>
        <v>3425</v>
      </c>
      <c r="K30" s="3">
        <f t="shared" si="7"/>
        <v>3425</v>
      </c>
      <c r="L30" s="3">
        <f t="shared" si="7"/>
        <v>3425</v>
      </c>
      <c r="M30" s="3">
        <f t="shared" si="7"/>
        <v>3425</v>
      </c>
      <c r="N30" s="3">
        <f t="shared" si="7"/>
        <v>0</v>
      </c>
      <c r="O30" s="3">
        <f t="shared" si="7"/>
        <v>0</v>
      </c>
      <c r="P30" s="3">
        <f t="shared" si="7"/>
        <v>0</v>
      </c>
      <c r="Q30" s="3">
        <f t="shared" si="7"/>
        <v>0</v>
      </c>
    </row>
    <row r="31" spans="1:17" x14ac:dyDescent="0.3">
      <c r="A31" s="15">
        <v>1</v>
      </c>
      <c r="B31" s="14">
        <v>0.5</v>
      </c>
      <c r="C31">
        <f>+B31*$B$13</f>
        <v>15000</v>
      </c>
      <c r="E31" s="19">
        <f>0.1/5</f>
        <v>0.02</v>
      </c>
      <c r="H31" s="4" t="s">
        <v>65</v>
      </c>
      <c r="J31" s="3">
        <f>+J28+J29+J30</f>
        <v>24089.75</v>
      </c>
      <c r="K31" s="3">
        <f t="shared" ref="K31:Q31" si="8">+K28+K29+K30</f>
        <v>25400.5625</v>
      </c>
      <c r="L31" s="3">
        <f t="shared" si="8"/>
        <v>26858.890625</v>
      </c>
      <c r="M31" s="3">
        <f t="shared" si="8"/>
        <v>28620.722656249993</v>
      </c>
      <c r="N31" s="3">
        <f t="shared" si="8"/>
        <v>42379.9306640625</v>
      </c>
      <c r="O31" s="3">
        <f t="shared" si="8"/>
        <v>53739.75</v>
      </c>
      <c r="P31" s="3">
        <f t="shared" si="8"/>
        <v>53739.75</v>
      </c>
      <c r="Q31" s="3">
        <f t="shared" si="8"/>
        <v>53739.75</v>
      </c>
    </row>
    <row r="32" spans="1:17" x14ac:dyDescent="0.3">
      <c r="A32" s="15">
        <v>2</v>
      </c>
      <c r="B32" s="14">
        <v>0.55000000000000004</v>
      </c>
      <c r="C32">
        <f t="shared" ref="C32:C38" si="9">+B32*$B$13</f>
        <v>16500</v>
      </c>
    </row>
    <row r="33" spans="1:17" x14ac:dyDescent="0.3">
      <c r="A33" s="15">
        <v>3</v>
      </c>
      <c r="B33" s="14">
        <v>0.65</v>
      </c>
      <c r="C33">
        <f t="shared" si="9"/>
        <v>19500</v>
      </c>
      <c r="H33" s="4" t="s">
        <v>69</v>
      </c>
      <c r="I33" s="3">
        <f>+I18+I31</f>
        <v>-120200</v>
      </c>
      <c r="J33" s="3">
        <f t="shared" ref="J33:Q33" si="10">+J18+J31</f>
        <v>23339.75</v>
      </c>
      <c r="K33" s="3">
        <f t="shared" si="10"/>
        <v>23900.5625</v>
      </c>
      <c r="L33" s="3">
        <f t="shared" si="10"/>
        <v>26108.890625</v>
      </c>
      <c r="M33" s="3">
        <f t="shared" si="10"/>
        <v>28620.722656249993</v>
      </c>
      <c r="N33" s="3">
        <f t="shared" si="10"/>
        <v>42379.9306640625</v>
      </c>
      <c r="O33" s="3">
        <f t="shared" si="10"/>
        <v>53739.75</v>
      </c>
      <c r="P33" s="3">
        <f t="shared" si="10"/>
        <v>53739.75</v>
      </c>
      <c r="Q33" s="3">
        <f t="shared" si="10"/>
        <v>95379.75</v>
      </c>
    </row>
    <row r="34" spans="1:17" x14ac:dyDescent="0.3">
      <c r="A34" s="15">
        <v>4</v>
      </c>
      <c r="B34" s="14">
        <v>0.7</v>
      </c>
      <c r="C34">
        <f t="shared" si="9"/>
        <v>21000</v>
      </c>
      <c r="H34" s="2" t="s">
        <v>72</v>
      </c>
      <c r="I34" s="5">
        <f>+I33</f>
        <v>-120200</v>
      </c>
      <c r="J34" s="5">
        <f>+J33/(1+10%)^J1</f>
        <v>21217.954545454544</v>
      </c>
      <c r="K34" s="5">
        <f t="shared" ref="K34:Q34" si="11">+K33/(1+10%)^K1</f>
        <v>19752.530991735533</v>
      </c>
      <c r="L34" s="5">
        <f t="shared" si="11"/>
        <v>19615.99596168294</v>
      </c>
      <c r="M34" s="5">
        <f t="shared" si="11"/>
        <v>19548.338676490668</v>
      </c>
      <c r="N34" s="5">
        <f t="shared" si="11"/>
        <v>26314.602619084941</v>
      </c>
      <c r="O34" s="5">
        <f t="shared" si="11"/>
        <v>30334.687882607472</v>
      </c>
      <c r="P34" s="5">
        <f t="shared" si="11"/>
        <v>27576.988984188607</v>
      </c>
      <c r="Q34" s="5">
        <f t="shared" si="11"/>
        <v>44495.357297559298</v>
      </c>
    </row>
    <row r="35" spans="1:17" x14ac:dyDescent="0.3">
      <c r="A35" s="15">
        <v>5</v>
      </c>
      <c r="B35" s="14">
        <v>0.85</v>
      </c>
      <c r="C35">
        <f t="shared" si="9"/>
        <v>25500</v>
      </c>
      <c r="I35" s="16">
        <f>+I34</f>
        <v>-120200</v>
      </c>
      <c r="J35" s="17">
        <f>+J34+I35</f>
        <v>-98982.045454545456</v>
      </c>
      <c r="K35" s="17">
        <f t="shared" ref="K35:Q35" si="12">+K34+J35</f>
        <v>-79229.514462809922</v>
      </c>
      <c r="L35" s="17">
        <f t="shared" si="12"/>
        <v>-59613.518501126979</v>
      </c>
      <c r="M35" s="17">
        <f t="shared" si="12"/>
        <v>-40065.179824636311</v>
      </c>
      <c r="N35" s="17">
        <f t="shared" si="12"/>
        <v>-13750.57720555137</v>
      </c>
      <c r="O35" s="17">
        <f t="shared" si="12"/>
        <v>16584.110677056102</v>
      </c>
      <c r="P35" s="17">
        <f t="shared" si="12"/>
        <v>44161.099661244705</v>
      </c>
      <c r="Q35" s="17">
        <f t="shared" si="12"/>
        <v>88656.456958804003</v>
      </c>
    </row>
    <row r="36" spans="1:17" x14ac:dyDescent="0.3">
      <c r="A36" s="15">
        <v>6</v>
      </c>
      <c r="B36" s="14">
        <v>1</v>
      </c>
      <c r="C36">
        <f t="shared" si="9"/>
        <v>30000</v>
      </c>
      <c r="H36" s="2" t="s">
        <v>77</v>
      </c>
      <c r="J36" s="11">
        <v>0.6</v>
      </c>
      <c r="K36" s="11">
        <v>0.5</v>
      </c>
      <c r="L36" s="11">
        <v>0.4</v>
      </c>
      <c r="M36" s="11">
        <v>0.3</v>
      </c>
      <c r="N36" s="11">
        <v>0.25</v>
      </c>
      <c r="O36" s="11">
        <v>0.2</v>
      </c>
      <c r="P36" s="11">
        <v>0.15</v>
      </c>
      <c r="Q36" s="11">
        <f>10%*(8/Q1)^2</f>
        <v>0.1</v>
      </c>
    </row>
    <row r="37" spans="1:17" x14ac:dyDescent="0.3">
      <c r="A37" s="15">
        <v>7</v>
      </c>
      <c r="B37" s="14">
        <v>1</v>
      </c>
      <c r="C37">
        <f t="shared" si="9"/>
        <v>30000</v>
      </c>
      <c r="H37" t="s">
        <v>78</v>
      </c>
      <c r="J37" s="12">
        <f t="shared" ref="J37:Q37" si="13">+J36*$D$2</f>
        <v>41760</v>
      </c>
      <c r="K37" s="12">
        <f t="shared" si="13"/>
        <v>34800</v>
      </c>
      <c r="L37" s="12">
        <f t="shared" si="13"/>
        <v>27840</v>
      </c>
      <c r="M37" s="12">
        <f t="shared" si="13"/>
        <v>20880</v>
      </c>
      <c r="N37" s="12">
        <f t="shared" si="13"/>
        <v>17400</v>
      </c>
      <c r="O37" s="12">
        <f t="shared" si="13"/>
        <v>13920</v>
      </c>
      <c r="P37" s="12">
        <f t="shared" si="13"/>
        <v>10440</v>
      </c>
      <c r="Q37" s="12">
        <f t="shared" si="13"/>
        <v>6960</v>
      </c>
    </row>
    <row r="38" spans="1:17" x14ac:dyDescent="0.3">
      <c r="A38" s="15">
        <v>8</v>
      </c>
      <c r="B38" s="14">
        <v>1</v>
      </c>
      <c r="C38">
        <f t="shared" si="9"/>
        <v>30000</v>
      </c>
      <c r="H38" t="s">
        <v>79</v>
      </c>
      <c r="J38" s="12">
        <f>-$I4--$I4*(J1/40)</f>
        <v>16965</v>
      </c>
      <c r="K38" s="12">
        <f t="shared" ref="K38:Q38" si="14">-$I4--$I4*(K1/40)</f>
        <v>16530</v>
      </c>
      <c r="L38" s="12">
        <f t="shared" si="14"/>
        <v>16095</v>
      </c>
      <c r="M38" s="12">
        <f t="shared" si="14"/>
        <v>15660</v>
      </c>
      <c r="N38" s="12">
        <f t="shared" si="14"/>
        <v>15225</v>
      </c>
      <c r="O38" s="12">
        <f t="shared" si="14"/>
        <v>14790</v>
      </c>
      <c r="P38" s="12">
        <f t="shared" si="14"/>
        <v>14355</v>
      </c>
      <c r="Q38" s="12">
        <f t="shared" si="14"/>
        <v>13920</v>
      </c>
    </row>
    <row r="39" spans="1:17" x14ac:dyDescent="0.3">
      <c r="H39" t="s">
        <v>80</v>
      </c>
      <c r="J39" s="12">
        <f>+B4</f>
        <v>12000</v>
      </c>
      <c r="K39" s="12">
        <f>+J39</f>
        <v>12000</v>
      </c>
      <c r="L39" s="12">
        <f t="shared" ref="L39:Q39" si="15">+K39</f>
        <v>12000</v>
      </c>
      <c r="M39" s="12">
        <f t="shared" si="15"/>
        <v>12000</v>
      </c>
      <c r="N39" s="12">
        <f t="shared" si="15"/>
        <v>12000</v>
      </c>
      <c r="O39" s="12">
        <f t="shared" si="15"/>
        <v>12000</v>
      </c>
      <c r="P39" s="12">
        <f t="shared" si="15"/>
        <v>12000</v>
      </c>
      <c r="Q39" s="12">
        <f t="shared" si="15"/>
        <v>12000</v>
      </c>
    </row>
    <row r="40" spans="1:17" x14ac:dyDescent="0.3">
      <c r="H40" t="s">
        <v>81</v>
      </c>
      <c r="J40" s="12">
        <f t="shared" ref="J40:Q40" si="16">-IF(J9&lt;&gt;0,J9,LOOKUP(2,1/($I$9:$Q$9&lt;&gt;0),$I$9:$Q$9))*J36</f>
        <v>450.00000000000051</v>
      </c>
      <c r="K40" s="12">
        <f t="shared" si="16"/>
        <v>750</v>
      </c>
      <c r="L40" s="12">
        <f t="shared" si="16"/>
        <v>300</v>
      </c>
      <c r="M40" s="12">
        <f t="shared" si="16"/>
        <v>225</v>
      </c>
      <c r="N40" s="12">
        <f t="shared" si="16"/>
        <v>187.5</v>
      </c>
      <c r="O40" s="12">
        <f t="shared" si="16"/>
        <v>150</v>
      </c>
      <c r="P40" s="12">
        <f t="shared" si="16"/>
        <v>112.5</v>
      </c>
      <c r="Q40" s="12">
        <f t="shared" si="16"/>
        <v>75</v>
      </c>
    </row>
    <row r="41" spans="1:17" ht="6.6" customHeight="1" x14ac:dyDescent="0.3"/>
    <row r="42" spans="1:17" x14ac:dyDescent="0.3">
      <c r="A42" t="s">
        <v>0</v>
      </c>
      <c r="B42" t="s">
        <v>41</v>
      </c>
      <c r="C42" t="s">
        <v>42</v>
      </c>
      <c r="D42" t="s">
        <v>43</v>
      </c>
    </row>
    <row r="43" spans="1:17" x14ac:dyDescent="0.3">
      <c r="A43" t="s">
        <v>22</v>
      </c>
      <c r="B43" t="s">
        <v>44</v>
      </c>
      <c r="C43">
        <v>5</v>
      </c>
      <c r="D43" t="s">
        <v>45</v>
      </c>
    </row>
    <row r="44" spans="1:17" x14ac:dyDescent="0.3">
      <c r="A44" t="s">
        <v>24</v>
      </c>
      <c r="B44" t="s">
        <v>44</v>
      </c>
      <c r="C44">
        <v>1.7</v>
      </c>
      <c r="D44" t="s">
        <v>45</v>
      </c>
      <c r="H44" t="s">
        <v>91</v>
      </c>
      <c r="I44" s="3">
        <f t="array" ref="I44">IFERROR(INDEX(J33:Q33,MATCH(TRUE,J33:Q33&lt;0,0)),0)</f>
        <v>0</v>
      </c>
    </row>
    <row r="45" spans="1:17" x14ac:dyDescent="0.3">
      <c r="A45" t="s">
        <v>26</v>
      </c>
      <c r="B45" t="s">
        <v>46</v>
      </c>
      <c r="C45">
        <v>10000</v>
      </c>
    </row>
    <row r="46" spans="1:17" x14ac:dyDescent="0.3">
      <c r="A46" t="s">
        <v>28</v>
      </c>
      <c r="B46" t="s">
        <v>46</v>
      </c>
      <c r="C46">
        <v>6000</v>
      </c>
      <c r="H46" t="s">
        <v>73</v>
      </c>
      <c r="I46" s="7">
        <f>+SUM(I34:Q34)</f>
        <v>88656.456958804003</v>
      </c>
    </row>
    <row r="47" spans="1:17" x14ac:dyDescent="0.3">
      <c r="H47" t="s">
        <v>74</v>
      </c>
      <c r="I47" s="9">
        <f>+IRR(I33:Q33)</f>
        <v>0.23573921214517846</v>
      </c>
    </row>
    <row r="48" spans="1:17" x14ac:dyDescent="0.3">
      <c r="H48" t="s">
        <v>75</v>
      </c>
      <c r="I48" s="9">
        <f>+MIRR(I33:Q33,0,10%)</f>
        <v>0.17865204755859621</v>
      </c>
    </row>
    <row r="49" spans="8:9" x14ac:dyDescent="0.3">
      <c r="H49" t="s">
        <v>76</v>
      </c>
      <c r="I49" s="10">
        <f>9-COUNTIF(I35:Q35,"&gt;"&amp;0)</f>
        <v>6</v>
      </c>
    </row>
    <row r="52" spans="8:9" x14ac:dyDescent="0.3">
      <c r="I52" s="3">
        <f>+IF(I49=9,0,1)</f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DACC-5632-44F0-9857-BD2C515B29E8}">
  <dimension ref="A1:AH10001"/>
  <sheetViews>
    <sheetView showGridLines="0" tabSelected="1" topLeftCell="G19" zoomScale="85" zoomScaleNormal="85" workbookViewId="0">
      <selection activeCell="H29" sqref="H29"/>
    </sheetView>
  </sheetViews>
  <sheetFormatPr baseColWidth="10" defaultRowHeight="14.4" outlineLevelCol="1" x14ac:dyDescent="0.3"/>
  <cols>
    <col min="1" max="1" width="29.33203125" hidden="1" customWidth="1" outlineLevel="1"/>
    <col min="2" max="2" width="0" hidden="1" customWidth="1" outlineLevel="1"/>
    <col min="3" max="3" width="19.88671875" hidden="1" customWidth="1" outlineLevel="1"/>
    <col min="4" max="4" width="12.33203125" hidden="1" customWidth="1" outlineLevel="1"/>
    <col min="5" max="6" width="0" hidden="1" customWidth="1" outlineLevel="1"/>
    <col min="7" max="7" width="7.77734375" customWidth="1" collapsed="1"/>
    <col min="8" max="8" width="59.109375" bestFit="1" customWidth="1"/>
    <col min="9" max="9" width="14.5546875" style="3" customWidth="1"/>
    <col min="10" max="13" width="14" bestFit="1" customWidth="1"/>
    <col min="14" max="14" width="13.88671875" bestFit="1" customWidth="1"/>
    <col min="15" max="16" width="12.88671875" bestFit="1" customWidth="1"/>
    <col min="17" max="17" width="13.33203125" bestFit="1" customWidth="1"/>
    <col min="18" max="18" width="8.109375" customWidth="1"/>
    <col min="19" max="19" width="29.5546875" customWidth="1"/>
    <col min="20" max="20" width="14" customWidth="1"/>
    <col min="22" max="22" width="9.44140625" customWidth="1"/>
    <col min="23" max="23" width="9.77734375" customWidth="1"/>
    <col min="24" max="24" width="20.88671875" bestFit="1" customWidth="1"/>
    <col min="27" max="27" width="12.21875" style="3" bestFit="1" customWidth="1"/>
    <col min="30" max="31" width="11.5546875" style="5"/>
  </cols>
  <sheetData>
    <row r="1" spans="1:34" ht="16.2" thickBot="1" x14ac:dyDescent="0.35">
      <c r="A1" s="2" t="s">
        <v>0</v>
      </c>
      <c r="B1" s="2" t="s">
        <v>1</v>
      </c>
      <c r="C1" s="2" t="s">
        <v>2</v>
      </c>
      <c r="D1" s="2" t="s">
        <v>47</v>
      </c>
      <c r="E1" s="45" t="s">
        <v>100</v>
      </c>
      <c r="F1" s="1">
        <v>0.13</v>
      </c>
      <c r="H1" s="32" t="s">
        <v>82</v>
      </c>
      <c r="I1" s="31">
        <v>0</v>
      </c>
      <c r="J1" s="32">
        <v>1</v>
      </c>
      <c r="K1" s="32">
        <v>2</v>
      </c>
      <c r="L1" s="32">
        <v>3</v>
      </c>
      <c r="M1" s="32">
        <v>4</v>
      </c>
      <c r="N1" s="32">
        <v>5</v>
      </c>
      <c r="O1" s="32">
        <v>6</v>
      </c>
      <c r="P1" s="32">
        <v>7</v>
      </c>
      <c r="Q1" s="32">
        <v>8</v>
      </c>
    </row>
    <row r="2" spans="1:34" ht="15.6" x14ac:dyDescent="0.3">
      <c r="A2" s="6" t="s">
        <v>3</v>
      </c>
      <c r="B2">
        <v>80000</v>
      </c>
      <c r="C2" t="s">
        <v>4</v>
      </c>
      <c r="D2">
        <f>+B2-B2*F$1</f>
        <v>69600</v>
      </c>
      <c r="E2">
        <f>+B2-D2</f>
        <v>10400</v>
      </c>
      <c r="H2" s="2" t="s">
        <v>49</v>
      </c>
      <c r="I2" s="3">
        <f>+SUM(I3:I5)</f>
        <v>-99000</v>
      </c>
      <c r="S2" s="27" t="s">
        <v>93</v>
      </c>
      <c r="T2" s="34">
        <f>+B23</f>
        <v>0.14000000000000001</v>
      </c>
      <c r="Y2" s="5"/>
      <c r="AA2" s="3">
        <v>-16972.14</v>
      </c>
      <c r="AB2" s="1">
        <v>1E-4</v>
      </c>
      <c r="AC2">
        <v>9</v>
      </c>
      <c r="AD2" s="5">
        <v>4.9483602472680657</v>
      </c>
      <c r="AE2" s="5">
        <v>2.1843831480479574</v>
      </c>
      <c r="AF2">
        <v>1</v>
      </c>
      <c r="AH2" s="33"/>
    </row>
    <row r="3" spans="1:34" ht="15.6" x14ac:dyDescent="0.3">
      <c r="A3" s="6" t="s">
        <v>5</v>
      </c>
      <c r="B3">
        <v>20000</v>
      </c>
      <c r="C3" t="s">
        <v>4</v>
      </c>
      <c r="D3">
        <f>+B3-B3*F$1</f>
        <v>17400</v>
      </c>
      <c r="E3">
        <f>+B3-D3</f>
        <v>2600</v>
      </c>
      <c r="H3" t="s">
        <v>3</v>
      </c>
      <c r="I3" s="3">
        <f>-D2</f>
        <v>-69600</v>
      </c>
      <c r="S3" s="42" t="s">
        <v>97</v>
      </c>
      <c r="T3" s="43">
        <v>15866.904569958822</v>
      </c>
      <c r="Y3" s="5"/>
      <c r="Z3" s="3"/>
      <c r="AA3" s="3">
        <v>16757.36</v>
      </c>
      <c r="AB3" s="1">
        <v>1E-4</v>
      </c>
      <c r="AC3">
        <v>8</v>
      </c>
      <c r="AD3" s="5">
        <v>5.1056029015750299</v>
      </c>
      <c r="AE3" s="5">
        <v>2.2325483933052643</v>
      </c>
      <c r="AF3">
        <v>1</v>
      </c>
      <c r="AH3" s="33"/>
    </row>
    <row r="4" spans="1:34" ht="15.6" x14ac:dyDescent="0.3">
      <c r="A4" s="6" t="s">
        <v>6</v>
      </c>
      <c r="B4">
        <v>12000</v>
      </c>
      <c r="D4">
        <f>+B4</f>
        <v>12000</v>
      </c>
      <c r="E4">
        <v>0</v>
      </c>
      <c r="H4" t="s">
        <v>50</v>
      </c>
      <c r="I4" s="3">
        <f>-D3</f>
        <v>-17400</v>
      </c>
      <c r="S4" s="28" t="str">
        <f t="shared" ref="S4:T4" si="0">+H47</f>
        <v>TIR</v>
      </c>
      <c r="T4" s="35">
        <f t="shared" si="0"/>
        <v>0.17309667096609749</v>
      </c>
      <c r="Z4" s="3"/>
      <c r="AA4" s="3">
        <v>35447.31</v>
      </c>
      <c r="AB4" s="1">
        <v>1E-4</v>
      </c>
      <c r="AC4">
        <v>7</v>
      </c>
      <c r="AD4" s="5">
        <v>4.8169821213431874</v>
      </c>
      <c r="AE4" s="5">
        <v>2.1675281581682597</v>
      </c>
      <c r="AF4">
        <v>1</v>
      </c>
      <c r="AH4" s="1"/>
    </row>
    <row r="5" spans="1:34" ht="15.6" x14ac:dyDescent="0.3">
      <c r="A5" s="6" t="s">
        <v>7</v>
      </c>
      <c r="B5">
        <v>10000</v>
      </c>
      <c r="C5" t="s">
        <v>4</v>
      </c>
      <c r="D5">
        <f>+B5-B5*F$1</f>
        <v>8700</v>
      </c>
      <c r="E5">
        <f>+B5-D5</f>
        <v>1300</v>
      </c>
      <c r="H5" t="s">
        <v>6</v>
      </c>
      <c r="I5" s="3">
        <f>-D4</f>
        <v>-12000</v>
      </c>
      <c r="S5" s="28" t="s">
        <v>99</v>
      </c>
      <c r="T5" s="29">
        <f>+I46</f>
        <v>18211.08499964785</v>
      </c>
      <c r="AA5" s="3">
        <v>7182.49</v>
      </c>
      <c r="AB5" s="1">
        <v>1E-4</v>
      </c>
      <c r="AC5">
        <v>8</v>
      </c>
      <c r="AD5" s="5">
        <v>4.9263299258987141</v>
      </c>
      <c r="AE5" s="5">
        <v>2.0589309994040086</v>
      </c>
      <c r="AF5">
        <v>1</v>
      </c>
    </row>
    <row r="6" spans="1:34" ht="15.6" x14ac:dyDescent="0.3">
      <c r="A6" t="s">
        <v>8</v>
      </c>
      <c r="B6">
        <v>5000</v>
      </c>
      <c r="D6">
        <f>+B6</f>
        <v>5000</v>
      </c>
      <c r="E6">
        <v>0</v>
      </c>
      <c r="H6" s="2" t="s">
        <v>51</v>
      </c>
      <c r="I6" s="3">
        <f>+SUM(I7:I8)</f>
        <v>-13700</v>
      </c>
      <c r="S6" s="28" t="str">
        <f t="shared" ref="S6:T6" si="1">+H49</f>
        <v>Periodo de recuperacion</v>
      </c>
      <c r="T6" s="30">
        <f t="shared" si="1"/>
        <v>8</v>
      </c>
      <c r="AA6" s="3">
        <v>-1866.61</v>
      </c>
      <c r="AB6" s="1">
        <v>1E-4</v>
      </c>
      <c r="AC6">
        <v>9</v>
      </c>
      <c r="AD6" s="5">
        <v>4.9355586466562231</v>
      </c>
      <c r="AE6" s="5">
        <v>2.1793856098399176</v>
      </c>
      <c r="AF6">
        <v>1</v>
      </c>
    </row>
    <row r="7" spans="1:34" ht="15.6" x14ac:dyDescent="0.3">
      <c r="A7" t="s">
        <v>9</v>
      </c>
      <c r="B7" s="1">
        <v>0.1</v>
      </c>
      <c r="C7" t="s">
        <v>10</v>
      </c>
      <c r="H7" t="s">
        <v>7</v>
      </c>
      <c r="I7" s="3">
        <f>-D5</f>
        <v>-8700</v>
      </c>
      <c r="S7" s="28" t="s">
        <v>94</v>
      </c>
      <c r="T7" s="30">
        <v>8</v>
      </c>
      <c r="AA7" s="3">
        <v>18353.38</v>
      </c>
      <c r="AB7" s="1">
        <v>1E-4</v>
      </c>
      <c r="AC7">
        <v>8</v>
      </c>
      <c r="AD7" s="5">
        <v>4.9774981252534038</v>
      </c>
      <c r="AE7" s="5">
        <v>2.2076876419680356</v>
      </c>
      <c r="AF7">
        <v>1</v>
      </c>
    </row>
    <row r="8" spans="1:34" x14ac:dyDescent="0.3">
      <c r="A8" t="s">
        <v>11</v>
      </c>
      <c r="B8">
        <v>8</v>
      </c>
      <c r="C8" t="s">
        <v>12</v>
      </c>
      <c r="H8" t="s">
        <v>8</v>
      </c>
      <c r="I8" s="3">
        <f>-B6</f>
        <v>-5000</v>
      </c>
      <c r="S8" s="39" t="str">
        <f>+IF(T8="","","Éxito (VAN &gt; 0)")</f>
        <v>Éxito (VAN &gt; 0)</v>
      </c>
      <c r="T8" s="40">
        <f>IFERROR(COUNTIF(AA:AA,"&gt;"&amp;0)/COUNT(AA:AA),"")</f>
        <v>0.80520000000000003</v>
      </c>
      <c r="Z8" s="5"/>
      <c r="AA8" s="3">
        <v>10194.93</v>
      </c>
      <c r="AB8" s="1">
        <v>1E-4</v>
      </c>
      <c r="AC8">
        <v>8</v>
      </c>
      <c r="AD8" s="5">
        <v>5.0521246520192529</v>
      </c>
      <c r="AE8" s="5">
        <v>2.1716811848877495</v>
      </c>
      <c r="AF8">
        <v>1</v>
      </c>
    </row>
    <row r="9" spans="1:34" x14ac:dyDescent="0.3">
      <c r="A9" t="s">
        <v>13</v>
      </c>
      <c r="B9">
        <v>5</v>
      </c>
      <c r="C9" t="s">
        <v>12</v>
      </c>
      <c r="H9" s="2" t="s">
        <v>9</v>
      </c>
      <c r="I9" s="20">
        <f>+I10</f>
        <v>-7499.9999999999991</v>
      </c>
      <c r="J9" s="3">
        <f>+J10-I10</f>
        <v>-750.00000000000091</v>
      </c>
      <c r="K9" s="3">
        <f>+K10-J10</f>
        <v>-1500</v>
      </c>
      <c r="L9" s="3">
        <f>+L10-K10</f>
        <v>-750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S9" s="39" t="str">
        <f>+IF(T9="","","Fracaso (VAN &lt; 0)")</f>
        <v>Fracaso (VAN &lt; 0)</v>
      </c>
      <c r="T9" s="40">
        <f>IF(T8="","",1-T8)</f>
        <v>0.19479999999999997</v>
      </c>
      <c r="AA9" s="3">
        <v>18444.12</v>
      </c>
      <c r="AB9" s="1">
        <v>1E-4</v>
      </c>
      <c r="AC9">
        <v>8</v>
      </c>
      <c r="AD9" s="5">
        <v>4.9399345894570965</v>
      </c>
      <c r="AE9" s="5">
        <v>2.1864153862564675</v>
      </c>
      <c r="AF9">
        <v>1</v>
      </c>
    </row>
    <row r="10" spans="1:34" x14ac:dyDescent="0.3">
      <c r="A10" t="s">
        <v>14</v>
      </c>
      <c r="B10">
        <v>40</v>
      </c>
      <c r="C10" t="s">
        <v>12</v>
      </c>
      <c r="H10" s="6" t="s">
        <v>70</v>
      </c>
      <c r="I10" s="20">
        <f>+J19/0.87*$B$7*-1</f>
        <v>-7499.9999999999991</v>
      </c>
      <c r="J10" s="3">
        <f>+K19/0.87*$B$7*-1</f>
        <v>-8250</v>
      </c>
      <c r="K10" s="3">
        <f>+L19/0.87*$B$7*-1</f>
        <v>-9750</v>
      </c>
      <c r="L10" s="3">
        <f>+M19/0.87*$B$7*-1</f>
        <v>-10500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S10" s="41" t="str">
        <f>+IF(T10="","","Supervivencia")</f>
        <v>Supervivencia</v>
      </c>
      <c r="T10" s="40">
        <f>IFERROR(COUNTIF(AF:AF,1)/COUNT(AF:AF),"")</f>
        <v>0.97199999999999998</v>
      </c>
      <c r="AA10" s="3">
        <v>16100.26</v>
      </c>
      <c r="AB10" s="1">
        <v>1E-4</v>
      </c>
      <c r="AC10">
        <v>8</v>
      </c>
      <c r="AD10" s="5">
        <v>5.078910353451092</v>
      </c>
      <c r="AE10" s="5">
        <v>2.1489270693414433</v>
      </c>
      <c r="AF10">
        <v>1</v>
      </c>
    </row>
    <row r="11" spans="1:34" x14ac:dyDescent="0.3">
      <c r="H11" s="6"/>
      <c r="I11"/>
      <c r="S11" s="41" t="str">
        <f>+IF(T11="","","Quiebre")</f>
        <v>Quiebre</v>
      </c>
      <c r="T11" s="40">
        <f>IF(T10="","",1-T10)</f>
        <v>2.8000000000000025E-2</v>
      </c>
      <c r="AA11" s="3">
        <v>644.14</v>
      </c>
      <c r="AB11" s="1">
        <v>1E-4</v>
      </c>
      <c r="AC11">
        <v>8</v>
      </c>
      <c r="AD11" s="5">
        <v>5.0166401753346257</v>
      </c>
      <c r="AE11" s="5">
        <v>2.2974517942256076</v>
      </c>
      <c r="AF11">
        <v>1</v>
      </c>
    </row>
    <row r="12" spans="1:34" ht="15.6" x14ac:dyDescent="0.3">
      <c r="A12" t="s">
        <v>15</v>
      </c>
      <c r="B12">
        <v>4</v>
      </c>
      <c r="C12" t="s">
        <v>12</v>
      </c>
      <c r="H12" s="2" t="s">
        <v>52</v>
      </c>
      <c r="Q12" s="3">
        <f>+SUM(Q13:Q16)-L10</f>
        <v>41640</v>
      </c>
      <c r="S12" s="28" t="s">
        <v>96</v>
      </c>
      <c r="T12" s="29">
        <v>-20878.98232082434</v>
      </c>
      <c r="V12" s="36"/>
      <c r="W12" s="36"/>
      <c r="X12" s="36"/>
      <c r="AA12" s="3">
        <v>35170.81</v>
      </c>
      <c r="AB12" s="1">
        <v>1E-4</v>
      </c>
      <c r="AC12">
        <v>7</v>
      </c>
      <c r="AD12" s="5">
        <v>4.9814850453655364</v>
      </c>
      <c r="AE12" s="5">
        <v>2.2290995711858925</v>
      </c>
      <c r="AF12">
        <v>1</v>
      </c>
    </row>
    <row r="13" spans="1:34" ht="16.2" thickBot="1" x14ac:dyDescent="0.35">
      <c r="A13" t="s">
        <v>16</v>
      </c>
      <c r="B13">
        <v>30000</v>
      </c>
      <c r="C13" t="s">
        <v>17</v>
      </c>
      <c r="H13" t="s">
        <v>32</v>
      </c>
      <c r="Q13" s="3">
        <f>B2*0.1*87%</f>
        <v>6960</v>
      </c>
      <c r="S13" s="37" t="s">
        <v>95</v>
      </c>
      <c r="T13" s="38">
        <f>+IF(I56=0,"⏳",I56)</f>
        <v>14838.019737016904</v>
      </c>
      <c r="AA13" s="3">
        <v>27867.71</v>
      </c>
      <c r="AB13" s="1">
        <v>1E-4</v>
      </c>
      <c r="AC13">
        <v>8</v>
      </c>
      <c r="AD13" s="5">
        <v>5.1850761130246816</v>
      </c>
      <c r="AE13" s="5">
        <v>2.2239409524600346</v>
      </c>
      <c r="AF13">
        <v>1</v>
      </c>
    </row>
    <row r="14" spans="1:34" x14ac:dyDescent="0.3">
      <c r="A14" t="s">
        <v>18</v>
      </c>
      <c r="B14" s="1">
        <v>0.5</v>
      </c>
      <c r="H14" t="s">
        <v>34</v>
      </c>
      <c r="Q14" s="3">
        <f>-I4--I4*(8/40)</f>
        <v>13920</v>
      </c>
      <c r="AA14" s="3">
        <v>20582.37</v>
      </c>
      <c r="AB14" s="1">
        <v>1E-4</v>
      </c>
      <c r="AC14">
        <v>8</v>
      </c>
      <c r="AD14" s="5">
        <v>5.0672832886567347</v>
      </c>
      <c r="AE14" s="5">
        <v>2.1936643431125891</v>
      </c>
      <c r="AF14">
        <v>1</v>
      </c>
    </row>
    <row r="15" spans="1:34" x14ac:dyDescent="0.3">
      <c r="A15" t="s">
        <v>19</v>
      </c>
      <c r="B15" s="1">
        <v>0.65</v>
      </c>
      <c r="H15" t="s">
        <v>36</v>
      </c>
      <c r="Q15" s="3">
        <f>+B4</f>
        <v>12000</v>
      </c>
      <c r="AA15" s="3">
        <v>29365.69</v>
      </c>
      <c r="AB15" s="1">
        <v>1E-4</v>
      </c>
      <c r="AC15">
        <v>7</v>
      </c>
      <c r="AD15" s="5">
        <v>5.0487723360585788</v>
      </c>
      <c r="AE15" s="5">
        <v>2.1806128311733723</v>
      </c>
      <c r="AF15">
        <v>1</v>
      </c>
    </row>
    <row r="16" spans="1:34" x14ac:dyDescent="0.3">
      <c r="A16" t="s">
        <v>20</v>
      </c>
      <c r="B16" s="1">
        <v>0.9</v>
      </c>
      <c r="H16" s="8" t="s">
        <v>71</v>
      </c>
      <c r="Q16" s="3">
        <f>+Q13*-25%</f>
        <v>-1740</v>
      </c>
      <c r="AA16" s="3">
        <v>14666.4</v>
      </c>
      <c r="AB16" s="1">
        <v>1E-4</v>
      </c>
      <c r="AC16">
        <v>8</v>
      </c>
      <c r="AD16" s="5">
        <v>4.951506299269222</v>
      </c>
      <c r="AE16" s="5">
        <v>2.1497887437662504</v>
      </c>
      <c r="AF16">
        <v>1</v>
      </c>
    </row>
    <row r="17" spans="1:32" ht="4.8" customHeight="1" x14ac:dyDescent="0.3">
      <c r="B17" s="1"/>
      <c r="H17" s="8"/>
      <c r="AA17" s="3">
        <v>32893.54</v>
      </c>
      <c r="AB17" s="1">
        <v>1E-4</v>
      </c>
      <c r="AC17">
        <v>7</v>
      </c>
      <c r="AD17" s="5">
        <v>4.9245423691031478</v>
      </c>
      <c r="AE17" s="5">
        <v>2.2019509878884111</v>
      </c>
      <c r="AF17">
        <v>1</v>
      </c>
    </row>
    <row r="18" spans="1:32" x14ac:dyDescent="0.3">
      <c r="A18" t="s">
        <v>21</v>
      </c>
      <c r="B18" s="1">
        <v>1</v>
      </c>
      <c r="H18" s="4" t="s">
        <v>53</v>
      </c>
      <c r="I18" s="3">
        <f>I12+I9+I2+I6</f>
        <v>-120200</v>
      </c>
      <c r="J18" s="3">
        <f t="shared" ref="J18:Q18" si="2">J12+J9+J2+J6</f>
        <v>-750.00000000000091</v>
      </c>
      <c r="K18" s="3">
        <f t="shared" si="2"/>
        <v>-1500</v>
      </c>
      <c r="L18" s="3">
        <f t="shared" si="2"/>
        <v>-750</v>
      </c>
      <c r="M18" s="3">
        <f t="shared" si="2"/>
        <v>0</v>
      </c>
      <c r="N18" s="3">
        <f t="shared" si="2"/>
        <v>0</v>
      </c>
      <c r="O18" s="3">
        <f t="shared" si="2"/>
        <v>0</v>
      </c>
      <c r="P18" s="3">
        <f t="shared" si="2"/>
        <v>0</v>
      </c>
      <c r="Q18" s="3">
        <f t="shared" si="2"/>
        <v>41640</v>
      </c>
      <c r="AA18" s="3">
        <v>36704.06</v>
      </c>
      <c r="AB18" s="1">
        <v>1E-4</v>
      </c>
      <c r="AC18">
        <v>7</v>
      </c>
      <c r="AD18" s="5">
        <v>5.0847816710100577</v>
      </c>
      <c r="AE18" s="5">
        <v>2.1503907905732027</v>
      </c>
      <c r="AF18">
        <v>1</v>
      </c>
    </row>
    <row r="19" spans="1:32" x14ac:dyDescent="0.3">
      <c r="A19" t="s">
        <v>22</v>
      </c>
      <c r="B19" s="13">
        <v>5</v>
      </c>
      <c r="C19" t="s">
        <v>23</v>
      </c>
      <c r="D19">
        <f>+B19-B19*F$1</f>
        <v>4.3499999999999996</v>
      </c>
      <c r="E19">
        <f>+B19-D19</f>
        <v>0.65000000000000036</v>
      </c>
      <c r="H19" t="s">
        <v>54</v>
      </c>
      <c r="J19" s="3">
        <f>+B31*B13*D19</f>
        <v>65249.999999999993</v>
      </c>
      <c r="K19" s="3">
        <f>+B32*B13*D19</f>
        <v>71775</v>
      </c>
      <c r="L19" s="3">
        <f>+B33*B13*D19</f>
        <v>84825</v>
      </c>
      <c r="M19" s="3">
        <f>+$B$34*$B$13*$D$19</f>
        <v>91349.999999999985</v>
      </c>
      <c r="N19" s="3">
        <f>+$B$35*$B$13*$D$19</f>
        <v>110924.99999999999</v>
      </c>
      <c r="O19" s="3">
        <f>+$B$36*$B$13*$D$19</f>
        <v>130499.99999999999</v>
      </c>
      <c r="P19" s="3">
        <f>+$B$37*$B$13*$D$19</f>
        <v>130499.99999999999</v>
      </c>
      <c r="Q19" s="3">
        <f>+$B$38*$B$13*$D$19</f>
        <v>130499.99999999999</v>
      </c>
      <c r="AA19" s="3">
        <v>15122.99</v>
      </c>
      <c r="AB19" s="1">
        <v>1E-4</v>
      </c>
      <c r="AC19">
        <v>8</v>
      </c>
      <c r="AD19" s="5">
        <v>5.0018496994674688</v>
      </c>
      <c r="AE19" s="5">
        <v>2.1705393344292427</v>
      </c>
      <c r="AF19">
        <v>1</v>
      </c>
    </row>
    <row r="20" spans="1:32" x14ac:dyDescent="0.3">
      <c r="A20" t="s">
        <v>24</v>
      </c>
      <c r="B20" s="13">
        <v>2.25</v>
      </c>
      <c r="C20" t="s">
        <v>25</v>
      </c>
      <c r="D20">
        <f>+B20-B20*F$1</f>
        <v>1.9575</v>
      </c>
      <c r="H20" t="s">
        <v>55</v>
      </c>
      <c r="J20" s="3">
        <f>(+$D$20*B14*$B$13)*-1</f>
        <v>-29362.5</v>
      </c>
      <c r="K20" s="3">
        <f>(+$D$20*B15*$B$13)*-1</f>
        <v>-38171.25</v>
      </c>
      <c r="L20" s="3">
        <f>(+$D$20*B16*$B$13)*-1</f>
        <v>-52852.500000000007</v>
      </c>
      <c r="M20" s="3">
        <f>(+$D$20*$B$18*$B$13)*-1</f>
        <v>-58725</v>
      </c>
      <c r="N20" s="3">
        <f>(+$D$20*$B$18*$B$13)*-1</f>
        <v>-58725</v>
      </c>
      <c r="O20" s="3">
        <f>(+$D$20*$B$18*$B$13)*-1</f>
        <v>-58725</v>
      </c>
      <c r="P20" s="3">
        <f>(+$D$20*$B$18*$B$13)*-1</f>
        <v>-58725</v>
      </c>
      <c r="Q20" s="3">
        <f>(+$D$20*$B$18*$B$13)*-1</f>
        <v>-58725</v>
      </c>
      <c r="AA20" s="3">
        <v>-1558.02</v>
      </c>
      <c r="AB20" s="1">
        <v>1E-4</v>
      </c>
      <c r="AC20">
        <v>9</v>
      </c>
      <c r="AD20" s="5">
        <v>4.8268512892302029</v>
      </c>
      <c r="AE20" s="5">
        <v>2.2404066597180652</v>
      </c>
      <c r="AF20">
        <v>1</v>
      </c>
    </row>
    <row r="21" spans="1:32" x14ac:dyDescent="0.3">
      <c r="A21" t="s">
        <v>26</v>
      </c>
      <c r="B21" s="44">
        <v>8000</v>
      </c>
      <c r="C21" t="s">
        <v>27</v>
      </c>
      <c r="D21">
        <f>B21-B21*70%*F$1</f>
        <v>7272</v>
      </c>
      <c r="E21">
        <f>+B21-D21</f>
        <v>728</v>
      </c>
      <c r="H21" t="s">
        <v>56</v>
      </c>
      <c r="J21" s="3">
        <f t="shared" ref="J21:Q21" si="3">(+$D$21)*-1</f>
        <v>-7272</v>
      </c>
      <c r="K21" s="3">
        <f t="shared" si="3"/>
        <v>-7272</v>
      </c>
      <c r="L21" s="3">
        <f t="shared" si="3"/>
        <v>-7272</v>
      </c>
      <c r="M21" s="3">
        <f t="shared" si="3"/>
        <v>-7272</v>
      </c>
      <c r="N21" s="3">
        <f t="shared" si="3"/>
        <v>-7272</v>
      </c>
      <c r="O21" s="3">
        <f t="shared" si="3"/>
        <v>-7272</v>
      </c>
      <c r="P21" s="3">
        <f t="shared" si="3"/>
        <v>-7272</v>
      </c>
      <c r="Q21" s="3">
        <f t="shared" si="3"/>
        <v>-7272</v>
      </c>
      <c r="AA21" s="3">
        <v>34716.839999999997</v>
      </c>
      <c r="AB21" s="1">
        <v>1E-4</v>
      </c>
      <c r="AC21">
        <v>7</v>
      </c>
      <c r="AD21" s="5">
        <v>5.0153469558669519</v>
      </c>
      <c r="AE21" s="5">
        <v>2.2339408329125559</v>
      </c>
      <c r="AF21">
        <v>1</v>
      </c>
    </row>
    <row r="22" spans="1:32" x14ac:dyDescent="0.3">
      <c r="A22" t="s">
        <v>28</v>
      </c>
      <c r="B22">
        <v>5000</v>
      </c>
      <c r="C22" t="s">
        <v>29</v>
      </c>
      <c r="D22">
        <f>B22-B22*60%*F$1</f>
        <v>4610</v>
      </c>
      <c r="E22">
        <f>+B22-D22</f>
        <v>390</v>
      </c>
      <c r="H22" t="s">
        <v>57</v>
      </c>
      <c r="J22" s="3">
        <f>+$D$22*-1</f>
        <v>-4610</v>
      </c>
      <c r="K22" s="3">
        <f t="shared" ref="K22:Q22" si="4">+$D$22*-1</f>
        <v>-4610</v>
      </c>
      <c r="L22" s="3">
        <f t="shared" si="4"/>
        <v>-4610</v>
      </c>
      <c r="M22" s="3">
        <f t="shared" si="4"/>
        <v>-4610</v>
      </c>
      <c r="N22" s="3">
        <f t="shared" si="4"/>
        <v>-4610</v>
      </c>
      <c r="O22" s="3">
        <f t="shared" si="4"/>
        <v>-4610</v>
      </c>
      <c r="P22" s="3">
        <f t="shared" si="4"/>
        <v>-4610</v>
      </c>
      <c r="Q22" s="3">
        <f t="shared" si="4"/>
        <v>-4610</v>
      </c>
      <c r="AA22" s="3">
        <v>14501.08</v>
      </c>
      <c r="AB22" s="1">
        <v>1E-4</v>
      </c>
      <c r="AC22">
        <v>8</v>
      </c>
      <c r="AD22" s="5">
        <v>5.1154988386174916</v>
      </c>
      <c r="AE22" s="5">
        <v>2.1632955421973703</v>
      </c>
      <c r="AF22">
        <v>1</v>
      </c>
    </row>
    <row r="23" spans="1:32" x14ac:dyDescent="0.3">
      <c r="A23" t="s">
        <v>30</v>
      </c>
      <c r="B23" s="18">
        <v>0.14000000000000001</v>
      </c>
      <c r="H23" t="s">
        <v>59</v>
      </c>
      <c r="J23" s="3">
        <f>-Depreciacion!B4</f>
        <v>-14355</v>
      </c>
      <c r="K23" s="3">
        <f>-Depreciacion!C4</f>
        <v>-14355</v>
      </c>
      <c r="L23" s="3">
        <f>-Depreciacion!D4</f>
        <v>-14355</v>
      </c>
      <c r="M23" s="3">
        <f>-Depreciacion!E4</f>
        <v>-14355</v>
      </c>
      <c r="N23" s="3">
        <f>-Depreciacion!F4</f>
        <v>-14355</v>
      </c>
      <c r="O23" s="3">
        <f>-Depreciacion!G4</f>
        <v>-435</v>
      </c>
      <c r="P23" s="3">
        <f>-Depreciacion!H4</f>
        <v>-435</v>
      </c>
      <c r="Q23" s="3">
        <f>-Depreciacion!I4</f>
        <v>-435</v>
      </c>
      <c r="AA23" s="3">
        <v>452.54</v>
      </c>
      <c r="AB23" s="1">
        <v>1E-4</v>
      </c>
      <c r="AC23">
        <v>8</v>
      </c>
      <c r="AD23" s="5">
        <v>4.9687989442317964</v>
      </c>
      <c r="AE23" s="5">
        <v>2.2576788504501462</v>
      </c>
      <c r="AF23">
        <v>1</v>
      </c>
    </row>
    <row r="24" spans="1:32" x14ac:dyDescent="0.3">
      <c r="A24" t="s">
        <v>31</v>
      </c>
      <c r="B24">
        <v>8</v>
      </c>
      <c r="C24" t="s">
        <v>12</v>
      </c>
      <c r="H24" t="s">
        <v>60</v>
      </c>
      <c r="J24" s="3">
        <f>-Depreciacion!B9</f>
        <v>-3425</v>
      </c>
      <c r="K24" s="3">
        <f>-Depreciacion!C9</f>
        <v>-3425</v>
      </c>
      <c r="L24" s="3">
        <f>-Depreciacion!D9</f>
        <v>-3425</v>
      </c>
      <c r="M24" s="3">
        <f>-Depreciacion!E9</f>
        <v>-3425</v>
      </c>
      <c r="N24" s="3">
        <f>-Depreciacion!F9</f>
        <v>0</v>
      </c>
      <c r="O24" s="3">
        <f>-Depreciacion!G9</f>
        <v>0</v>
      </c>
      <c r="P24" s="3">
        <f>-Depreciacion!H9</f>
        <v>0</v>
      </c>
      <c r="Q24" s="3">
        <f>-Depreciacion!I9</f>
        <v>0</v>
      </c>
      <c r="AA24" s="3">
        <v>5931.97</v>
      </c>
      <c r="AB24" s="1">
        <v>1E-4</v>
      </c>
      <c r="AC24">
        <v>8</v>
      </c>
      <c r="AD24" s="5">
        <v>4.9897186818405306</v>
      </c>
      <c r="AE24" s="5">
        <v>2.2053044065003657</v>
      </c>
      <c r="AF24">
        <v>1</v>
      </c>
    </row>
    <row r="25" spans="1:32" x14ac:dyDescent="0.3">
      <c r="A25" t="s">
        <v>32</v>
      </c>
      <c r="B25" s="1">
        <v>0.1</v>
      </c>
      <c r="C25" t="s">
        <v>33</v>
      </c>
      <c r="H25" t="s">
        <v>61</v>
      </c>
      <c r="J25" s="3">
        <f>-IF(I27&gt;=0,-0.03*J19/0.87,IF(-I27&gt;J19/0.87*0.03,0,-(0.03*J19/0.87+I27)))*-1</f>
        <v>-2249.9999999999995</v>
      </c>
      <c r="K25" s="3">
        <f t="shared" ref="K25:Q25" si="5">-IF(J27&gt;=0,-0.03*K19/0.87,IF(-J27&gt;K19/0.87*0.03,0,-(0.03*K19/0.87+J27)))*-1</f>
        <v>-1481.1250000000018</v>
      </c>
      <c r="L25" s="3">
        <f t="shared" si="5"/>
        <v>-2309.8437500000005</v>
      </c>
      <c r="M25" s="3">
        <f t="shared" si="5"/>
        <v>-3149.8359375000014</v>
      </c>
      <c r="N25" s="3">
        <f t="shared" si="5"/>
        <v>-3824.9999999999995</v>
      </c>
      <c r="O25" s="3">
        <f t="shared" si="5"/>
        <v>0</v>
      </c>
      <c r="P25" s="3">
        <f t="shared" si="5"/>
        <v>0</v>
      </c>
      <c r="Q25" s="3">
        <f t="shared" si="5"/>
        <v>0</v>
      </c>
      <c r="AA25" s="3">
        <v>9340.33</v>
      </c>
      <c r="AB25" s="1">
        <v>1E-4</v>
      </c>
      <c r="AC25">
        <v>8</v>
      </c>
      <c r="AD25" s="5">
        <v>4.9442106944177704</v>
      </c>
      <c r="AE25" s="5">
        <v>2.1735981404476101</v>
      </c>
      <c r="AF25">
        <v>1</v>
      </c>
    </row>
    <row r="26" spans="1:32" x14ac:dyDescent="0.3">
      <c r="A26" t="s">
        <v>34</v>
      </c>
      <c r="B26" t="s">
        <v>35</v>
      </c>
      <c r="H26" t="s">
        <v>62</v>
      </c>
      <c r="J26" s="3">
        <f>+SUM(J19:J25)</f>
        <v>3975.4999999999932</v>
      </c>
      <c r="K26" s="3">
        <f>+SUM(K19:K25)</f>
        <v>2460.6249999999982</v>
      </c>
      <c r="L26" s="3">
        <f>+SUM(L19:L25)</f>
        <v>0.6562499999922693</v>
      </c>
      <c r="M26" s="3">
        <f>+SUM(M19:M25)</f>
        <v>-186.83593750001592</v>
      </c>
      <c r="N26" s="3">
        <f t="shared" ref="N26:Q26" si="6">+SUM(N19:N25)</f>
        <v>22137.999999999985</v>
      </c>
      <c r="O26" s="3">
        <f t="shared" si="6"/>
        <v>59457.999999999985</v>
      </c>
      <c r="P26" s="3">
        <f t="shared" si="6"/>
        <v>59457.999999999985</v>
      </c>
      <c r="Q26" s="3">
        <f t="shared" si="6"/>
        <v>59457.999999999985</v>
      </c>
      <c r="AA26" s="3">
        <v>-9544.9699999999993</v>
      </c>
      <c r="AB26" s="1">
        <v>1E-4</v>
      </c>
      <c r="AC26">
        <v>9</v>
      </c>
      <c r="AD26" s="5">
        <v>4.8766279016399832</v>
      </c>
      <c r="AE26" s="5">
        <v>2.1726561790614105</v>
      </c>
      <c r="AF26">
        <v>1</v>
      </c>
    </row>
    <row r="27" spans="1:32" x14ac:dyDescent="0.3">
      <c r="A27" t="s">
        <v>36</v>
      </c>
      <c r="B27" t="s">
        <v>37</v>
      </c>
      <c r="H27" t="s">
        <v>63</v>
      </c>
      <c r="J27" s="3">
        <f>+J26*-0.25</f>
        <v>-993.87499999999829</v>
      </c>
      <c r="K27" s="3">
        <f>+K26*-0.25</f>
        <v>-615.15624999999955</v>
      </c>
      <c r="L27" s="3">
        <f>+L26*25%*-1</f>
        <v>-0.16406249999806732</v>
      </c>
      <c r="M27" s="3">
        <f>+M26*25%*-1</f>
        <v>46.708984375003979</v>
      </c>
      <c r="N27" s="3">
        <f t="shared" ref="N27:Q27" si="7">+N26*25%*-1</f>
        <v>-5534.4999999999964</v>
      </c>
      <c r="O27" s="3">
        <f t="shared" si="7"/>
        <v>-14864.499999999996</v>
      </c>
      <c r="P27" s="3">
        <f t="shared" si="7"/>
        <v>-14864.499999999996</v>
      </c>
      <c r="Q27" s="3">
        <f t="shared" si="7"/>
        <v>-14864.499999999996</v>
      </c>
      <c r="AA27" s="3">
        <v>22592.38</v>
      </c>
      <c r="AB27" s="1">
        <v>1E-4</v>
      </c>
      <c r="AC27">
        <v>8</v>
      </c>
      <c r="AD27" s="5">
        <v>4.9068988035625836</v>
      </c>
      <c r="AE27" s="5">
        <v>2.1088608111593796</v>
      </c>
      <c r="AF27">
        <v>1</v>
      </c>
    </row>
    <row r="28" spans="1:32" x14ac:dyDescent="0.3">
      <c r="H28" t="s">
        <v>64</v>
      </c>
      <c r="J28" s="3">
        <f>+J26+J27</f>
        <v>2981.624999999995</v>
      </c>
      <c r="K28" s="3">
        <f t="shared" ref="K28:Q28" si="8">+K26+K27</f>
        <v>1845.4687499999986</v>
      </c>
      <c r="L28" s="3">
        <f t="shared" si="8"/>
        <v>0.49218749999420197</v>
      </c>
      <c r="M28" s="3">
        <f t="shared" si="8"/>
        <v>-140.12695312501194</v>
      </c>
      <c r="N28" s="3">
        <f t="shared" si="8"/>
        <v>16603.499999999989</v>
      </c>
      <c r="O28" s="3">
        <f t="shared" si="8"/>
        <v>44593.499999999985</v>
      </c>
      <c r="P28" s="3">
        <f t="shared" si="8"/>
        <v>44593.499999999985</v>
      </c>
      <c r="Q28" s="3">
        <f t="shared" si="8"/>
        <v>44593.499999999985</v>
      </c>
      <c r="AA28" s="3">
        <v>18120.060000000001</v>
      </c>
      <c r="AB28" s="1">
        <v>1E-4</v>
      </c>
      <c r="AC28">
        <v>8</v>
      </c>
      <c r="AD28" s="5">
        <v>4.9909451295242278</v>
      </c>
      <c r="AE28" s="5">
        <v>2.1178321930603183</v>
      </c>
      <c r="AF28">
        <v>1</v>
      </c>
    </row>
    <row r="29" spans="1:32" x14ac:dyDescent="0.3">
      <c r="H29" t="s">
        <v>59</v>
      </c>
      <c r="J29" s="3">
        <f>-J23</f>
        <v>14355</v>
      </c>
      <c r="K29" s="3">
        <f t="shared" ref="K29:Q29" si="9">-K23</f>
        <v>14355</v>
      </c>
      <c r="L29" s="3">
        <f t="shared" si="9"/>
        <v>14355</v>
      </c>
      <c r="M29" s="3">
        <f t="shared" si="9"/>
        <v>14355</v>
      </c>
      <c r="N29" s="3">
        <f t="shared" si="9"/>
        <v>14355</v>
      </c>
      <c r="O29" s="3">
        <f t="shared" si="9"/>
        <v>435</v>
      </c>
      <c r="P29" s="3">
        <f t="shared" si="9"/>
        <v>435</v>
      </c>
      <c r="Q29" s="3">
        <f t="shared" si="9"/>
        <v>435</v>
      </c>
      <c r="AA29" s="3">
        <v>-2879.2</v>
      </c>
      <c r="AB29" s="1">
        <v>1E-4</v>
      </c>
      <c r="AC29">
        <v>9</v>
      </c>
      <c r="AD29" s="5">
        <v>4.9362685827276165</v>
      </c>
      <c r="AE29" s="5">
        <v>2.1406666826849698</v>
      </c>
      <c r="AF29">
        <v>1</v>
      </c>
    </row>
    <row r="30" spans="1:32" x14ac:dyDescent="0.3">
      <c r="A30" s="15" t="s">
        <v>38</v>
      </c>
      <c r="B30" t="s">
        <v>39</v>
      </c>
      <c r="C30" t="s">
        <v>40</v>
      </c>
      <c r="H30" t="s">
        <v>60</v>
      </c>
      <c r="J30" s="3">
        <f>-J24</f>
        <v>3425</v>
      </c>
      <c r="K30" s="3">
        <f t="shared" ref="K30:Q30" si="10">-K24</f>
        <v>3425</v>
      </c>
      <c r="L30" s="3">
        <f t="shared" si="10"/>
        <v>3425</v>
      </c>
      <c r="M30" s="3">
        <f t="shared" si="10"/>
        <v>3425</v>
      </c>
      <c r="N30" s="3">
        <f t="shared" si="10"/>
        <v>0</v>
      </c>
      <c r="O30" s="3">
        <f t="shared" si="10"/>
        <v>0</v>
      </c>
      <c r="P30" s="3">
        <f t="shared" si="10"/>
        <v>0</v>
      </c>
      <c r="Q30" s="3">
        <f t="shared" si="10"/>
        <v>0</v>
      </c>
      <c r="S30" s="8" t="s">
        <v>98</v>
      </c>
      <c r="AA30" s="3">
        <v>42758.59</v>
      </c>
      <c r="AB30" s="1">
        <v>1E-4</v>
      </c>
      <c r="AC30">
        <v>7</v>
      </c>
      <c r="AD30" s="5">
        <v>4.9811947327697919</v>
      </c>
      <c r="AE30" s="5">
        <v>2.1696117931559646</v>
      </c>
      <c r="AF30">
        <v>1</v>
      </c>
    </row>
    <row r="31" spans="1:32" x14ac:dyDescent="0.3">
      <c r="A31" s="15">
        <v>1</v>
      </c>
      <c r="B31" s="14">
        <v>0.5</v>
      </c>
      <c r="C31" s="5">
        <f>+B31*$B$13</f>
        <v>15000</v>
      </c>
      <c r="H31" s="4" t="s">
        <v>65</v>
      </c>
      <c r="J31" s="3">
        <f>+J28+J29+J30</f>
        <v>20761.624999999996</v>
      </c>
      <c r="K31" s="3">
        <f t="shared" ref="K31:Q31" si="11">+K28+K29+K30</f>
        <v>19625.46875</v>
      </c>
      <c r="L31" s="3">
        <f t="shared" si="11"/>
        <v>17780.492187499993</v>
      </c>
      <c r="M31" s="3">
        <f t="shared" si="11"/>
        <v>17639.873046874985</v>
      </c>
      <c r="N31" s="3">
        <f t="shared" si="11"/>
        <v>30958.499999999989</v>
      </c>
      <c r="O31" s="3">
        <f t="shared" si="11"/>
        <v>45028.499999999985</v>
      </c>
      <c r="P31" s="3">
        <f t="shared" si="11"/>
        <v>45028.499999999985</v>
      </c>
      <c r="Q31" s="3">
        <f t="shared" si="11"/>
        <v>45028.499999999985</v>
      </c>
      <c r="AA31" s="3">
        <v>19543.07</v>
      </c>
      <c r="AB31" s="1">
        <v>1E-4</v>
      </c>
      <c r="AC31">
        <v>8</v>
      </c>
      <c r="AD31" s="5">
        <v>5.192253813723255</v>
      </c>
      <c r="AE31" s="5">
        <v>2.1925554761635881</v>
      </c>
      <c r="AF31">
        <v>1</v>
      </c>
    </row>
    <row r="32" spans="1:32" x14ac:dyDescent="0.3">
      <c r="A32" s="15">
        <v>2</v>
      </c>
      <c r="B32" s="14">
        <v>0.55000000000000004</v>
      </c>
      <c r="C32" s="5">
        <f t="shared" ref="C32:C38" si="12">+B32*$B$13</f>
        <v>16500</v>
      </c>
      <c r="AA32" s="3">
        <v>45936.99</v>
      </c>
      <c r="AB32" s="1">
        <v>1E-4</v>
      </c>
      <c r="AC32">
        <v>7</v>
      </c>
      <c r="AD32" s="5">
        <v>5.2425848857096398</v>
      </c>
      <c r="AE32" s="5">
        <v>2.1832031412655595</v>
      </c>
      <c r="AF32">
        <v>1</v>
      </c>
    </row>
    <row r="33" spans="1:32" x14ac:dyDescent="0.3">
      <c r="A33" s="15">
        <v>3</v>
      </c>
      <c r="B33" s="14">
        <v>0.65</v>
      </c>
      <c r="C33" s="5">
        <f t="shared" si="12"/>
        <v>19500</v>
      </c>
      <c r="H33" s="4" t="s">
        <v>69</v>
      </c>
      <c r="I33" s="21">
        <f>+I18+I31</f>
        <v>-120200</v>
      </c>
      <c r="J33" s="21">
        <f t="shared" ref="J33:Q33" si="13">+J18+J31</f>
        <v>20011.624999999996</v>
      </c>
      <c r="K33" s="21">
        <f t="shared" si="13"/>
        <v>18125.46875</v>
      </c>
      <c r="L33" s="21">
        <f t="shared" si="13"/>
        <v>17030.492187499993</v>
      </c>
      <c r="M33" s="21">
        <f t="shared" si="13"/>
        <v>17639.873046874985</v>
      </c>
      <c r="N33" s="21">
        <f t="shared" si="13"/>
        <v>30958.499999999989</v>
      </c>
      <c r="O33" s="21">
        <f t="shared" si="13"/>
        <v>45028.499999999985</v>
      </c>
      <c r="P33" s="21">
        <f t="shared" si="13"/>
        <v>45028.499999999985</v>
      </c>
      <c r="Q33" s="21">
        <f t="shared" si="13"/>
        <v>86668.499999999985</v>
      </c>
      <c r="AA33" s="3">
        <v>27769.62</v>
      </c>
      <c r="AB33" s="1">
        <v>1E-4</v>
      </c>
      <c r="AC33">
        <v>8</v>
      </c>
      <c r="AD33" s="5">
        <v>5.1556592932530831</v>
      </c>
      <c r="AE33" s="5">
        <v>2.1379453746023072</v>
      </c>
      <c r="AF33">
        <v>1</v>
      </c>
    </row>
    <row r="34" spans="1:32" ht="16.2" x14ac:dyDescent="0.45">
      <c r="A34" s="15">
        <v>4</v>
      </c>
      <c r="B34" s="14">
        <v>0.7</v>
      </c>
      <c r="C34" s="5">
        <f t="shared" si="12"/>
        <v>21000</v>
      </c>
      <c r="H34" s="2" t="s">
        <v>72</v>
      </c>
      <c r="I34" s="22">
        <f>+I33</f>
        <v>-120200</v>
      </c>
      <c r="J34" s="22">
        <f>+J33/(1+B23)^J1</f>
        <v>17554.057017543855</v>
      </c>
      <c r="K34" s="22">
        <f>+K33/(1+B23)^K1</f>
        <v>13946.959641428128</v>
      </c>
      <c r="L34" s="22">
        <f>+L33/(1+B23)^L1</f>
        <v>11495.09713346346</v>
      </c>
      <c r="M34" s="22">
        <f>+M33/(1+B23)^M1</f>
        <v>10444.220926368669</v>
      </c>
      <c r="N34" s="22">
        <f>+N33/(1+B23)^N1</f>
        <v>16078.874795583335</v>
      </c>
      <c r="O34" s="22">
        <f>+O33/(1+B23)^O1</f>
        <v>20514.378862391168</v>
      </c>
      <c r="P34" s="22">
        <f>+P33/(1+B23)^P1</f>
        <v>17995.069177536108</v>
      </c>
      <c r="Q34" s="22">
        <f>+Q33/(1+B23)^Q1</f>
        <v>30382.427445333127</v>
      </c>
      <c r="AA34" s="3">
        <v>5286.71</v>
      </c>
      <c r="AB34" s="1">
        <v>1E-4</v>
      </c>
      <c r="AC34">
        <v>8</v>
      </c>
      <c r="AD34" s="5">
        <v>4.9601837305692893</v>
      </c>
      <c r="AE34" s="5">
        <v>2.1769500370441404</v>
      </c>
      <c r="AF34">
        <v>1</v>
      </c>
    </row>
    <row r="35" spans="1:32" x14ac:dyDescent="0.3">
      <c r="A35" s="15">
        <v>5</v>
      </c>
      <c r="B35" s="14">
        <v>0.85</v>
      </c>
      <c r="C35" s="5">
        <f t="shared" si="12"/>
        <v>25500</v>
      </c>
      <c r="H35" s="2" t="s">
        <v>84</v>
      </c>
      <c r="I35" s="26">
        <f>+I34</f>
        <v>-120200</v>
      </c>
      <c r="J35" s="26">
        <f>+J34+I35</f>
        <v>-102645.94298245615</v>
      </c>
      <c r="K35" s="26">
        <f t="shared" ref="K35:Q35" si="14">+K34+J35</f>
        <v>-88698.983341028026</v>
      </c>
      <c r="L35" s="26">
        <f t="shared" si="14"/>
        <v>-77203.886207564559</v>
      </c>
      <c r="M35" s="26">
        <f t="shared" si="14"/>
        <v>-66759.665281195892</v>
      </c>
      <c r="N35" s="26">
        <f t="shared" si="14"/>
        <v>-50680.790485612553</v>
      </c>
      <c r="O35" s="26">
        <f t="shared" si="14"/>
        <v>-30166.411623221386</v>
      </c>
      <c r="P35" s="26">
        <f t="shared" si="14"/>
        <v>-12171.342445685277</v>
      </c>
      <c r="Q35" s="26">
        <f t="shared" si="14"/>
        <v>18211.08499964785</v>
      </c>
      <c r="AA35" s="3">
        <v>40588.79</v>
      </c>
      <c r="AB35" s="1">
        <v>1E-4</v>
      </c>
      <c r="AC35">
        <v>7</v>
      </c>
      <c r="AD35" s="5">
        <v>5.051744826550169</v>
      </c>
      <c r="AE35" s="5">
        <v>2.1467606953095482</v>
      </c>
      <c r="AF35">
        <v>1</v>
      </c>
    </row>
    <row r="36" spans="1:32" x14ac:dyDescent="0.3">
      <c r="A36" s="15">
        <v>6</v>
      </c>
      <c r="B36" s="14">
        <v>1</v>
      </c>
      <c r="C36" s="5">
        <f t="shared" si="12"/>
        <v>30000</v>
      </c>
      <c r="H36" s="8" t="s">
        <v>85</v>
      </c>
      <c r="J36" s="11">
        <v>0.6</v>
      </c>
      <c r="K36" s="11">
        <v>0.5</v>
      </c>
      <c r="L36" s="11">
        <v>0.4</v>
      </c>
      <c r="M36" s="11">
        <v>0.35</v>
      </c>
      <c r="N36" s="11">
        <v>0.3</v>
      </c>
      <c r="O36" s="11">
        <v>0.25</v>
      </c>
      <c r="P36" s="11">
        <v>0.15</v>
      </c>
      <c r="Q36" s="11">
        <f>10%*(8/Q1)^2</f>
        <v>0.1</v>
      </c>
      <c r="AA36" s="3">
        <v>8874.98</v>
      </c>
      <c r="AB36" s="1">
        <v>1E-4</v>
      </c>
      <c r="AC36">
        <v>8</v>
      </c>
      <c r="AD36" s="5">
        <v>4.8408119255902964</v>
      </c>
      <c r="AE36" s="5">
        <v>2.2547544619849775</v>
      </c>
      <c r="AF36">
        <v>1</v>
      </c>
    </row>
    <row r="37" spans="1:32" x14ac:dyDescent="0.3">
      <c r="A37" s="15">
        <v>7</v>
      </c>
      <c r="B37" s="14">
        <v>1</v>
      </c>
      <c r="C37" s="5">
        <f t="shared" si="12"/>
        <v>30000</v>
      </c>
      <c r="H37" t="s">
        <v>78</v>
      </c>
      <c r="J37" s="12">
        <f t="shared" ref="J37:Q37" si="15">+J36*$D$2</f>
        <v>41760</v>
      </c>
      <c r="K37" s="12">
        <f t="shared" si="15"/>
        <v>34800</v>
      </c>
      <c r="L37" s="12">
        <f t="shared" si="15"/>
        <v>27840</v>
      </c>
      <c r="M37" s="12">
        <f t="shared" si="15"/>
        <v>24360</v>
      </c>
      <c r="N37" s="12">
        <f t="shared" si="15"/>
        <v>20880</v>
      </c>
      <c r="O37" s="12">
        <f t="shared" si="15"/>
        <v>17400</v>
      </c>
      <c r="P37" s="12">
        <f t="shared" si="15"/>
        <v>10440</v>
      </c>
      <c r="Q37" s="12">
        <f t="shared" si="15"/>
        <v>6960</v>
      </c>
      <c r="AA37" s="3">
        <v>7444.68</v>
      </c>
      <c r="AB37" s="1">
        <v>1E-4</v>
      </c>
      <c r="AC37">
        <v>8</v>
      </c>
      <c r="AD37" s="5">
        <v>5.1032441247747817</v>
      </c>
      <c r="AE37" s="5">
        <v>2.2893105222457626</v>
      </c>
      <c r="AF37">
        <v>1</v>
      </c>
    </row>
    <row r="38" spans="1:32" x14ac:dyDescent="0.3">
      <c r="A38" s="15">
        <v>8</v>
      </c>
      <c r="B38" s="14">
        <v>1</v>
      </c>
      <c r="C38" s="5">
        <f t="shared" si="12"/>
        <v>30000</v>
      </c>
      <c r="H38" t="s">
        <v>79</v>
      </c>
      <c r="J38" s="12">
        <f>-$I4--$I4*(J1/40)</f>
        <v>16965</v>
      </c>
      <c r="K38" s="12">
        <f t="shared" ref="K38:Q38" si="16">-$I4--$I4*(K1/40)</f>
        <v>16530</v>
      </c>
      <c r="L38" s="12">
        <f t="shared" si="16"/>
        <v>16095</v>
      </c>
      <c r="M38" s="12">
        <f t="shared" si="16"/>
        <v>15660</v>
      </c>
      <c r="N38" s="12">
        <f t="shared" si="16"/>
        <v>15225</v>
      </c>
      <c r="O38" s="12">
        <f t="shared" si="16"/>
        <v>14790</v>
      </c>
      <c r="P38" s="12">
        <f t="shared" si="16"/>
        <v>14355</v>
      </c>
      <c r="Q38" s="12">
        <f t="shared" si="16"/>
        <v>13920</v>
      </c>
      <c r="AA38" s="3">
        <v>36300.230000000003</v>
      </c>
      <c r="AB38" s="1">
        <v>1E-4</v>
      </c>
      <c r="AC38">
        <v>7</v>
      </c>
      <c r="AD38" s="5">
        <v>5.1330480460182795</v>
      </c>
      <c r="AE38" s="5">
        <v>2.1380636806408533</v>
      </c>
      <c r="AF38">
        <v>1</v>
      </c>
    </row>
    <row r="39" spans="1:32" x14ac:dyDescent="0.3">
      <c r="H39" t="s">
        <v>80</v>
      </c>
      <c r="J39" s="12">
        <f>+B4</f>
        <v>12000</v>
      </c>
      <c r="K39" s="12">
        <f>+J39</f>
        <v>12000</v>
      </c>
      <c r="L39" s="12">
        <f t="shared" ref="L39:Q39" si="17">+K39</f>
        <v>12000</v>
      </c>
      <c r="M39" s="12">
        <f t="shared" si="17"/>
        <v>12000</v>
      </c>
      <c r="N39" s="12">
        <f t="shared" si="17"/>
        <v>12000</v>
      </c>
      <c r="O39" s="12">
        <f t="shared" si="17"/>
        <v>12000</v>
      </c>
      <c r="P39" s="12">
        <f t="shared" si="17"/>
        <v>12000</v>
      </c>
      <c r="Q39" s="12">
        <f t="shared" si="17"/>
        <v>12000</v>
      </c>
      <c r="AA39" s="3">
        <v>3825.16</v>
      </c>
      <c r="AB39" s="1">
        <v>1E-4</v>
      </c>
      <c r="AC39">
        <v>8</v>
      </c>
      <c r="AD39" s="5">
        <v>4.8881398528722988</v>
      </c>
      <c r="AE39" s="5">
        <v>2.2120423530931248</v>
      </c>
      <c r="AF39">
        <v>1</v>
      </c>
    </row>
    <row r="40" spans="1:32" x14ac:dyDescent="0.3">
      <c r="H40" t="s">
        <v>81</v>
      </c>
      <c r="J40" s="12">
        <f t="shared" ref="J40:Q40" si="18">-IF(J9&lt;&gt;0,J9,LOOKUP(2,1/($I$9:$Q$9&lt;&gt;0),$I$9:$Q$9))*J36</f>
        <v>450.00000000000051</v>
      </c>
      <c r="K40" s="12">
        <f t="shared" si="18"/>
        <v>750</v>
      </c>
      <c r="L40" s="12">
        <f t="shared" si="18"/>
        <v>300</v>
      </c>
      <c r="M40" s="12">
        <f t="shared" si="18"/>
        <v>262.5</v>
      </c>
      <c r="N40" s="12">
        <f t="shared" si="18"/>
        <v>225</v>
      </c>
      <c r="O40" s="12">
        <f t="shared" si="18"/>
        <v>187.5</v>
      </c>
      <c r="P40" s="12">
        <f t="shared" si="18"/>
        <v>112.5</v>
      </c>
      <c r="Q40" s="12">
        <f t="shared" si="18"/>
        <v>75</v>
      </c>
      <c r="AA40" s="3">
        <v>10401.379999999999</v>
      </c>
      <c r="AB40" s="1">
        <v>1E-4</v>
      </c>
      <c r="AC40">
        <v>8</v>
      </c>
      <c r="AD40" s="5">
        <v>5.0015105498796855</v>
      </c>
      <c r="AE40" s="5">
        <v>2.2094755517154567</v>
      </c>
      <c r="AF40">
        <v>1</v>
      </c>
    </row>
    <row r="41" spans="1:32" ht="4.2" customHeight="1" x14ac:dyDescent="0.3">
      <c r="AA41" s="3">
        <v>21337.51</v>
      </c>
      <c r="AB41" s="1">
        <v>1E-4</v>
      </c>
      <c r="AC41">
        <v>8</v>
      </c>
      <c r="AD41" s="5">
        <v>5.0767735946680421</v>
      </c>
      <c r="AE41" s="5">
        <v>2.1753378430760013</v>
      </c>
      <c r="AF41">
        <v>1</v>
      </c>
    </row>
    <row r="42" spans="1:32" x14ac:dyDescent="0.3">
      <c r="H42" s="8" t="s">
        <v>83</v>
      </c>
      <c r="J42" s="3">
        <f>+SUM(J37:J40)/(1+$B23)^J1</f>
        <v>62434.210526315779</v>
      </c>
      <c r="K42" s="3">
        <f t="shared" ref="K42:Q42" si="19">+SUM(K37:K40)/(1+$B23)^K1</f>
        <v>49307.479224376722</v>
      </c>
      <c r="L42" s="3">
        <f t="shared" si="19"/>
        <v>37957.023213620378</v>
      </c>
      <c r="M42" s="3">
        <f t="shared" si="19"/>
        <v>30955.437101606927</v>
      </c>
      <c r="N42" s="3">
        <f t="shared" si="19"/>
        <v>25101.08754850987</v>
      </c>
      <c r="O42" s="3">
        <f t="shared" si="19"/>
        <v>20217.792019848857</v>
      </c>
      <c r="P42" s="3">
        <f t="shared" si="19"/>
        <v>14749.614481271065</v>
      </c>
      <c r="Q42" s="3">
        <f t="shared" si="19"/>
        <v>11552.673652606811</v>
      </c>
      <c r="AA42" s="3">
        <v>30788.21</v>
      </c>
      <c r="AB42" s="1">
        <v>1E-4</v>
      </c>
      <c r="AC42">
        <v>8</v>
      </c>
      <c r="AD42" s="5">
        <v>4.9953847636291577</v>
      </c>
      <c r="AE42" s="5">
        <v>2.1715881450065675</v>
      </c>
      <c r="AF42">
        <v>1</v>
      </c>
    </row>
    <row r="43" spans="1:32" x14ac:dyDescent="0.3">
      <c r="H43" s="24" t="s">
        <v>86</v>
      </c>
      <c r="I43" s="25">
        <f>+I33</f>
        <v>-120200</v>
      </c>
      <c r="J43" s="25">
        <f>+J42+I35</f>
        <v>-57765.789473684221</v>
      </c>
      <c r="K43" s="25">
        <f t="shared" ref="K43:P43" si="20">+K42+J35</f>
        <v>-53338.46375807943</v>
      </c>
      <c r="L43" s="25">
        <f t="shared" si="20"/>
        <v>-50741.960127407649</v>
      </c>
      <c r="M43" s="25">
        <f t="shared" si="20"/>
        <v>-46248.449105957632</v>
      </c>
      <c r="N43" s="25">
        <f t="shared" si="20"/>
        <v>-41658.577732686026</v>
      </c>
      <c r="O43" s="25">
        <f t="shared" si="20"/>
        <v>-30462.998465763696</v>
      </c>
      <c r="P43" s="25">
        <f t="shared" si="20"/>
        <v>-15416.797141950321</v>
      </c>
      <c r="Q43" s="25">
        <f>+Q42+P35</f>
        <v>-618.66879307846648</v>
      </c>
      <c r="AA43" s="3">
        <v>11252.65</v>
      </c>
      <c r="AB43" s="1">
        <v>1E-4</v>
      </c>
      <c r="AC43">
        <v>8</v>
      </c>
      <c r="AD43" s="5">
        <v>5.0906078565895667</v>
      </c>
      <c r="AE43" s="5">
        <v>2.2610158696453064</v>
      </c>
      <c r="AF43">
        <v>1</v>
      </c>
    </row>
    <row r="44" spans="1:32" x14ac:dyDescent="0.3">
      <c r="J44" s="23">
        <f>+J34</f>
        <v>17554.057017543855</v>
      </c>
      <c r="K44" s="23">
        <f>+J44+K34</f>
        <v>31501.016658971981</v>
      </c>
      <c r="L44" s="23">
        <f t="shared" ref="L44:Q44" si="21">+K44+L34</f>
        <v>42996.113792435441</v>
      </c>
      <c r="M44" s="23">
        <f t="shared" si="21"/>
        <v>53440.334718804108</v>
      </c>
      <c r="N44" s="23">
        <f t="shared" si="21"/>
        <v>69519.209514387447</v>
      </c>
      <c r="O44" s="23">
        <f t="shared" si="21"/>
        <v>90033.588376778614</v>
      </c>
      <c r="P44" s="23">
        <f t="shared" si="21"/>
        <v>108028.65755431472</v>
      </c>
      <c r="Q44" s="23">
        <f t="shared" si="21"/>
        <v>138411.08499964784</v>
      </c>
      <c r="AA44" s="3">
        <v>17742.830000000002</v>
      </c>
      <c r="AB44" s="1">
        <v>1E-4</v>
      </c>
      <c r="AC44">
        <v>8</v>
      </c>
      <c r="AD44" s="5">
        <v>5.0130465943939626</v>
      </c>
      <c r="AE44" s="5">
        <v>2.1954754624819874</v>
      </c>
      <c r="AF44">
        <v>1</v>
      </c>
    </row>
    <row r="45" spans="1:32" x14ac:dyDescent="0.3">
      <c r="AA45" s="3">
        <v>13962.64</v>
      </c>
      <c r="AB45" s="1">
        <v>1E-4</v>
      </c>
      <c r="AC45">
        <v>8</v>
      </c>
      <c r="AD45" s="5">
        <v>5.0235026595592505</v>
      </c>
      <c r="AE45" s="5">
        <v>2.1380650056662054</v>
      </c>
      <c r="AF45">
        <v>1</v>
      </c>
    </row>
    <row r="46" spans="1:32" x14ac:dyDescent="0.3">
      <c r="H46" t="s">
        <v>73</v>
      </c>
      <c r="I46" s="7">
        <f>+SUM(I34:Q34)</f>
        <v>18211.08499964785</v>
      </c>
      <c r="AA46" s="3">
        <v>-3769.35</v>
      </c>
      <c r="AB46" s="1">
        <v>1E-4</v>
      </c>
      <c r="AC46">
        <v>9</v>
      </c>
      <c r="AD46" s="5">
        <v>4.8720663400322932</v>
      </c>
      <c r="AE46" s="5">
        <v>2.2404685846476937</v>
      </c>
      <c r="AF46">
        <v>1</v>
      </c>
    </row>
    <row r="47" spans="1:32" x14ac:dyDescent="0.3">
      <c r="H47" t="s">
        <v>74</v>
      </c>
      <c r="I47" s="9">
        <f>+IRR(I33:Q33)</f>
        <v>0.17309667096609749</v>
      </c>
      <c r="AA47" s="3">
        <v>29250.6</v>
      </c>
      <c r="AB47" s="1">
        <v>1E-4</v>
      </c>
      <c r="AC47">
        <v>8</v>
      </c>
      <c r="AD47" s="5">
        <v>5.0379691630976149</v>
      </c>
      <c r="AE47" s="5">
        <v>2.2601842091613591</v>
      </c>
      <c r="AF47">
        <v>1</v>
      </c>
    </row>
    <row r="48" spans="1:32" x14ac:dyDescent="0.3">
      <c r="H48" t="s">
        <v>75</v>
      </c>
      <c r="I48" s="9">
        <f>+MIRR(I33:Q33,0,10%)</f>
        <v>0.1454643373950506</v>
      </c>
      <c r="AA48" s="3">
        <v>9128.27</v>
      </c>
      <c r="AB48" s="1">
        <v>1E-4</v>
      </c>
      <c r="AC48">
        <v>8</v>
      </c>
      <c r="AD48" s="5">
        <v>5.0987035643513128</v>
      </c>
      <c r="AE48" s="5">
        <v>2.2169517238994647</v>
      </c>
      <c r="AF48">
        <v>1</v>
      </c>
    </row>
    <row r="49" spans="8:32" x14ac:dyDescent="0.3">
      <c r="H49" t="s">
        <v>76</v>
      </c>
      <c r="I49" s="10">
        <f>9-COUNTIF(I35:Q35,"&gt;"&amp;0)</f>
        <v>8</v>
      </c>
      <c r="AA49" s="3">
        <v>14839.32</v>
      </c>
      <c r="AB49" s="1">
        <v>1E-4</v>
      </c>
      <c r="AC49">
        <v>8</v>
      </c>
      <c r="AD49" s="5">
        <v>4.9926390454777172</v>
      </c>
      <c r="AE49" s="5">
        <v>2.205653324641061</v>
      </c>
      <c r="AF49">
        <v>1</v>
      </c>
    </row>
    <row r="50" spans="8:32" x14ac:dyDescent="0.3">
      <c r="AA50" s="3">
        <v>21291.26</v>
      </c>
      <c r="AB50" s="1">
        <v>1E-4</v>
      </c>
      <c r="AC50">
        <v>8</v>
      </c>
      <c r="AD50" s="5">
        <v>4.9264371709727248</v>
      </c>
      <c r="AE50" s="5">
        <v>2.1598214643644456</v>
      </c>
      <c r="AF50">
        <v>1</v>
      </c>
    </row>
    <row r="51" spans="8:32" x14ac:dyDescent="0.3">
      <c r="H51" t="s">
        <v>87</v>
      </c>
      <c r="I51" s="3">
        <f>IFERROR(INDEX(J43:Q43,MATCH(TRUE,J34:Q34&lt;0,0)),Q43)</f>
        <v>-618.66879307846648</v>
      </c>
      <c r="AA51" s="3">
        <v>20505.09</v>
      </c>
      <c r="AB51" s="1">
        <v>1E-4</v>
      </c>
      <c r="AC51">
        <v>8</v>
      </c>
      <c r="AD51" s="5">
        <v>5.0131065457054174</v>
      </c>
      <c r="AE51" s="5">
        <v>2.1765509918232295</v>
      </c>
      <c r="AF51">
        <v>1</v>
      </c>
    </row>
    <row r="52" spans="8:32" x14ac:dyDescent="0.3">
      <c r="H52" t="s">
        <v>88</v>
      </c>
      <c r="I52" s="3">
        <f t="array" ref="I52">IF(IFERROR(INDEX(J43:Q43,MATCH(TRUE,J44:Q44&lt;0,0)),0)=0,1,0)</f>
        <v>1</v>
      </c>
      <c r="AA52" s="3">
        <v>22561.38</v>
      </c>
      <c r="AB52" s="1">
        <v>1E-4</v>
      </c>
      <c r="AC52">
        <v>8</v>
      </c>
      <c r="AD52" s="5">
        <v>4.9561240925684285</v>
      </c>
      <c r="AE52" s="5">
        <v>2.0976507404545131</v>
      </c>
      <c r="AF52">
        <v>1</v>
      </c>
    </row>
    <row r="53" spans="8:32" x14ac:dyDescent="0.3">
      <c r="H53" t="s">
        <v>89</v>
      </c>
      <c r="I53" s="1">
        <f>+COUNTIF(AC:AC,9)/COUNT(AC:AC)</f>
        <v>0.1862</v>
      </c>
      <c r="J53" s="5">
        <f>+AVERAGEIF(AC:AC,"="&amp;9,AA:AA)</f>
        <v>-10492.506173989168</v>
      </c>
      <c r="K53" s="5">
        <f>+J53*I53</f>
        <v>-1953.7046495967832</v>
      </c>
      <c r="AA53" s="3">
        <v>19698.93</v>
      </c>
      <c r="AB53" s="1">
        <v>1E-4</v>
      </c>
      <c r="AC53">
        <v>8</v>
      </c>
      <c r="AD53" s="5">
        <v>5.0404532481686726</v>
      </c>
      <c r="AE53" s="5">
        <v>2.2484293779026476</v>
      </c>
      <c r="AF53">
        <v>1</v>
      </c>
    </row>
    <row r="54" spans="8:32" x14ac:dyDescent="0.3">
      <c r="H54" t="s">
        <v>90</v>
      </c>
      <c r="I54" s="1">
        <f>1-I53</f>
        <v>0.81379999999999997</v>
      </c>
      <c r="J54" s="5">
        <f>+AVERAGEIF(AC:AC,"&lt;&gt;"&amp;9,AA:AA)</f>
        <v>20633.723748603697</v>
      </c>
      <c r="K54" s="5">
        <f>+J54*I54</f>
        <v>16791.724386613689</v>
      </c>
      <c r="AA54" s="3">
        <v>15064.36</v>
      </c>
      <c r="AB54" s="1">
        <v>1E-4</v>
      </c>
      <c r="AC54">
        <v>8</v>
      </c>
      <c r="AD54" s="5">
        <v>5.0885934664842489</v>
      </c>
      <c r="AE54" s="5">
        <v>2.1551652523132652</v>
      </c>
      <c r="AF54">
        <v>1</v>
      </c>
    </row>
    <row r="55" spans="8:32" x14ac:dyDescent="0.3">
      <c r="AA55" s="3">
        <v>35859.360000000001</v>
      </c>
      <c r="AB55" s="1">
        <v>1E-4</v>
      </c>
      <c r="AC55">
        <v>7</v>
      </c>
      <c r="AD55" s="5">
        <v>5.1286377191926675</v>
      </c>
      <c r="AE55" s="5">
        <v>2.1892059025061013</v>
      </c>
      <c r="AF55">
        <v>1</v>
      </c>
    </row>
    <row r="56" spans="8:32" x14ac:dyDescent="0.3">
      <c r="H56" t="s">
        <v>92</v>
      </c>
      <c r="I56" s="3">
        <f>+SUMPRODUCT(AA:AA,AB:AB)</f>
        <v>14838.019737016904</v>
      </c>
      <c r="AA56" s="3">
        <v>25378.15</v>
      </c>
      <c r="AB56" s="1">
        <v>1E-4</v>
      </c>
      <c r="AC56">
        <v>8</v>
      </c>
      <c r="AD56" s="5">
        <v>5.0229277856507588</v>
      </c>
      <c r="AE56" s="5">
        <v>2.2257996819785664</v>
      </c>
      <c r="AF56">
        <v>1</v>
      </c>
    </row>
    <row r="57" spans="8:32" x14ac:dyDescent="0.3">
      <c r="AA57" s="3">
        <v>15245.67</v>
      </c>
      <c r="AB57" s="1">
        <v>1E-4</v>
      </c>
      <c r="AC57">
        <v>8</v>
      </c>
      <c r="AD57" s="5">
        <v>5.1839681963090181</v>
      </c>
      <c r="AE57" s="5">
        <v>2.155496512398019</v>
      </c>
      <c r="AF57">
        <v>1</v>
      </c>
    </row>
    <row r="58" spans="8:32" x14ac:dyDescent="0.3">
      <c r="AA58" s="3">
        <v>10735.25</v>
      </c>
      <c r="AB58" s="1">
        <v>1E-4</v>
      </c>
      <c r="AC58">
        <v>8</v>
      </c>
      <c r="AD58" s="5">
        <v>4.9176191118570642</v>
      </c>
      <c r="AE58" s="5">
        <v>2.2375769906441096</v>
      </c>
      <c r="AF58">
        <v>1</v>
      </c>
    </row>
    <row r="59" spans="8:32" x14ac:dyDescent="0.3">
      <c r="AA59" s="3">
        <v>-33055.972308182543</v>
      </c>
      <c r="AB59" s="1">
        <v>1E-4</v>
      </c>
      <c r="AC59">
        <v>9</v>
      </c>
      <c r="AD59" s="5">
        <v>5.0251985088087672</v>
      </c>
      <c r="AE59" s="5">
        <v>2.2221886902256132</v>
      </c>
      <c r="AF59">
        <v>0</v>
      </c>
    </row>
    <row r="60" spans="8:32" x14ac:dyDescent="0.3">
      <c r="AA60" s="3">
        <v>12163.88</v>
      </c>
      <c r="AB60" s="1">
        <v>1E-4</v>
      </c>
      <c r="AC60">
        <v>8</v>
      </c>
      <c r="AD60" s="5">
        <v>5.0049854152121283</v>
      </c>
      <c r="AE60" s="5">
        <v>2.1969539844691122</v>
      </c>
      <c r="AF60">
        <v>1</v>
      </c>
    </row>
    <row r="61" spans="8:32" x14ac:dyDescent="0.3">
      <c r="AA61" s="3">
        <v>-13121.615409857077</v>
      </c>
      <c r="AB61" s="1">
        <v>1E-4</v>
      </c>
      <c r="AC61">
        <v>8</v>
      </c>
      <c r="AD61" s="5">
        <v>5.0155128514634812</v>
      </c>
      <c r="AE61" s="5">
        <v>2.2775156837514299</v>
      </c>
      <c r="AF61">
        <v>0</v>
      </c>
    </row>
    <row r="62" spans="8:32" x14ac:dyDescent="0.3">
      <c r="AA62" s="3">
        <v>-3680.98</v>
      </c>
      <c r="AB62" s="1">
        <v>1E-4</v>
      </c>
      <c r="AC62">
        <v>9</v>
      </c>
      <c r="AD62" s="5">
        <v>4.8770278569778736</v>
      </c>
      <c r="AE62" s="5">
        <v>2.1649341427814042</v>
      </c>
      <c r="AF62">
        <v>1</v>
      </c>
    </row>
    <row r="63" spans="8:32" x14ac:dyDescent="0.3">
      <c r="AA63" s="3">
        <v>17317.64</v>
      </c>
      <c r="AB63" s="1">
        <v>1E-4</v>
      </c>
      <c r="AC63">
        <v>8</v>
      </c>
      <c r="AD63" s="5">
        <v>5.1053075644357966</v>
      </c>
      <c r="AE63" s="5">
        <v>2.1827198869266744</v>
      </c>
      <c r="AF63">
        <v>1</v>
      </c>
    </row>
    <row r="64" spans="8:32" x14ac:dyDescent="0.3">
      <c r="AA64" s="3">
        <v>17119.34</v>
      </c>
      <c r="AB64" s="1">
        <v>1E-4</v>
      </c>
      <c r="AC64">
        <v>8</v>
      </c>
      <c r="AD64" s="5">
        <v>5.041225685036526</v>
      </c>
      <c r="AE64" s="5">
        <v>2.2492486621611287</v>
      </c>
      <c r="AF64">
        <v>1</v>
      </c>
    </row>
    <row r="65" spans="27:32" x14ac:dyDescent="0.3">
      <c r="AA65" s="3">
        <v>13147.02</v>
      </c>
      <c r="AB65" s="1">
        <v>1E-4</v>
      </c>
      <c r="AC65">
        <v>8</v>
      </c>
      <c r="AD65" s="5">
        <v>4.9251260623460036</v>
      </c>
      <c r="AE65" s="5">
        <v>2.2057841953806725</v>
      </c>
      <c r="AF65">
        <v>1</v>
      </c>
    </row>
    <row r="66" spans="27:32" x14ac:dyDescent="0.3">
      <c r="AA66" s="3">
        <v>30919.119999999999</v>
      </c>
      <c r="AB66" s="1">
        <v>1E-4</v>
      </c>
      <c r="AC66">
        <v>7</v>
      </c>
      <c r="AD66" s="5">
        <v>4.9634650585411286</v>
      </c>
      <c r="AE66" s="5">
        <v>2.1479096660408215</v>
      </c>
      <c r="AF66">
        <v>1</v>
      </c>
    </row>
    <row r="67" spans="27:32" x14ac:dyDescent="0.3">
      <c r="AA67" s="3">
        <v>34141.370000000003</v>
      </c>
      <c r="AB67" s="1">
        <v>1E-4</v>
      </c>
      <c r="AC67">
        <v>7</v>
      </c>
      <c r="AD67" s="5">
        <v>4.9805593507756392</v>
      </c>
      <c r="AE67" s="5">
        <v>2.1751926137803599</v>
      </c>
      <c r="AF67">
        <v>1</v>
      </c>
    </row>
    <row r="68" spans="27:32" x14ac:dyDescent="0.3">
      <c r="AA68" s="3">
        <v>7302.16</v>
      </c>
      <c r="AB68" s="1">
        <v>1E-4</v>
      </c>
      <c r="AC68">
        <v>8</v>
      </c>
      <c r="AD68" s="5">
        <v>5.0005669747672306</v>
      </c>
      <c r="AE68" s="5">
        <v>2.1697654810766358</v>
      </c>
      <c r="AF68">
        <v>1</v>
      </c>
    </row>
    <row r="69" spans="27:32" x14ac:dyDescent="0.3">
      <c r="AA69" s="3">
        <v>12093.07</v>
      </c>
      <c r="AB69" s="1">
        <v>1E-4</v>
      </c>
      <c r="AC69">
        <v>8</v>
      </c>
      <c r="AD69" s="5">
        <v>5.0191842465760388</v>
      </c>
      <c r="AE69" s="5">
        <v>2.2005712371018036</v>
      </c>
      <c r="AF69">
        <v>1</v>
      </c>
    </row>
    <row r="70" spans="27:32" x14ac:dyDescent="0.3">
      <c r="AA70" s="3">
        <v>8625.76</v>
      </c>
      <c r="AB70" s="1">
        <v>1E-4</v>
      </c>
      <c r="AC70">
        <v>8</v>
      </c>
      <c r="AD70" s="5">
        <v>5.0658982031726723</v>
      </c>
      <c r="AE70" s="5">
        <v>2.1994054899930298</v>
      </c>
      <c r="AF70">
        <v>1</v>
      </c>
    </row>
    <row r="71" spans="27:32" x14ac:dyDescent="0.3">
      <c r="AA71" s="3">
        <v>9156.01</v>
      </c>
      <c r="AB71" s="1">
        <v>1E-4</v>
      </c>
      <c r="AC71">
        <v>8</v>
      </c>
      <c r="AD71" s="5">
        <v>5.0229683750087277</v>
      </c>
      <c r="AE71" s="5">
        <v>2.1637930028622621</v>
      </c>
      <c r="AF71">
        <v>1</v>
      </c>
    </row>
    <row r="72" spans="27:32" x14ac:dyDescent="0.3">
      <c r="AA72" s="3">
        <v>12127.23</v>
      </c>
      <c r="AB72" s="1">
        <v>1E-4</v>
      </c>
      <c r="AC72">
        <v>8</v>
      </c>
      <c r="AD72" s="5">
        <v>4.8913113386900573</v>
      </c>
      <c r="AE72" s="5">
        <v>2.2377586028451786</v>
      </c>
      <c r="AF72">
        <v>1</v>
      </c>
    </row>
    <row r="73" spans="27:32" x14ac:dyDescent="0.3">
      <c r="AA73" s="3">
        <v>-959.12</v>
      </c>
      <c r="AB73" s="1">
        <v>1E-4</v>
      </c>
      <c r="AC73">
        <v>9</v>
      </c>
      <c r="AD73" s="5">
        <v>5.0004188737209656</v>
      </c>
      <c r="AE73" s="5">
        <v>2.2517844540434062</v>
      </c>
      <c r="AF73">
        <v>1</v>
      </c>
    </row>
    <row r="74" spans="27:32" x14ac:dyDescent="0.3">
      <c r="AA74" s="3">
        <v>-29542.46</v>
      </c>
      <c r="AB74" s="1">
        <v>1E-4</v>
      </c>
      <c r="AC74">
        <v>9</v>
      </c>
      <c r="AD74" s="5">
        <v>4.6949216837848473</v>
      </c>
      <c r="AE74" s="5">
        <v>2.1523239636168019</v>
      </c>
      <c r="AF74">
        <v>1</v>
      </c>
    </row>
    <row r="75" spans="27:32" x14ac:dyDescent="0.3">
      <c r="AA75" s="3">
        <v>27127.18</v>
      </c>
      <c r="AB75" s="1">
        <v>1E-4</v>
      </c>
      <c r="AC75">
        <v>8</v>
      </c>
      <c r="AD75" s="5">
        <v>5.0042302862144137</v>
      </c>
      <c r="AE75" s="5">
        <v>2.2047332425505424</v>
      </c>
      <c r="AF75">
        <v>1</v>
      </c>
    </row>
    <row r="76" spans="27:32" x14ac:dyDescent="0.3">
      <c r="AA76" s="3">
        <v>3893.81</v>
      </c>
      <c r="AB76" s="1">
        <v>1E-4</v>
      </c>
      <c r="AC76">
        <v>8</v>
      </c>
      <c r="AD76" s="5">
        <v>5.0033280104815558</v>
      </c>
      <c r="AE76" s="5">
        <v>2.1964557241576999</v>
      </c>
      <c r="AF76">
        <v>1</v>
      </c>
    </row>
    <row r="77" spans="27:32" x14ac:dyDescent="0.3">
      <c r="AA77" s="3">
        <v>27467.119999999999</v>
      </c>
      <c r="AB77" s="1">
        <v>1E-4</v>
      </c>
      <c r="AC77">
        <v>8</v>
      </c>
      <c r="AD77" s="5">
        <v>5.0280273103396533</v>
      </c>
      <c r="AE77" s="5">
        <v>2.2955412416818555</v>
      </c>
      <c r="AF77">
        <v>1</v>
      </c>
    </row>
    <row r="78" spans="27:32" x14ac:dyDescent="0.3">
      <c r="AA78" s="3">
        <v>2179.2600000000002</v>
      </c>
      <c r="AB78" s="1">
        <v>1E-4</v>
      </c>
      <c r="AC78">
        <v>8</v>
      </c>
      <c r="AD78" s="5">
        <v>5.0356855579461675</v>
      </c>
      <c r="AE78" s="5">
        <v>2.1813331007811612</v>
      </c>
      <c r="AF78">
        <v>1</v>
      </c>
    </row>
    <row r="79" spans="27:32" x14ac:dyDescent="0.3">
      <c r="AA79" s="3">
        <v>-1848.9</v>
      </c>
      <c r="AB79" s="1">
        <v>1E-4</v>
      </c>
      <c r="AC79">
        <v>9</v>
      </c>
      <c r="AD79" s="5">
        <v>4.987608173676727</v>
      </c>
      <c r="AE79" s="5">
        <v>2.2389911432715701</v>
      </c>
      <c r="AF79">
        <v>1</v>
      </c>
    </row>
    <row r="80" spans="27:32" x14ac:dyDescent="0.3">
      <c r="AA80" s="3">
        <v>8549.2000000000007</v>
      </c>
      <c r="AB80" s="1">
        <v>1E-4</v>
      </c>
      <c r="AC80">
        <v>8</v>
      </c>
      <c r="AD80" s="5">
        <v>5.0537483735981823</v>
      </c>
      <c r="AE80" s="5">
        <v>2.2382047367403515</v>
      </c>
      <c r="AF80">
        <v>1</v>
      </c>
    </row>
    <row r="81" spans="27:32" x14ac:dyDescent="0.3">
      <c r="AA81" s="3">
        <v>-6669.98</v>
      </c>
      <c r="AB81" s="1">
        <v>1E-4</v>
      </c>
      <c r="AC81">
        <v>9</v>
      </c>
      <c r="AD81" s="5">
        <v>5.0755824727784935</v>
      </c>
      <c r="AE81" s="5">
        <v>2.2832914955476133</v>
      </c>
      <c r="AF81">
        <v>1</v>
      </c>
    </row>
    <row r="82" spans="27:32" x14ac:dyDescent="0.3">
      <c r="AA82" s="3">
        <v>3572.33</v>
      </c>
      <c r="AB82" s="1">
        <v>1E-4</v>
      </c>
      <c r="AC82">
        <v>8</v>
      </c>
      <c r="AD82" s="5">
        <v>5.023050575504131</v>
      </c>
      <c r="AE82" s="5">
        <v>2.1329016014010169</v>
      </c>
      <c r="AF82">
        <v>1</v>
      </c>
    </row>
    <row r="83" spans="27:32" x14ac:dyDescent="0.3">
      <c r="AA83" s="3">
        <v>23516.03</v>
      </c>
      <c r="AB83" s="1">
        <v>1E-4</v>
      </c>
      <c r="AC83">
        <v>8</v>
      </c>
      <c r="AD83" s="5">
        <v>5.0967792661219944</v>
      </c>
      <c r="AE83" s="5">
        <v>2.2866870248692455</v>
      </c>
      <c r="AF83">
        <v>1</v>
      </c>
    </row>
    <row r="84" spans="27:32" x14ac:dyDescent="0.3">
      <c r="AA84" s="3">
        <v>1706.22</v>
      </c>
      <c r="AB84" s="1">
        <v>1E-4</v>
      </c>
      <c r="AC84">
        <v>8</v>
      </c>
      <c r="AD84" s="5">
        <v>4.9492585556084494</v>
      </c>
      <c r="AE84" s="5">
        <v>2.1762040763768686</v>
      </c>
      <c r="AF84">
        <v>1</v>
      </c>
    </row>
    <row r="85" spans="27:32" x14ac:dyDescent="0.3">
      <c r="AA85" s="3">
        <v>22565.43</v>
      </c>
      <c r="AB85" s="1">
        <v>1E-4</v>
      </c>
      <c r="AC85">
        <v>8</v>
      </c>
      <c r="AD85" s="5">
        <v>4.8470565850317255</v>
      </c>
      <c r="AE85" s="5">
        <v>2.1680491768232568</v>
      </c>
      <c r="AF85">
        <v>1</v>
      </c>
    </row>
    <row r="86" spans="27:32" x14ac:dyDescent="0.3">
      <c r="AA86" s="3">
        <v>11282.81</v>
      </c>
      <c r="AB86" s="1">
        <v>1E-4</v>
      </c>
      <c r="AC86">
        <v>8</v>
      </c>
      <c r="AD86" s="5">
        <v>4.9223864198785217</v>
      </c>
      <c r="AE86" s="5">
        <v>2.2827639059095732</v>
      </c>
      <c r="AF86">
        <v>1</v>
      </c>
    </row>
    <row r="87" spans="27:32" x14ac:dyDescent="0.3">
      <c r="AA87" s="3">
        <v>11079.44</v>
      </c>
      <c r="AB87" s="1">
        <v>1E-4</v>
      </c>
      <c r="AC87">
        <v>8</v>
      </c>
      <c r="AD87" s="5">
        <v>4.9602000901290362</v>
      </c>
      <c r="AE87" s="5">
        <v>2.2539856372909099</v>
      </c>
      <c r="AF87">
        <v>1</v>
      </c>
    </row>
    <row r="88" spans="27:32" x14ac:dyDescent="0.3">
      <c r="AA88" s="3">
        <v>16509.509999999998</v>
      </c>
      <c r="AB88" s="1">
        <v>1E-4</v>
      </c>
      <c r="AC88">
        <v>8</v>
      </c>
      <c r="AD88" s="5">
        <v>4.9750210405401081</v>
      </c>
      <c r="AE88" s="5">
        <v>2.194164358328599</v>
      </c>
      <c r="AF88">
        <v>1</v>
      </c>
    </row>
    <row r="89" spans="27:32" x14ac:dyDescent="0.3">
      <c r="AA89" s="3">
        <v>26358.7</v>
      </c>
      <c r="AB89" s="1">
        <v>1E-4</v>
      </c>
      <c r="AC89">
        <v>8</v>
      </c>
      <c r="AD89" s="5">
        <v>5.0613303416489739</v>
      </c>
      <c r="AE89" s="5">
        <v>2.2235018246284586</v>
      </c>
      <c r="AF89">
        <v>1</v>
      </c>
    </row>
    <row r="90" spans="27:32" x14ac:dyDescent="0.3">
      <c r="AA90" s="3">
        <v>13934.33</v>
      </c>
      <c r="AB90" s="1">
        <v>1E-4</v>
      </c>
      <c r="AC90">
        <v>8</v>
      </c>
      <c r="AD90" s="5">
        <v>4.9750103041315343</v>
      </c>
      <c r="AE90" s="5">
        <v>2.2707616140993472</v>
      </c>
      <c r="AF90">
        <v>1</v>
      </c>
    </row>
    <row r="91" spans="27:32" x14ac:dyDescent="0.3">
      <c r="AA91" s="3">
        <v>-24708.44</v>
      </c>
      <c r="AB91" s="1">
        <v>1E-4</v>
      </c>
      <c r="AC91">
        <v>9</v>
      </c>
      <c r="AD91" s="5">
        <v>4.9554610695340582</v>
      </c>
      <c r="AE91" s="5">
        <v>2.2447099534299895</v>
      </c>
      <c r="AF91">
        <v>1</v>
      </c>
    </row>
    <row r="92" spans="27:32" x14ac:dyDescent="0.3">
      <c r="AA92" s="3">
        <v>308.02999999999997</v>
      </c>
      <c r="AB92" s="1">
        <v>1E-4</v>
      </c>
      <c r="AC92">
        <v>8</v>
      </c>
      <c r="AD92" s="5">
        <v>5.0508568083438981</v>
      </c>
      <c r="AE92" s="5">
        <v>2.2711863868895805</v>
      </c>
      <c r="AF92">
        <v>1</v>
      </c>
    </row>
    <row r="93" spans="27:32" x14ac:dyDescent="0.3">
      <c r="AA93" s="3">
        <v>24995.48</v>
      </c>
      <c r="AB93" s="1">
        <v>1E-4</v>
      </c>
      <c r="AC93">
        <v>7</v>
      </c>
      <c r="AD93" s="5">
        <v>4.9410825751706078</v>
      </c>
      <c r="AE93" s="5">
        <v>2.169116423810872</v>
      </c>
      <c r="AF93">
        <v>1</v>
      </c>
    </row>
    <row r="94" spans="27:32" x14ac:dyDescent="0.3">
      <c r="AA94" s="3">
        <v>10269.08</v>
      </c>
      <c r="AB94" s="1">
        <v>1E-4</v>
      </c>
      <c r="AC94">
        <v>8</v>
      </c>
      <c r="AD94" s="5">
        <v>5.0656023888493538</v>
      </c>
      <c r="AE94" s="5">
        <v>2.1772720930757674</v>
      </c>
      <c r="AF94">
        <v>1</v>
      </c>
    </row>
    <row r="95" spans="27:32" x14ac:dyDescent="0.3">
      <c r="AA95" s="3">
        <v>12578.77</v>
      </c>
      <c r="AB95" s="1">
        <v>1E-4</v>
      </c>
      <c r="AC95">
        <v>8</v>
      </c>
      <c r="AD95" s="5">
        <v>5.0998070824648218</v>
      </c>
      <c r="AE95" s="5">
        <v>2.2492703143052242</v>
      </c>
      <c r="AF95">
        <v>1</v>
      </c>
    </row>
    <row r="96" spans="27:32" x14ac:dyDescent="0.3">
      <c r="AA96" s="3">
        <v>38635.760000000002</v>
      </c>
      <c r="AB96" s="1">
        <v>1E-4</v>
      </c>
      <c r="AC96">
        <v>7</v>
      </c>
      <c r="AD96" s="5">
        <v>5.0693538610063813</v>
      </c>
      <c r="AE96" s="5">
        <v>2.2156442383670854</v>
      </c>
      <c r="AF96">
        <v>1</v>
      </c>
    </row>
    <row r="97" spans="27:32" x14ac:dyDescent="0.3">
      <c r="AA97" s="3">
        <v>7060.89</v>
      </c>
      <c r="AB97" s="1">
        <v>1E-4</v>
      </c>
      <c r="AC97">
        <v>8</v>
      </c>
      <c r="AD97" s="5">
        <v>5.0859016089241438</v>
      </c>
      <c r="AE97" s="5">
        <v>2.2176821821836894</v>
      </c>
      <c r="AF97">
        <v>1</v>
      </c>
    </row>
    <row r="98" spans="27:32" x14ac:dyDescent="0.3">
      <c r="AA98" s="3">
        <v>21429.96</v>
      </c>
      <c r="AB98" s="1">
        <v>1E-4</v>
      </c>
      <c r="AC98">
        <v>8</v>
      </c>
      <c r="AD98" s="5">
        <v>4.819442493313784</v>
      </c>
      <c r="AE98" s="5">
        <v>2.1742993763202971</v>
      </c>
      <c r="AF98">
        <v>1</v>
      </c>
    </row>
    <row r="99" spans="27:32" x14ac:dyDescent="0.3">
      <c r="AA99" s="3">
        <v>-8661.01</v>
      </c>
      <c r="AB99" s="1">
        <v>1E-4</v>
      </c>
      <c r="AC99">
        <v>9</v>
      </c>
      <c r="AD99" s="5">
        <v>4.9416930616197874</v>
      </c>
      <c r="AE99" s="5">
        <v>2.3159279063247986</v>
      </c>
      <c r="AF99">
        <v>1</v>
      </c>
    </row>
    <row r="100" spans="27:32" x14ac:dyDescent="0.3">
      <c r="AA100" s="3">
        <v>41622.06</v>
      </c>
      <c r="AB100" s="1">
        <v>1E-4</v>
      </c>
      <c r="AC100">
        <v>7</v>
      </c>
      <c r="AD100" s="5">
        <v>5.1605035250017064</v>
      </c>
      <c r="AE100" s="5">
        <v>2.2826729545837643</v>
      </c>
      <c r="AF100">
        <v>1</v>
      </c>
    </row>
    <row r="101" spans="27:32" x14ac:dyDescent="0.3">
      <c r="AA101" s="3">
        <v>40346.949999999997</v>
      </c>
      <c r="AB101" s="1">
        <v>1E-4</v>
      </c>
      <c r="AC101">
        <v>7</v>
      </c>
      <c r="AD101" s="5">
        <v>5.0732657369197307</v>
      </c>
      <c r="AE101" s="5">
        <v>2.1522292576897297</v>
      </c>
      <c r="AF101">
        <v>1</v>
      </c>
    </row>
    <row r="102" spans="27:32" x14ac:dyDescent="0.3">
      <c r="AA102" s="3">
        <v>-12124.96</v>
      </c>
      <c r="AB102">
        <v>1E-4</v>
      </c>
      <c r="AC102">
        <v>9</v>
      </c>
      <c r="AD102" s="5">
        <v>4.9502207357629135</v>
      </c>
      <c r="AE102" s="5">
        <v>2.2134635765029524</v>
      </c>
      <c r="AF102">
        <v>1</v>
      </c>
    </row>
    <row r="103" spans="27:32" x14ac:dyDescent="0.3">
      <c r="AA103" s="3">
        <v>6989.23</v>
      </c>
      <c r="AB103">
        <v>1E-4</v>
      </c>
      <c r="AC103">
        <v>8</v>
      </c>
      <c r="AD103" s="5">
        <v>5.0998954127007119</v>
      </c>
      <c r="AE103" s="5">
        <v>2.1757436420141381</v>
      </c>
      <c r="AF103">
        <v>1</v>
      </c>
    </row>
    <row r="104" spans="27:32" x14ac:dyDescent="0.3">
      <c r="AA104" s="3">
        <v>14447.9</v>
      </c>
      <c r="AB104">
        <v>1E-4</v>
      </c>
      <c r="AC104">
        <v>8</v>
      </c>
      <c r="AD104" s="5">
        <v>5.0036139777627433</v>
      </c>
      <c r="AE104" s="5">
        <v>2.1592813147053773</v>
      </c>
      <c r="AF104">
        <v>1</v>
      </c>
    </row>
    <row r="105" spans="27:32" x14ac:dyDescent="0.3">
      <c r="AA105" s="3">
        <v>21033.42</v>
      </c>
      <c r="AB105">
        <v>1E-4</v>
      </c>
      <c r="AC105">
        <v>8</v>
      </c>
      <c r="AD105" s="5">
        <v>5.1157714193326909</v>
      </c>
      <c r="AE105" s="5">
        <v>2.1826743306568943</v>
      </c>
      <c r="AF105">
        <v>1</v>
      </c>
    </row>
    <row r="106" spans="27:32" x14ac:dyDescent="0.3">
      <c r="AA106" s="3">
        <v>11708.23</v>
      </c>
      <c r="AB106">
        <v>1E-4</v>
      </c>
      <c r="AC106">
        <v>8</v>
      </c>
      <c r="AD106" s="5">
        <v>5.0959008664748593</v>
      </c>
      <c r="AE106" s="5">
        <v>2.2319560430878251</v>
      </c>
      <c r="AF106">
        <v>1</v>
      </c>
    </row>
    <row r="107" spans="27:32" x14ac:dyDescent="0.3">
      <c r="AA107" s="3">
        <v>26307.55</v>
      </c>
      <c r="AB107">
        <v>1E-4</v>
      </c>
      <c r="AC107">
        <v>8</v>
      </c>
      <c r="AD107" s="5">
        <v>4.9056372487639317</v>
      </c>
      <c r="AE107" s="5">
        <v>2.1405579595063302</v>
      </c>
      <c r="AF107">
        <v>1</v>
      </c>
    </row>
    <row r="108" spans="27:32" x14ac:dyDescent="0.3">
      <c r="AA108" s="3">
        <v>29071.95</v>
      </c>
      <c r="AB108">
        <v>1E-4</v>
      </c>
      <c r="AC108">
        <v>8</v>
      </c>
      <c r="AD108" s="5">
        <v>5.0294303997703231</v>
      </c>
      <c r="AE108" s="5">
        <v>2.1798158748173146</v>
      </c>
      <c r="AF108">
        <v>1</v>
      </c>
    </row>
    <row r="109" spans="27:32" x14ac:dyDescent="0.3">
      <c r="AA109" s="3">
        <v>13848.22</v>
      </c>
      <c r="AB109">
        <v>1E-4</v>
      </c>
      <c r="AC109">
        <v>8</v>
      </c>
      <c r="AD109" s="5">
        <v>4.8653405334884345</v>
      </c>
      <c r="AE109" s="5">
        <v>2.2188977942157537</v>
      </c>
      <c r="AF109">
        <v>1</v>
      </c>
    </row>
    <row r="110" spans="27:32" x14ac:dyDescent="0.3">
      <c r="AA110" s="3">
        <v>15447.41</v>
      </c>
      <c r="AB110">
        <v>1E-4</v>
      </c>
      <c r="AC110">
        <v>8</v>
      </c>
      <c r="AD110" s="5">
        <v>4.9397323024101016</v>
      </c>
      <c r="AE110" s="5">
        <v>2.1729945364815868</v>
      </c>
      <c r="AF110">
        <v>1</v>
      </c>
    </row>
    <row r="111" spans="27:32" x14ac:dyDescent="0.3">
      <c r="AA111" s="3">
        <v>12256.74</v>
      </c>
      <c r="AB111">
        <v>1E-4</v>
      </c>
      <c r="AC111">
        <v>8</v>
      </c>
      <c r="AD111" s="5">
        <v>4.9780911502397593</v>
      </c>
      <c r="AE111" s="5">
        <v>2.1074657647041115</v>
      </c>
      <c r="AF111">
        <v>1</v>
      </c>
    </row>
    <row r="112" spans="27:32" x14ac:dyDescent="0.3">
      <c r="AA112" s="3">
        <v>13988.33</v>
      </c>
      <c r="AB112">
        <v>1E-4</v>
      </c>
      <c r="AC112">
        <v>8</v>
      </c>
      <c r="AD112" s="5">
        <v>5.003357863821674</v>
      </c>
      <c r="AE112" s="5">
        <v>2.2715340958146624</v>
      </c>
      <c r="AF112">
        <v>1</v>
      </c>
    </row>
    <row r="113" spans="27:32" x14ac:dyDescent="0.3">
      <c r="AA113" s="3">
        <v>-7292.44</v>
      </c>
      <c r="AB113">
        <v>1E-4</v>
      </c>
      <c r="AC113">
        <v>9</v>
      </c>
      <c r="AD113" s="5">
        <v>4.9492853309860552</v>
      </c>
      <c r="AE113" s="5">
        <v>2.2253737987068636</v>
      </c>
      <c r="AF113">
        <v>1</v>
      </c>
    </row>
    <row r="114" spans="27:32" x14ac:dyDescent="0.3">
      <c r="AA114" s="3">
        <v>5313.3</v>
      </c>
      <c r="AB114">
        <v>1E-4</v>
      </c>
      <c r="AC114">
        <v>8</v>
      </c>
      <c r="AD114" s="5">
        <v>5.2239847305261007</v>
      </c>
      <c r="AE114" s="5">
        <v>2.1755500148107982</v>
      </c>
      <c r="AF114">
        <v>1</v>
      </c>
    </row>
    <row r="115" spans="27:32" x14ac:dyDescent="0.3">
      <c r="AA115" s="3">
        <v>14485.75</v>
      </c>
      <c r="AB115">
        <v>1E-4</v>
      </c>
      <c r="AC115">
        <v>8</v>
      </c>
      <c r="AD115" s="5">
        <v>4.8711050026860514</v>
      </c>
      <c r="AE115" s="5">
        <v>2.2667424302867083</v>
      </c>
      <c r="AF115">
        <v>1</v>
      </c>
    </row>
    <row r="116" spans="27:32" x14ac:dyDescent="0.3">
      <c r="AA116" s="3">
        <v>-31669.50038118114</v>
      </c>
      <c r="AB116">
        <v>1E-4</v>
      </c>
      <c r="AC116">
        <v>9</v>
      </c>
      <c r="AD116" s="5">
        <v>4.9604963877176553</v>
      </c>
      <c r="AE116" s="5">
        <v>2.1954389647770709</v>
      </c>
      <c r="AF116">
        <v>0</v>
      </c>
    </row>
    <row r="117" spans="27:32" x14ac:dyDescent="0.3">
      <c r="AA117" s="3">
        <v>21466.86</v>
      </c>
      <c r="AB117">
        <v>1E-4</v>
      </c>
      <c r="AC117">
        <v>8</v>
      </c>
      <c r="AD117" s="5">
        <v>5.0407672635527341</v>
      </c>
      <c r="AE117" s="5">
        <v>2.2081200809034494</v>
      </c>
      <c r="AF117">
        <v>1</v>
      </c>
    </row>
    <row r="118" spans="27:32" x14ac:dyDescent="0.3">
      <c r="AA118" s="3">
        <v>-10644.51109009904</v>
      </c>
      <c r="AB118">
        <v>1E-4</v>
      </c>
      <c r="AC118">
        <v>8</v>
      </c>
      <c r="AD118" s="5">
        <v>5.0262600140940634</v>
      </c>
      <c r="AE118" s="5">
        <v>2.2569653804179892</v>
      </c>
      <c r="AF118">
        <v>0</v>
      </c>
    </row>
    <row r="119" spans="27:32" x14ac:dyDescent="0.3">
      <c r="AA119" s="3">
        <v>14405.35</v>
      </c>
      <c r="AB119">
        <v>1E-4</v>
      </c>
      <c r="AC119">
        <v>8</v>
      </c>
      <c r="AD119" s="5">
        <v>4.8897186822316741</v>
      </c>
      <c r="AE119" s="5">
        <v>2.2299259350439478</v>
      </c>
      <c r="AF119">
        <v>1</v>
      </c>
    </row>
    <row r="120" spans="27:32" x14ac:dyDescent="0.3">
      <c r="AA120" s="3">
        <v>5615.53</v>
      </c>
      <c r="AB120">
        <v>1E-4</v>
      </c>
      <c r="AC120">
        <v>8</v>
      </c>
      <c r="AD120" s="5">
        <v>5.1000248171168021</v>
      </c>
      <c r="AE120" s="5">
        <v>2.2355521644138237</v>
      </c>
      <c r="AF120">
        <v>1</v>
      </c>
    </row>
    <row r="121" spans="27:32" x14ac:dyDescent="0.3">
      <c r="AA121" s="3">
        <v>6531.62</v>
      </c>
      <c r="AB121">
        <v>1E-4</v>
      </c>
      <c r="AC121">
        <v>8</v>
      </c>
      <c r="AD121" s="5">
        <v>4.9310523920983016</v>
      </c>
      <c r="AE121" s="5">
        <v>2.1978860715573743</v>
      </c>
      <c r="AF121">
        <v>1</v>
      </c>
    </row>
    <row r="122" spans="27:32" x14ac:dyDescent="0.3">
      <c r="AA122" s="3">
        <v>-10848.046720105785</v>
      </c>
      <c r="AB122">
        <v>1E-4</v>
      </c>
      <c r="AC122">
        <v>8</v>
      </c>
      <c r="AD122" s="5">
        <v>4.9988364085008037</v>
      </c>
      <c r="AE122" s="5">
        <v>2.1919132369524537</v>
      </c>
      <c r="AF122">
        <v>0</v>
      </c>
    </row>
    <row r="123" spans="27:32" x14ac:dyDescent="0.3">
      <c r="AA123" s="3">
        <v>-1570.4</v>
      </c>
      <c r="AB123">
        <v>1E-4</v>
      </c>
      <c r="AC123">
        <v>9</v>
      </c>
      <c r="AD123" s="5">
        <v>4.8497105960124953</v>
      </c>
      <c r="AE123" s="5">
        <v>2.1643543267418779</v>
      </c>
      <c r="AF123">
        <v>1</v>
      </c>
    </row>
    <row r="124" spans="27:32" x14ac:dyDescent="0.3">
      <c r="AA124" s="3">
        <v>29243.26</v>
      </c>
      <c r="AB124">
        <v>1E-4</v>
      </c>
      <c r="AC124">
        <v>7</v>
      </c>
      <c r="AD124" s="5">
        <v>5.1352838657516902</v>
      </c>
      <c r="AE124" s="5">
        <v>2.2576726882550515</v>
      </c>
      <c r="AF124">
        <v>1</v>
      </c>
    </row>
    <row r="125" spans="27:32" x14ac:dyDescent="0.3">
      <c r="AA125" s="3">
        <v>28310.45</v>
      </c>
      <c r="AB125">
        <v>1E-4</v>
      </c>
      <c r="AC125">
        <v>8</v>
      </c>
      <c r="AD125" s="5">
        <v>4.9888001431256646</v>
      </c>
      <c r="AE125" s="5">
        <v>2.1223412612350279</v>
      </c>
      <c r="AF125">
        <v>1</v>
      </c>
    </row>
    <row r="126" spans="27:32" x14ac:dyDescent="0.3">
      <c r="AA126" s="3">
        <v>36397.5</v>
      </c>
      <c r="AB126">
        <v>1E-4</v>
      </c>
      <c r="AC126">
        <v>7</v>
      </c>
      <c r="AD126" s="5">
        <v>5.1370907731226767</v>
      </c>
      <c r="AE126" s="5">
        <v>2.1346189110158393</v>
      </c>
      <c r="AF126">
        <v>1</v>
      </c>
    </row>
    <row r="127" spans="27:32" x14ac:dyDescent="0.3">
      <c r="AA127" s="3">
        <v>25552.09</v>
      </c>
      <c r="AB127">
        <v>1E-4</v>
      </c>
      <c r="AC127">
        <v>8</v>
      </c>
      <c r="AD127" s="5">
        <v>4.9810800291363249</v>
      </c>
      <c r="AE127" s="5">
        <v>2.277128395683834</v>
      </c>
      <c r="AF127">
        <v>1</v>
      </c>
    </row>
    <row r="128" spans="27:32" x14ac:dyDescent="0.3">
      <c r="AA128" s="3">
        <v>40023.269999999997</v>
      </c>
      <c r="AB128">
        <v>1E-4</v>
      </c>
      <c r="AC128">
        <v>7</v>
      </c>
      <c r="AD128" s="5">
        <v>5.0695166445579218</v>
      </c>
      <c r="AE128" s="5">
        <v>2.1735027841139272</v>
      </c>
      <c r="AF128">
        <v>1</v>
      </c>
    </row>
    <row r="129" spans="27:32" x14ac:dyDescent="0.3">
      <c r="AA129" s="3">
        <v>10041.02</v>
      </c>
      <c r="AB129">
        <v>1E-4</v>
      </c>
      <c r="AC129">
        <v>8</v>
      </c>
      <c r="AD129" s="5">
        <v>5.0082452969118707</v>
      </c>
      <c r="AE129" s="5">
        <v>2.1931516461698188</v>
      </c>
      <c r="AF129">
        <v>1</v>
      </c>
    </row>
    <row r="130" spans="27:32" x14ac:dyDescent="0.3">
      <c r="AA130" s="3">
        <v>33846.57</v>
      </c>
      <c r="AB130">
        <v>1E-4</v>
      </c>
      <c r="AC130">
        <v>7</v>
      </c>
      <c r="AD130" s="5">
        <v>4.9430290382259177</v>
      </c>
      <c r="AE130" s="5">
        <v>2.1101178280603103</v>
      </c>
      <c r="AF130">
        <v>1</v>
      </c>
    </row>
    <row r="131" spans="27:32" x14ac:dyDescent="0.3">
      <c r="AA131" s="3">
        <v>23947.759999999998</v>
      </c>
      <c r="AB131">
        <v>1E-4</v>
      </c>
      <c r="AC131">
        <v>8</v>
      </c>
      <c r="AD131" s="5">
        <v>5.0149302371068147</v>
      </c>
      <c r="AE131" s="5">
        <v>2.2525136661405574</v>
      </c>
      <c r="AF131">
        <v>1</v>
      </c>
    </row>
    <row r="132" spans="27:32" x14ac:dyDescent="0.3">
      <c r="AA132" s="3">
        <v>24408.54</v>
      </c>
      <c r="AB132">
        <v>1E-4</v>
      </c>
      <c r="AC132">
        <v>8</v>
      </c>
      <c r="AD132" s="5">
        <v>5.1070921187016811</v>
      </c>
      <c r="AE132" s="5">
        <v>2.1702355608599055</v>
      </c>
      <c r="AF132">
        <v>1</v>
      </c>
    </row>
    <row r="133" spans="27:32" x14ac:dyDescent="0.3">
      <c r="AA133" s="3">
        <v>-17610.12</v>
      </c>
      <c r="AB133">
        <v>1E-4</v>
      </c>
      <c r="AC133">
        <v>9</v>
      </c>
      <c r="AD133" s="5">
        <v>4.9161411381634199</v>
      </c>
      <c r="AE133" s="5">
        <v>2.2209740535136113</v>
      </c>
      <c r="AF133">
        <v>1</v>
      </c>
    </row>
    <row r="134" spans="27:32" x14ac:dyDescent="0.3">
      <c r="AA134" s="3">
        <v>4098.76</v>
      </c>
      <c r="AB134">
        <v>1E-4</v>
      </c>
      <c r="AC134">
        <v>8</v>
      </c>
      <c r="AD134" s="5">
        <v>4.9046043772237189</v>
      </c>
      <c r="AE134" s="5">
        <v>2.1542865780608227</v>
      </c>
      <c r="AF134">
        <v>1</v>
      </c>
    </row>
    <row r="135" spans="27:32" x14ac:dyDescent="0.3">
      <c r="AA135" s="3">
        <v>29305.42</v>
      </c>
      <c r="AB135">
        <v>1E-4</v>
      </c>
      <c r="AC135">
        <v>8</v>
      </c>
      <c r="AD135" s="5">
        <v>5.0408071451577481</v>
      </c>
      <c r="AE135" s="5">
        <v>2.1768919721393081</v>
      </c>
      <c r="AF135">
        <v>1</v>
      </c>
    </row>
    <row r="136" spans="27:32" x14ac:dyDescent="0.3">
      <c r="AA136" s="3">
        <v>-2534.75</v>
      </c>
      <c r="AB136">
        <v>1E-4</v>
      </c>
      <c r="AC136">
        <v>9</v>
      </c>
      <c r="AD136" s="5">
        <v>4.9184463395385203</v>
      </c>
      <c r="AE136" s="5">
        <v>2.1817722509204436</v>
      </c>
      <c r="AF136">
        <v>1</v>
      </c>
    </row>
    <row r="137" spans="27:32" x14ac:dyDescent="0.3">
      <c r="AA137" s="3">
        <v>23208.44</v>
      </c>
      <c r="AB137">
        <v>1E-4</v>
      </c>
      <c r="AC137">
        <v>8</v>
      </c>
      <c r="AD137" s="5">
        <v>5.0545630520459666</v>
      </c>
      <c r="AE137" s="5">
        <v>2.1101837550193308</v>
      </c>
      <c r="AF137">
        <v>1</v>
      </c>
    </row>
    <row r="138" spans="27:32" x14ac:dyDescent="0.3">
      <c r="AA138" s="3">
        <v>-11690.28</v>
      </c>
      <c r="AB138">
        <v>1E-4</v>
      </c>
      <c r="AC138">
        <v>9</v>
      </c>
      <c r="AD138" s="5">
        <v>4.8851099533136182</v>
      </c>
      <c r="AE138" s="5">
        <v>2.2152343901904779</v>
      </c>
      <c r="AF138">
        <v>1</v>
      </c>
    </row>
    <row r="139" spans="27:32" x14ac:dyDescent="0.3">
      <c r="AA139" s="3">
        <v>14633.45</v>
      </c>
      <c r="AB139">
        <v>1E-4</v>
      </c>
      <c r="AC139">
        <v>8</v>
      </c>
      <c r="AD139" s="5">
        <v>4.8717107242200086</v>
      </c>
      <c r="AE139" s="5">
        <v>2.1795312687465809</v>
      </c>
      <c r="AF139">
        <v>1</v>
      </c>
    </row>
    <row r="140" spans="27:32" x14ac:dyDescent="0.3">
      <c r="AA140" s="3">
        <v>33706.76</v>
      </c>
      <c r="AB140">
        <v>1E-4</v>
      </c>
      <c r="AC140">
        <v>7</v>
      </c>
      <c r="AD140" s="5">
        <v>4.8793637610579754</v>
      </c>
      <c r="AE140" s="5">
        <v>2.1693910542937735</v>
      </c>
      <c r="AF140">
        <v>1</v>
      </c>
    </row>
    <row r="141" spans="27:32" x14ac:dyDescent="0.3">
      <c r="AA141" s="3">
        <v>13097.51</v>
      </c>
      <c r="AB141">
        <v>1E-4</v>
      </c>
      <c r="AC141">
        <v>8</v>
      </c>
      <c r="AD141" s="5">
        <v>4.9218111792258883</v>
      </c>
      <c r="AE141" s="5">
        <v>2.2446836359775757</v>
      </c>
      <c r="AF141">
        <v>1</v>
      </c>
    </row>
    <row r="142" spans="27:32" x14ac:dyDescent="0.3">
      <c r="AA142" s="3">
        <v>-3400.08</v>
      </c>
      <c r="AB142">
        <v>1E-4</v>
      </c>
      <c r="AC142">
        <v>9</v>
      </c>
      <c r="AD142" s="5">
        <v>5.108685064650758</v>
      </c>
      <c r="AE142" s="5">
        <v>2.2053628470212061</v>
      </c>
      <c r="AF142">
        <v>1</v>
      </c>
    </row>
    <row r="143" spans="27:32" x14ac:dyDescent="0.3">
      <c r="AA143" s="3">
        <v>8961.92</v>
      </c>
      <c r="AB143">
        <v>1E-4</v>
      </c>
      <c r="AC143">
        <v>8</v>
      </c>
      <c r="AD143" s="5">
        <v>4.9371989252497475</v>
      </c>
      <c r="AE143" s="5">
        <v>2.1793359463538233</v>
      </c>
      <c r="AF143">
        <v>1</v>
      </c>
    </row>
    <row r="144" spans="27:32" x14ac:dyDescent="0.3">
      <c r="AA144" s="3">
        <v>12521.64</v>
      </c>
      <c r="AB144">
        <v>1E-4</v>
      </c>
      <c r="AC144">
        <v>8</v>
      </c>
      <c r="AD144" s="5">
        <v>4.9246071035674097</v>
      </c>
      <c r="AE144" s="5">
        <v>2.2084759942856653</v>
      </c>
      <c r="AF144">
        <v>1</v>
      </c>
    </row>
    <row r="145" spans="27:32" x14ac:dyDescent="0.3">
      <c r="AA145" s="3">
        <v>8563.76</v>
      </c>
      <c r="AB145">
        <v>1E-4</v>
      </c>
      <c r="AC145">
        <v>8</v>
      </c>
      <c r="AD145" s="5">
        <v>5.0653247930083483</v>
      </c>
      <c r="AE145" s="5">
        <v>2.2186290847792653</v>
      </c>
      <c r="AF145">
        <v>1</v>
      </c>
    </row>
    <row r="146" spans="27:32" x14ac:dyDescent="0.3">
      <c r="AA146" s="3">
        <v>25725.52</v>
      </c>
      <c r="AB146">
        <v>1E-4</v>
      </c>
      <c r="AC146">
        <v>8</v>
      </c>
      <c r="AD146" s="5">
        <v>5.0105664742071863</v>
      </c>
      <c r="AE146" s="5">
        <v>2.1832841445906195</v>
      </c>
      <c r="AF146">
        <v>1</v>
      </c>
    </row>
    <row r="147" spans="27:32" x14ac:dyDescent="0.3">
      <c r="AA147" s="3">
        <v>3237.56</v>
      </c>
      <c r="AB147">
        <v>1E-4</v>
      </c>
      <c r="AC147">
        <v>8</v>
      </c>
      <c r="AD147" s="5">
        <v>5.0004727932246524</v>
      </c>
      <c r="AE147" s="5">
        <v>2.1447432241987818</v>
      </c>
      <c r="AF147">
        <v>1</v>
      </c>
    </row>
    <row r="148" spans="27:32" x14ac:dyDescent="0.3">
      <c r="AA148" s="3">
        <v>15378.64</v>
      </c>
      <c r="AB148">
        <v>1E-4</v>
      </c>
      <c r="AC148">
        <v>8</v>
      </c>
      <c r="AD148" s="5">
        <v>5.0583402633799093</v>
      </c>
      <c r="AE148" s="5">
        <v>2.2948908535583827</v>
      </c>
      <c r="AF148">
        <v>1</v>
      </c>
    </row>
    <row r="149" spans="27:32" x14ac:dyDescent="0.3">
      <c r="AA149" s="3">
        <v>33618.089999999997</v>
      </c>
      <c r="AB149">
        <v>1E-4</v>
      </c>
      <c r="AC149">
        <v>7</v>
      </c>
      <c r="AD149" s="5">
        <v>4.946939915332548</v>
      </c>
      <c r="AE149" s="5">
        <v>2.2360540018240691</v>
      </c>
      <c r="AF149">
        <v>1</v>
      </c>
    </row>
    <row r="150" spans="27:32" x14ac:dyDescent="0.3">
      <c r="AA150" s="3">
        <v>4137.37</v>
      </c>
      <c r="AB150">
        <v>1E-4</v>
      </c>
      <c r="AC150">
        <v>8</v>
      </c>
      <c r="AD150" s="5">
        <v>4.874735293639608</v>
      </c>
      <c r="AE150" s="5">
        <v>2.2210660950133509</v>
      </c>
      <c r="AF150">
        <v>1</v>
      </c>
    </row>
    <row r="151" spans="27:32" x14ac:dyDescent="0.3">
      <c r="AA151" s="3">
        <v>24588.33</v>
      </c>
      <c r="AB151">
        <v>1E-4</v>
      </c>
      <c r="AC151">
        <v>8</v>
      </c>
      <c r="AD151" s="5">
        <v>4.9573598420578397</v>
      </c>
      <c r="AE151" s="5">
        <v>2.1823748052615732</v>
      </c>
      <c r="AF151">
        <v>1</v>
      </c>
    </row>
    <row r="152" spans="27:32" x14ac:dyDescent="0.3">
      <c r="AA152" s="3">
        <v>12627.71</v>
      </c>
      <c r="AB152">
        <v>1E-4</v>
      </c>
      <c r="AC152">
        <v>8</v>
      </c>
      <c r="AD152" s="5">
        <v>4.9389643522532518</v>
      </c>
      <c r="AE152" s="5">
        <v>2.2257427516075188</v>
      </c>
      <c r="AF152">
        <v>1</v>
      </c>
    </row>
    <row r="153" spans="27:32" x14ac:dyDescent="0.3">
      <c r="AA153" s="3">
        <v>89.72</v>
      </c>
      <c r="AB153">
        <v>1E-4</v>
      </c>
      <c r="AC153">
        <v>8</v>
      </c>
      <c r="AD153" s="5">
        <v>5.1096268371816107</v>
      </c>
      <c r="AE153" s="5">
        <v>2.2049616524110962</v>
      </c>
      <c r="AF153">
        <v>1</v>
      </c>
    </row>
    <row r="154" spans="27:32" x14ac:dyDescent="0.3">
      <c r="AA154" s="3">
        <v>12468.45</v>
      </c>
      <c r="AB154">
        <v>1E-4</v>
      </c>
      <c r="AC154">
        <v>8</v>
      </c>
      <c r="AD154" s="5">
        <v>4.8549352315275742</v>
      </c>
      <c r="AE154" s="5">
        <v>2.2532876837978679</v>
      </c>
      <c r="AF154">
        <v>1</v>
      </c>
    </row>
    <row r="155" spans="27:32" x14ac:dyDescent="0.3">
      <c r="AA155" s="3">
        <v>2780.06</v>
      </c>
      <c r="AB155">
        <v>1E-4</v>
      </c>
      <c r="AC155">
        <v>8</v>
      </c>
      <c r="AD155" s="5">
        <v>4.9664339916402707</v>
      </c>
      <c r="AE155" s="5">
        <v>2.1270004042351145</v>
      </c>
      <c r="AF155">
        <v>1</v>
      </c>
    </row>
    <row r="156" spans="27:32" x14ac:dyDescent="0.3">
      <c r="AA156" s="3">
        <v>2194.6</v>
      </c>
      <c r="AB156">
        <v>1E-4</v>
      </c>
      <c r="AC156">
        <v>8</v>
      </c>
      <c r="AD156" s="5">
        <v>4.918524865967977</v>
      </c>
      <c r="AE156" s="5">
        <v>2.266029471722923</v>
      </c>
      <c r="AF156">
        <v>1</v>
      </c>
    </row>
    <row r="157" spans="27:32" x14ac:dyDescent="0.3">
      <c r="AA157" s="3">
        <v>-3973.95</v>
      </c>
      <c r="AB157">
        <v>1E-4</v>
      </c>
      <c r="AC157">
        <v>9</v>
      </c>
      <c r="AD157" s="5">
        <v>4.9298689103157134</v>
      </c>
      <c r="AE157" s="5">
        <v>2.1742772025804884</v>
      </c>
      <c r="AF157">
        <v>1</v>
      </c>
    </row>
    <row r="158" spans="27:32" x14ac:dyDescent="0.3">
      <c r="AA158" s="3">
        <v>4378.01</v>
      </c>
      <c r="AB158">
        <v>1E-4</v>
      </c>
      <c r="AC158">
        <v>8</v>
      </c>
      <c r="AD158" s="5">
        <v>5.096677989021881</v>
      </c>
      <c r="AE158" s="5">
        <v>2.2005395589337367</v>
      </c>
      <c r="AF158">
        <v>1</v>
      </c>
    </row>
    <row r="159" spans="27:32" x14ac:dyDescent="0.3">
      <c r="AA159" s="3">
        <v>34812.839999999997</v>
      </c>
      <c r="AB159">
        <v>1E-4</v>
      </c>
      <c r="AC159">
        <v>7</v>
      </c>
      <c r="AD159" s="5">
        <v>5.136929857257126</v>
      </c>
      <c r="AE159" s="5">
        <v>2.165080954939739</v>
      </c>
      <c r="AF159">
        <v>1</v>
      </c>
    </row>
    <row r="160" spans="27:32" x14ac:dyDescent="0.3">
      <c r="AA160" s="3">
        <v>39361.65</v>
      </c>
      <c r="AB160">
        <v>1E-4</v>
      </c>
      <c r="AC160">
        <v>7</v>
      </c>
      <c r="AD160" s="5">
        <v>4.9487994033168112</v>
      </c>
      <c r="AE160" s="5">
        <v>2.1882735379197107</v>
      </c>
      <c r="AF160">
        <v>1</v>
      </c>
    </row>
    <row r="161" spans="27:32" x14ac:dyDescent="0.3">
      <c r="AA161" s="3">
        <v>-13003.69</v>
      </c>
      <c r="AB161">
        <v>1E-4</v>
      </c>
      <c r="AC161">
        <v>9</v>
      </c>
      <c r="AD161" s="5">
        <v>4.992037636737277</v>
      </c>
      <c r="AE161" s="5">
        <v>2.2233186572632246</v>
      </c>
      <c r="AF161">
        <v>1</v>
      </c>
    </row>
    <row r="162" spans="27:32" x14ac:dyDescent="0.3">
      <c r="AA162" s="3">
        <v>20676.47</v>
      </c>
      <c r="AB162">
        <v>1E-4</v>
      </c>
      <c r="AC162">
        <v>8</v>
      </c>
      <c r="AD162" s="5">
        <v>4.9184623497220548</v>
      </c>
      <c r="AE162" s="5">
        <v>2.1401158623984768</v>
      </c>
      <c r="AF162">
        <v>1</v>
      </c>
    </row>
    <row r="163" spans="27:32" x14ac:dyDescent="0.3">
      <c r="AA163" s="3">
        <v>7477.84</v>
      </c>
      <c r="AB163">
        <v>1E-4</v>
      </c>
      <c r="AC163">
        <v>8</v>
      </c>
      <c r="AD163" s="5">
        <v>5.0050109352108558</v>
      </c>
      <c r="AE163" s="5">
        <v>2.1517211852612359</v>
      </c>
      <c r="AF163">
        <v>1</v>
      </c>
    </row>
    <row r="164" spans="27:32" x14ac:dyDescent="0.3">
      <c r="AA164" s="3">
        <v>-11919.95</v>
      </c>
      <c r="AB164">
        <v>1E-4</v>
      </c>
      <c r="AC164">
        <v>9</v>
      </c>
      <c r="AD164" s="5">
        <v>4.9402943253632801</v>
      </c>
      <c r="AE164" s="5">
        <v>2.2054151072202517</v>
      </c>
      <c r="AF164">
        <v>1</v>
      </c>
    </row>
    <row r="165" spans="27:32" x14ac:dyDescent="0.3">
      <c r="AA165" s="3">
        <v>-29474.090033996588</v>
      </c>
      <c r="AB165">
        <v>1E-4</v>
      </c>
      <c r="AC165">
        <v>9</v>
      </c>
      <c r="AD165" s="5">
        <v>4.9235974138605894</v>
      </c>
      <c r="AE165" s="5">
        <v>2.2664402144969444</v>
      </c>
      <c r="AF165">
        <v>0</v>
      </c>
    </row>
    <row r="166" spans="27:32" x14ac:dyDescent="0.3">
      <c r="AA166" s="3">
        <v>-4026.29</v>
      </c>
      <c r="AB166">
        <v>1E-4</v>
      </c>
      <c r="AC166">
        <v>9</v>
      </c>
      <c r="AD166" s="5">
        <v>4.905532130364171</v>
      </c>
      <c r="AE166" s="5">
        <v>2.2241941021239802</v>
      </c>
      <c r="AF166">
        <v>1</v>
      </c>
    </row>
    <row r="167" spans="27:32" x14ac:dyDescent="0.3">
      <c r="AA167" s="3">
        <v>8451.43</v>
      </c>
      <c r="AB167">
        <v>1E-4</v>
      </c>
      <c r="AC167">
        <v>8</v>
      </c>
      <c r="AD167" s="5">
        <v>4.8861875889180117</v>
      </c>
      <c r="AE167" s="5">
        <v>2.1998597251992389</v>
      </c>
      <c r="AF167">
        <v>1</v>
      </c>
    </row>
    <row r="168" spans="27:32" x14ac:dyDescent="0.3">
      <c r="AA168" s="3">
        <v>33503.08</v>
      </c>
      <c r="AB168">
        <v>1E-4</v>
      </c>
      <c r="AC168">
        <v>7</v>
      </c>
      <c r="AD168" s="5">
        <v>4.9173054537754153</v>
      </c>
      <c r="AE168" s="5">
        <v>2.2205535517071024</v>
      </c>
      <c r="AF168">
        <v>1</v>
      </c>
    </row>
    <row r="169" spans="27:32" x14ac:dyDescent="0.3">
      <c r="AA169" s="3">
        <v>-5949.8</v>
      </c>
      <c r="AB169">
        <v>1E-4</v>
      </c>
      <c r="AC169">
        <v>9</v>
      </c>
      <c r="AD169" s="5">
        <v>5.091940861800146</v>
      </c>
      <c r="AE169" s="5">
        <v>2.2145701752121107</v>
      </c>
      <c r="AF169">
        <v>1</v>
      </c>
    </row>
    <row r="170" spans="27:32" x14ac:dyDescent="0.3">
      <c r="AA170" s="3">
        <v>22946.02</v>
      </c>
      <c r="AB170">
        <v>1E-4</v>
      </c>
      <c r="AC170">
        <v>8</v>
      </c>
      <c r="AD170" s="5">
        <v>5.1304964105594486</v>
      </c>
      <c r="AE170" s="5">
        <v>2.1619965615328094</v>
      </c>
      <c r="AF170">
        <v>1</v>
      </c>
    </row>
    <row r="171" spans="27:32" x14ac:dyDescent="0.3">
      <c r="AA171" s="3">
        <v>25461.02</v>
      </c>
      <c r="AB171">
        <v>1E-4</v>
      </c>
      <c r="AC171">
        <v>8</v>
      </c>
      <c r="AD171" s="5">
        <v>4.8706392508728085</v>
      </c>
      <c r="AE171" s="5">
        <v>2.2320766941331707</v>
      </c>
      <c r="AF171">
        <v>1</v>
      </c>
    </row>
    <row r="172" spans="27:32" x14ac:dyDescent="0.3">
      <c r="AA172" s="3">
        <v>28670.78</v>
      </c>
      <c r="AB172">
        <v>1E-4</v>
      </c>
      <c r="AC172">
        <v>8</v>
      </c>
      <c r="AD172" s="5">
        <v>5.1209412240254268</v>
      </c>
      <c r="AE172" s="5">
        <v>2.133774910897043</v>
      </c>
      <c r="AF172">
        <v>1</v>
      </c>
    </row>
    <row r="173" spans="27:32" x14ac:dyDescent="0.3">
      <c r="AA173" s="3">
        <v>44307.25</v>
      </c>
      <c r="AB173">
        <v>1E-4</v>
      </c>
      <c r="AC173">
        <v>7</v>
      </c>
      <c r="AD173" s="5">
        <v>5.027730982167796</v>
      </c>
      <c r="AE173" s="5">
        <v>2.168468222457514</v>
      </c>
      <c r="AF173">
        <v>1</v>
      </c>
    </row>
    <row r="174" spans="27:32" x14ac:dyDescent="0.3">
      <c r="AA174" s="3">
        <v>-11903.38</v>
      </c>
      <c r="AB174">
        <v>1E-4</v>
      </c>
      <c r="AC174">
        <v>9</v>
      </c>
      <c r="AD174" s="5">
        <v>5.0795972460717849</v>
      </c>
      <c r="AE174" s="5">
        <v>2.2311166179148736</v>
      </c>
      <c r="AF174">
        <v>1</v>
      </c>
    </row>
    <row r="175" spans="27:32" x14ac:dyDescent="0.3">
      <c r="AA175" s="3">
        <v>16048.06</v>
      </c>
      <c r="AB175">
        <v>1E-4</v>
      </c>
      <c r="AC175">
        <v>8</v>
      </c>
      <c r="AD175" s="5">
        <v>4.8826231824859487</v>
      </c>
      <c r="AE175" s="5">
        <v>2.1776942424427341</v>
      </c>
      <c r="AF175">
        <v>1</v>
      </c>
    </row>
    <row r="176" spans="27:32" x14ac:dyDescent="0.3">
      <c r="AA176" s="3">
        <v>-1444.74</v>
      </c>
      <c r="AB176">
        <v>1E-4</v>
      </c>
      <c r="AC176">
        <v>9</v>
      </c>
      <c r="AD176" s="5">
        <v>5.0510265241624186</v>
      </c>
      <c r="AE176" s="5">
        <v>2.1988904960320856</v>
      </c>
      <c r="AF176">
        <v>1</v>
      </c>
    </row>
    <row r="177" spans="27:32" x14ac:dyDescent="0.3">
      <c r="AA177" s="3">
        <v>9908.58</v>
      </c>
      <c r="AB177">
        <v>1E-4</v>
      </c>
      <c r="AC177">
        <v>8</v>
      </c>
      <c r="AD177" s="5">
        <v>5.1107055180067231</v>
      </c>
      <c r="AE177" s="5">
        <v>2.230483363433633</v>
      </c>
      <c r="AF177">
        <v>1</v>
      </c>
    </row>
    <row r="178" spans="27:32" x14ac:dyDescent="0.3">
      <c r="AA178" s="3">
        <v>-18412.099999999999</v>
      </c>
      <c r="AB178">
        <v>1E-4</v>
      </c>
      <c r="AC178">
        <v>9</v>
      </c>
      <c r="AD178" s="5">
        <v>4.8287837142816059</v>
      </c>
      <c r="AE178" s="5">
        <v>2.2788791756452884</v>
      </c>
      <c r="AF178">
        <v>1</v>
      </c>
    </row>
    <row r="179" spans="27:32" x14ac:dyDescent="0.3">
      <c r="AA179" s="3">
        <v>-3846.14</v>
      </c>
      <c r="AB179">
        <v>1E-4</v>
      </c>
      <c r="AC179">
        <v>9</v>
      </c>
      <c r="AD179" s="5">
        <v>5.167830356415763</v>
      </c>
      <c r="AE179" s="5">
        <v>2.2359665011839849</v>
      </c>
      <c r="AF179">
        <v>1</v>
      </c>
    </row>
    <row r="180" spans="27:32" x14ac:dyDescent="0.3">
      <c r="AA180" s="3">
        <v>33694.910000000003</v>
      </c>
      <c r="AB180">
        <v>1E-4</v>
      </c>
      <c r="AC180">
        <v>7</v>
      </c>
      <c r="AD180" s="5">
        <v>5.0787374155625296</v>
      </c>
      <c r="AE180" s="5">
        <v>2.1696392797464794</v>
      </c>
      <c r="AF180">
        <v>1</v>
      </c>
    </row>
    <row r="181" spans="27:32" x14ac:dyDescent="0.3">
      <c r="AA181" s="3">
        <v>22900.9</v>
      </c>
      <c r="AB181">
        <v>1E-4</v>
      </c>
      <c r="AC181">
        <v>8</v>
      </c>
      <c r="AD181" s="5">
        <v>5.0394789557056709</v>
      </c>
      <c r="AE181" s="5">
        <v>2.244793389069053</v>
      </c>
      <c r="AF181">
        <v>1</v>
      </c>
    </row>
    <row r="182" spans="27:32" x14ac:dyDescent="0.3">
      <c r="AA182" s="3">
        <v>39169.81</v>
      </c>
      <c r="AB182">
        <v>1E-4</v>
      </c>
      <c r="AC182">
        <v>7</v>
      </c>
      <c r="AD182" s="5">
        <v>5.1854326796135028</v>
      </c>
      <c r="AE182" s="5">
        <v>2.1325407883210978</v>
      </c>
      <c r="AF182">
        <v>1</v>
      </c>
    </row>
    <row r="183" spans="27:32" x14ac:dyDescent="0.3">
      <c r="AA183" s="3">
        <v>14738.81</v>
      </c>
      <c r="AB183">
        <v>1E-4</v>
      </c>
      <c r="AC183">
        <v>8</v>
      </c>
      <c r="AD183" s="5">
        <v>5.0408806206223566</v>
      </c>
      <c r="AE183" s="5">
        <v>2.1596871413726859</v>
      </c>
      <c r="AF183">
        <v>1</v>
      </c>
    </row>
    <row r="184" spans="27:32" x14ac:dyDescent="0.3">
      <c r="AA184" s="3">
        <v>22904.09</v>
      </c>
      <c r="AB184">
        <v>1E-4</v>
      </c>
      <c r="AC184">
        <v>8</v>
      </c>
      <c r="AD184" s="5">
        <v>4.9622328739677632</v>
      </c>
      <c r="AE184" s="5">
        <v>2.2073081839240247</v>
      </c>
      <c r="AF184">
        <v>1</v>
      </c>
    </row>
    <row r="185" spans="27:32" x14ac:dyDescent="0.3">
      <c r="AA185" s="3">
        <v>16471.41</v>
      </c>
      <c r="AB185">
        <v>1E-4</v>
      </c>
      <c r="AC185">
        <v>8</v>
      </c>
      <c r="AD185" s="5">
        <v>4.9274850351798101</v>
      </c>
      <c r="AE185" s="5">
        <v>2.1237518853791948</v>
      </c>
      <c r="AF185">
        <v>1</v>
      </c>
    </row>
    <row r="186" spans="27:32" x14ac:dyDescent="0.3">
      <c r="AA186" s="3">
        <v>5938.5</v>
      </c>
      <c r="AB186">
        <v>1E-4</v>
      </c>
      <c r="AC186">
        <v>8</v>
      </c>
      <c r="AD186" s="5">
        <v>4.9039917053771722</v>
      </c>
      <c r="AE186" s="5">
        <v>2.2429253677059511</v>
      </c>
      <c r="AF186">
        <v>1</v>
      </c>
    </row>
    <row r="187" spans="27:32" x14ac:dyDescent="0.3">
      <c r="AA187" s="3">
        <v>3690.95</v>
      </c>
      <c r="AB187">
        <v>1E-4</v>
      </c>
      <c r="AC187">
        <v>8</v>
      </c>
      <c r="AD187" s="5">
        <v>5.0609000166325098</v>
      </c>
      <c r="AE187" s="5">
        <v>2.2994725307521904</v>
      </c>
      <c r="AF187">
        <v>1</v>
      </c>
    </row>
    <row r="188" spans="27:32" x14ac:dyDescent="0.3">
      <c r="AA188" s="3">
        <v>14320.1</v>
      </c>
      <c r="AB188">
        <v>1E-4</v>
      </c>
      <c r="AC188">
        <v>8</v>
      </c>
      <c r="AD188" s="5">
        <v>4.9864473935144007</v>
      </c>
      <c r="AE188" s="5">
        <v>2.1184479322125389</v>
      </c>
      <c r="AF188">
        <v>1</v>
      </c>
    </row>
    <row r="189" spans="27:32" x14ac:dyDescent="0.3">
      <c r="AA189" s="3">
        <v>-13012.04</v>
      </c>
      <c r="AB189">
        <v>1E-4</v>
      </c>
      <c r="AC189">
        <v>9</v>
      </c>
      <c r="AD189" s="5">
        <v>4.994993404255422</v>
      </c>
      <c r="AE189" s="5">
        <v>2.2686331754765292</v>
      </c>
      <c r="AF189">
        <v>1</v>
      </c>
    </row>
    <row r="190" spans="27:32" x14ac:dyDescent="0.3">
      <c r="AA190" s="3">
        <v>23227.42</v>
      </c>
      <c r="AB190">
        <v>1E-4</v>
      </c>
      <c r="AC190">
        <v>8</v>
      </c>
      <c r="AD190" s="5">
        <v>5.0163285384770235</v>
      </c>
      <c r="AE190" s="5">
        <v>2.166075786641716</v>
      </c>
      <c r="AF190">
        <v>1</v>
      </c>
    </row>
    <row r="191" spans="27:32" x14ac:dyDescent="0.3">
      <c r="AA191" s="3">
        <v>21974.5</v>
      </c>
      <c r="AB191">
        <v>1E-4</v>
      </c>
      <c r="AC191">
        <v>8</v>
      </c>
      <c r="AD191" s="5">
        <v>4.9777297413161623</v>
      </c>
      <c r="AE191" s="5">
        <v>2.2147411784119835</v>
      </c>
      <c r="AF191">
        <v>1</v>
      </c>
    </row>
    <row r="192" spans="27:32" x14ac:dyDescent="0.3">
      <c r="AA192" s="3">
        <v>12184.57</v>
      </c>
      <c r="AB192">
        <v>1E-4</v>
      </c>
      <c r="AC192">
        <v>8</v>
      </c>
      <c r="AD192" s="5">
        <v>5.1626634227321153</v>
      </c>
      <c r="AE192" s="5">
        <v>2.1726763957086317</v>
      </c>
      <c r="AF192">
        <v>1</v>
      </c>
    </row>
    <row r="193" spans="27:32" x14ac:dyDescent="0.3">
      <c r="AA193" s="3">
        <v>8534.2000000000007</v>
      </c>
      <c r="AB193">
        <v>1E-4</v>
      </c>
      <c r="AC193">
        <v>8</v>
      </c>
      <c r="AD193" s="5">
        <v>5.0300991798072241</v>
      </c>
      <c r="AE193" s="5">
        <v>2.260700265205045</v>
      </c>
      <c r="AF193">
        <v>1</v>
      </c>
    </row>
    <row r="194" spans="27:32" x14ac:dyDescent="0.3">
      <c r="AA194" s="3">
        <v>2144.0700000000002</v>
      </c>
      <c r="AB194">
        <v>1E-4</v>
      </c>
      <c r="AC194">
        <v>8</v>
      </c>
      <c r="AD194" s="5">
        <v>4.8611124790613252</v>
      </c>
      <c r="AE194" s="5">
        <v>2.2573237136223043</v>
      </c>
      <c r="AF194">
        <v>1</v>
      </c>
    </row>
    <row r="195" spans="27:32" x14ac:dyDescent="0.3">
      <c r="AA195" s="3">
        <v>39660.550000000003</v>
      </c>
      <c r="AB195">
        <v>1E-4</v>
      </c>
      <c r="AC195">
        <v>7</v>
      </c>
      <c r="AD195" s="5">
        <v>5.2647630286914202</v>
      </c>
      <c r="AE195" s="5">
        <v>2.2120837908092192</v>
      </c>
      <c r="AF195">
        <v>1</v>
      </c>
    </row>
    <row r="196" spans="27:32" x14ac:dyDescent="0.3">
      <c r="AA196" s="3">
        <v>37046</v>
      </c>
      <c r="AB196">
        <v>1E-4</v>
      </c>
      <c r="AC196">
        <v>7</v>
      </c>
      <c r="AD196" s="5">
        <v>4.9260050219503615</v>
      </c>
      <c r="AE196" s="5">
        <v>2.2535611858450606</v>
      </c>
      <c r="AF196">
        <v>1</v>
      </c>
    </row>
    <row r="197" spans="27:32" x14ac:dyDescent="0.3">
      <c r="AA197" s="3">
        <v>43012.85</v>
      </c>
      <c r="AB197">
        <v>1E-4</v>
      </c>
      <c r="AC197">
        <v>6</v>
      </c>
      <c r="AD197" s="5">
        <v>5.0818204177313984</v>
      </c>
      <c r="AE197" s="5">
        <v>2.1113950415105309</v>
      </c>
      <c r="AF197">
        <v>1</v>
      </c>
    </row>
    <row r="198" spans="27:32" x14ac:dyDescent="0.3">
      <c r="AA198" s="3">
        <v>59532.959999999999</v>
      </c>
      <c r="AB198">
        <v>1E-4</v>
      </c>
      <c r="AC198">
        <v>6</v>
      </c>
      <c r="AD198" s="5">
        <v>5.1028561455371753</v>
      </c>
      <c r="AE198" s="5">
        <v>2.1881411643447839</v>
      </c>
      <c r="AF198">
        <v>1</v>
      </c>
    </row>
    <row r="199" spans="27:32" x14ac:dyDescent="0.3">
      <c r="AA199" s="3">
        <v>5111.57</v>
      </c>
      <c r="AB199">
        <v>1E-4</v>
      </c>
      <c r="AC199">
        <v>8</v>
      </c>
      <c r="AD199" s="5">
        <v>4.9835009701621411</v>
      </c>
      <c r="AE199" s="5">
        <v>2.3735398250878497</v>
      </c>
      <c r="AF199">
        <v>1</v>
      </c>
    </row>
    <row r="200" spans="27:32" x14ac:dyDescent="0.3">
      <c r="AA200" s="3">
        <v>46228.71</v>
      </c>
      <c r="AB200">
        <v>1E-4</v>
      </c>
      <c r="AC200">
        <v>7</v>
      </c>
      <c r="AD200" s="5">
        <v>5.1950813047628843</v>
      </c>
      <c r="AE200" s="5">
        <v>2.2266605623514768</v>
      </c>
      <c r="AF200">
        <v>1</v>
      </c>
    </row>
    <row r="201" spans="27:32" x14ac:dyDescent="0.3">
      <c r="AA201" s="3">
        <v>29493.759999999998</v>
      </c>
      <c r="AB201">
        <v>1E-4</v>
      </c>
      <c r="AC201">
        <v>7</v>
      </c>
      <c r="AD201" s="5">
        <v>4.8721267443731131</v>
      </c>
      <c r="AE201" s="5">
        <v>2.2353359929173946</v>
      </c>
      <c r="AF201">
        <v>1</v>
      </c>
    </row>
    <row r="202" spans="27:32" x14ac:dyDescent="0.3">
      <c r="AA202" s="3">
        <v>-939.31</v>
      </c>
      <c r="AB202">
        <v>1E-4</v>
      </c>
      <c r="AC202">
        <v>9</v>
      </c>
      <c r="AD202" s="5">
        <v>4.932148459431394</v>
      </c>
      <c r="AE202" s="5">
        <v>2.2007796911132811</v>
      </c>
      <c r="AF202">
        <v>1</v>
      </c>
    </row>
    <row r="203" spans="27:32" x14ac:dyDescent="0.3">
      <c r="AA203" s="3">
        <v>16888.34</v>
      </c>
      <c r="AB203">
        <v>1E-4</v>
      </c>
      <c r="AC203">
        <v>8</v>
      </c>
      <c r="AD203" s="5">
        <v>4.9989992465810946</v>
      </c>
      <c r="AE203" s="5">
        <v>2.1361530310005699</v>
      </c>
      <c r="AF203">
        <v>1</v>
      </c>
    </row>
    <row r="204" spans="27:32" x14ac:dyDescent="0.3">
      <c r="AA204" s="3">
        <v>-9971.5499999999993</v>
      </c>
      <c r="AB204">
        <v>1E-4</v>
      </c>
      <c r="AC204">
        <v>9</v>
      </c>
      <c r="AD204" s="5">
        <v>5.0907305351933232</v>
      </c>
      <c r="AE204" s="5">
        <v>2.2051064051557283</v>
      </c>
      <c r="AF204">
        <v>1</v>
      </c>
    </row>
    <row r="205" spans="27:32" x14ac:dyDescent="0.3">
      <c r="AA205" s="3">
        <v>15811.17</v>
      </c>
      <c r="AB205">
        <v>1E-4</v>
      </c>
      <c r="AC205">
        <v>8</v>
      </c>
      <c r="AD205" s="5">
        <v>5.0200594543387949</v>
      </c>
      <c r="AE205" s="5">
        <v>2.2497867741977942</v>
      </c>
      <c r="AF205">
        <v>1</v>
      </c>
    </row>
    <row r="206" spans="27:32" x14ac:dyDescent="0.3">
      <c r="AA206" s="3">
        <v>19022.830000000002</v>
      </c>
      <c r="AB206">
        <v>1E-4</v>
      </c>
      <c r="AC206">
        <v>8</v>
      </c>
      <c r="AD206" s="5">
        <v>5.0822341114086766</v>
      </c>
      <c r="AE206" s="5">
        <v>2.2606527440191653</v>
      </c>
      <c r="AF206">
        <v>1</v>
      </c>
    </row>
    <row r="207" spans="27:32" x14ac:dyDescent="0.3">
      <c r="AA207" s="3">
        <v>-8523.4500000000007</v>
      </c>
      <c r="AB207">
        <v>1E-4</v>
      </c>
      <c r="AC207">
        <v>9</v>
      </c>
      <c r="AD207" s="5">
        <v>5.0394792290761252</v>
      </c>
      <c r="AE207" s="5">
        <v>2.2262610185854261</v>
      </c>
      <c r="AF207">
        <v>1</v>
      </c>
    </row>
    <row r="208" spans="27:32" x14ac:dyDescent="0.3">
      <c r="AA208" s="3">
        <v>55606.59</v>
      </c>
      <c r="AB208">
        <v>1E-4</v>
      </c>
      <c r="AC208">
        <v>6</v>
      </c>
      <c r="AD208" s="5">
        <v>5.0791874684075218</v>
      </c>
      <c r="AE208" s="5">
        <v>2.1850645978879952</v>
      </c>
      <c r="AF208">
        <v>1</v>
      </c>
    </row>
    <row r="209" spans="27:32" x14ac:dyDescent="0.3">
      <c r="AA209" s="3">
        <v>18422.04</v>
      </c>
      <c r="AB209">
        <v>1E-4</v>
      </c>
      <c r="AC209">
        <v>8</v>
      </c>
      <c r="AD209" s="5">
        <v>4.9730338101812759</v>
      </c>
      <c r="AE209" s="5">
        <v>2.1680321600195689</v>
      </c>
      <c r="AF209">
        <v>1</v>
      </c>
    </row>
    <row r="210" spans="27:32" x14ac:dyDescent="0.3">
      <c r="AA210" s="3">
        <v>4512.87</v>
      </c>
      <c r="AB210">
        <v>1E-4</v>
      </c>
      <c r="AC210">
        <v>8</v>
      </c>
      <c r="AD210" s="5">
        <v>5.03766594625134</v>
      </c>
      <c r="AE210" s="5">
        <v>2.1610714363240828</v>
      </c>
      <c r="AF210">
        <v>1</v>
      </c>
    </row>
    <row r="211" spans="27:32" x14ac:dyDescent="0.3">
      <c r="AA211" s="3">
        <v>-22673.17</v>
      </c>
      <c r="AB211">
        <v>1E-4</v>
      </c>
      <c r="AC211">
        <v>9</v>
      </c>
      <c r="AD211" s="5">
        <v>4.8723802005326728</v>
      </c>
      <c r="AE211" s="5">
        <v>2.2022176878621553</v>
      </c>
      <c r="AF211">
        <v>1</v>
      </c>
    </row>
    <row r="212" spans="27:32" x14ac:dyDescent="0.3">
      <c r="AA212" s="3">
        <v>11848.33</v>
      </c>
      <c r="AB212">
        <v>1E-4</v>
      </c>
      <c r="AC212">
        <v>8</v>
      </c>
      <c r="AD212" s="5">
        <v>4.9761347494206492</v>
      </c>
      <c r="AE212" s="5">
        <v>2.2250994441233702</v>
      </c>
      <c r="AF212">
        <v>1</v>
      </c>
    </row>
    <row r="213" spans="27:32" x14ac:dyDescent="0.3">
      <c r="AA213" s="3">
        <v>5812.44</v>
      </c>
      <c r="AB213">
        <v>1E-4</v>
      </c>
      <c r="AC213">
        <v>8</v>
      </c>
      <c r="AD213" s="5">
        <v>5.0035233431428567</v>
      </c>
      <c r="AE213" s="5">
        <v>2.183496534547718</v>
      </c>
      <c r="AF213">
        <v>1</v>
      </c>
    </row>
    <row r="214" spans="27:32" x14ac:dyDescent="0.3">
      <c r="AA214" s="3">
        <v>29440.41</v>
      </c>
      <c r="AB214">
        <v>1E-4</v>
      </c>
      <c r="AC214">
        <v>8</v>
      </c>
      <c r="AD214" s="5">
        <v>5.0272759310189761</v>
      </c>
      <c r="AE214" s="5">
        <v>2.1804608582099507</v>
      </c>
      <c r="AF214">
        <v>1</v>
      </c>
    </row>
    <row r="215" spans="27:32" x14ac:dyDescent="0.3">
      <c r="AA215" s="3">
        <v>3377.93</v>
      </c>
      <c r="AB215">
        <v>1E-4</v>
      </c>
      <c r="AC215">
        <v>8</v>
      </c>
      <c r="AD215" s="5">
        <v>5.0336034218706498</v>
      </c>
      <c r="AE215" s="5">
        <v>2.2834985385035269</v>
      </c>
      <c r="AF215">
        <v>1</v>
      </c>
    </row>
    <row r="216" spans="27:32" x14ac:dyDescent="0.3">
      <c r="AA216" s="3">
        <v>16164.9</v>
      </c>
      <c r="AB216">
        <v>1E-4</v>
      </c>
      <c r="AC216">
        <v>8</v>
      </c>
      <c r="AD216" s="5">
        <v>5.1558138730320051</v>
      </c>
      <c r="AE216" s="5">
        <v>2.2892390914528513</v>
      </c>
      <c r="AF216">
        <v>1</v>
      </c>
    </row>
    <row r="217" spans="27:32" x14ac:dyDescent="0.3">
      <c r="AA217" s="3">
        <v>-7755.7</v>
      </c>
      <c r="AB217">
        <v>1E-4</v>
      </c>
      <c r="AC217">
        <v>9</v>
      </c>
      <c r="AD217" s="5">
        <v>4.885118454914144</v>
      </c>
      <c r="AE217" s="5">
        <v>2.2405848011876937</v>
      </c>
      <c r="AF217">
        <v>1</v>
      </c>
    </row>
    <row r="218" spans="27:32" x14ac:dyDescent="0.3">
      <c r="AA218" s="3">
        <v>-11876.91</v>
      </c>
      <c r="AB218">
        <v>1E-4</v>
      </c>
      <c r="AC218">
        <v>9</v>
      </c>
      <c r="AD218" s="5">
        <v>4.9255108340771576</v>
      </c>
      <c r="AE218" s="5">
        <v>2.1768436948201204</v>
      </c>
      <c r="AF218">
        <v>1</v>
      </c>
    </row>
    <row r="219" spans="27:32" x14ac:dyDescent="0.3">
      <c r="AA219" s="3">
        <v>-29418.455016032298</v>
      </c>
      <c r="AB219">
        <v>1E-4</v>
      </c>
      <c r="AC219">
        <v>9</v>
      </c>
      <c r="AD219" s="5">
        <v>4.8464302026668076</v>
      </c>
      <c r="AE219" s="5">
        <v>2.2045547064955064</v>
      </c>
      <c r="AF219">
        <v>0</v>
      </c>
    </row>
    <row r="220" spans="27:32" x14ac:dyDescent="0.3">
      <c r="AA220" s="3">
        <v>21446.04</v>
      </c>
      <c r="AB220">
        <v>1E-4</v>
      </c>
      <c r="AC220">
        <v>8</v>
      </c>
      <c r="AD220" s="5">
        <v>4.8290848306585001</v>
      </c>
      <c r="AE220" s="5">
        <v>2.2156580711984897</v>
      </c>
      <c r="AF220">
        <v>1</v>
      </c>
    </row>
    <row r="221" spans="27:32" x14ac:dyDescent="0.3">
      <c r="AA221" s="3">
        <v>4925.5200000000004</v>
      </c>
      <c r="AB221">
        <v>1E-4</v>
      </c>
      <c r="AC221">
        <v>8</v>
      </c>
      <c r="AD221" s="5">
        <v>4.975872351406017</v>
      </c>
      <c r="AE221" s="5">
        <v>2.2341806290520747</v>
      </c>
      <c r="AF221">
        <v>1</v>
      </c>
    </row>
    <row r="222" spans="27:32" x14ac:dyDescent="0.3">
      <c r="AA222" s="3">
        <v>14266.56</v>
      </c>
      <c r="AB222">
        <v>1E-4</v>
      </c>
      <c r="AC222">
        <v>8</v>
      </c>
      <c r="AD222" s="5">
        <v>4.968970836971712</v>
      </c>
      <c r="AE222" s="5">
        <v>2.2263015061035585</v>
      </c>
      <c r="AF222">
        <v>1</v>
      </c>
    </row>
    <row r="223" spans="27:32" x14ac:dyDescent="0.3">
      <c r="AA223" s="3">
        <v>16601.47</v>
      </c>
      <c r="AB223">
        <v>1E-4</v>
      </c>
      <c r="AC223">
        <v>8</v>
      </c>
      <c r="AD223" s="5">
        <v>5.0633945425849882</v>
      </c>
      <c r="AE223" s="5">
        <v>2.2006312175899647</v>
      </c>
      <c r="AF223">
        <v>1</v>
      </c>
    </row>
    <row r="224" spans="27:32" x14ac:dyDescent="0.3">
      <c r="AA224" s="3">
        <v>28538.04</v>
      </c>
      <c r="AB224">
        <v>1E-4</v>
      </c>
      <c r="AC224">
        <v>8</v>
      </c>
      <c r="AD224" s="5">
        <v>4.9965261227736626</v>
      </c>
      <c r="AE224" s="5">
        <v>2.2150179186084942</v>
      </c>
      <c r="AF224">
        <v>1</v>
      </c>
    </row>
    <row r="225" spans="27:32" x14ac:dyDescent="0.3">
      <c r="AA225" s="3">
        <v>8024.29</v>
      </c>
      <c r="AB225">
        <v>1E-4</v>
      </c>
      <c r="AC225">
        <v>8</v>
      </c>
      <c r="AD225" s="5">
        <v>4.8367130737554049</v>
      </c>
      <c r="AE225" s="5">
        <v>2.2050116155744734</v>
      </c>
      <c r="AF225">
        <v>1</v>
      </c>
    </row>
    <row r="226" spans="27:32" x14ac:dyDescent="0.3">
      <c r="AA226" s="3">
        <v>659.9</v>
      </c>
      <c r="AB226">
        <v>1E-4</v>
      </c>
      <c r="AC226">
        <v>8</v>
      </c>
      <c r="AD226" s="5">
        <v>4.9565563472896779</v>
      </c>
      <c r="AE226" s="5">
        <v>2.1581502531407981</v>
      </c>
      <c r="AF226">
        <v>1</v>
      </c>
    </row>
    <row r="227" spans="27:32" x14ac:dyDescent="0.3">
      <c r="AA227" s="3">
        <v>-9039.67</v>
      </c>
      <c r="AB227">
        <v>1E-4</v>
      </c>
      <c r="AC227">
        <v>9</v>
      </c>
      <c r="AD227" s="5">
        <v>4.9921470643577779</v>
      </c>
      <c r="AE227" s="5">
        <v>2.2503054285456394</v>
      </c>
      <c r="AF227">
        <v>1</v>
      </c>
    </row>
    <row r="228" spans="27:32" x14ac:dyDescent="0.3">
      <c r="AA228" s="3">
        <v>5961.68</v>
      </c>
      <c r="AB228">
        <v>1E-4</v>
      </c>
      <c r="AC228">
        <v>8</v>
      </c>
      <c r="AD228" s="5">
        <v>5.0789206010461596</v>
      </c>
      <c r="AE228" s="5">
        <v>2.0849006406506478</v>
      </c>
      <c r="AF228">
        <v>1</v>
      </c>
    </row>
    <row r="229" spans="27:32" x14ac:dyDescent="0.3">
      <c r="AA229" s="3">
        <v>43943.54</v>
      </c>
      <c r="AB229">
        <v>1E-4</v>
      </c>
      <c r="AC229">
        <v>7</v>
      </c>
      <c r="AD229" s="5">
        <v>4.9221372617328614</v>
      </c>
      <c r="AE229" s="5">
        <v>2.0901682244864355</v>
      </c>
      <c r="AF229">
        <v>1</v>
      </c>
    </row>
    <row r="230" spans="27:32" x14ac:dyDescent="0.3">
      <c r="AA230" s="3">
        <v>15253.34</v>
      </c>
      <c r="AB230">
        <v>1E-4</v>
      </c>
      <c r="AC230">
        <v>8</v>
      </c>
      <c r="AD230" s="5">
        <v>4.977759426921522</v>
      </c>
      <c r="AE230" s="5">
        <v>2.2760801512591033</v>
      </c>
      <c r="AF230">
        <v>1</v>
      </c>
    </row>
    <row r="231" spans="27:32" x14ac:dyDescent="0.3">
      <c r="AA231" s="3">
        <v>44448.22</v>
      </c>
      <c r="AB231">
        <v>1E-4</v>
      </c>
      <c r="AC231">
        <v>7</v>
      </c>
      <c r="AD231" s="5">
        <v>5.1248300310229737</v>
      </c>
      <c r="AE231" s="5">
        <v>2.1889256658991023</v>
      </c>
      <c r="AF231">
        <v>1</v>
      </c>
    </row>
    <row r="232" spans="27:32" x14ac:dyDescent="0.3">
      <c r="AA232" s="3">
        <v>53777.919999999998</v>
      </c>
      <c r="AB232">
        <v>1E-4</v>
      </c>
      <c r="AC232">
        <v>6</v>
      </c>
      <c r="AD232" s="5">
        <v>4.9092358990644112</v>
      </c>
      <c r="AE232" s="5">
        <v>2.1341832380847374</v>
      </c>
      <c r="AF232">
        <v>1</v>
      </c>
    </row>
    <row r="233" spans="27:32" x14ac:dyDescent="0.3">
      <c r="AA233" s="3">
        <v>51832.71</v>
      </c>
      <c r="AB233">
        <v>1E-4</v>
      </c>
      <c r="AC233">
        <v>6</v>
      </c>
      <c r="AD233" s="5">
        <v>5.1452322318491257</v>
      </c>
      <c r="AE233" s="5">
        <v>2.1614632492597439</v>
      </c>
      <c r="AF233">
        <v>1</v>
      </c>
    </row>
    <row r="234" spans="27:32" x14ac:dyDescent="0.3">
      <c r="AA234" s="3">
        <v>16461.88</v>
      </c>
      <c r="AB234">
        <v>1E-4</v>
      </c>
      <c r="AC234">
        <v>8</v>
      </c>
      <c r="AD234" s="5">
        <v>4.9783487479503998</v>
      </c>
      <c r="AE234" s="5">
        <v>2.1342103328126227</v>
      </c>
      <c r="AF234">
        <v>1</v>
      </c>
    </row>
    <row r="235" spans="27:32" x14ac:dyDescent="0.3">
      <c r="AA235" s="3">
        <v>42404.01</v>
      </c>
      <c r="AB235">
        <v>1E-4</v>
      </c>
      <c r="AC235">
        <v>6</v>
      </c>
      <c r="AD235" s="5">
        <v>5.0834814686371645</v>
      </c>
      <c r="AE235" s="5">
        <v>2.1502652351279874</v>
      </c>
      <c r="AF235">
        <v>1</v>
      </c>
    </row>
    <row r="236" spans="27:32" x14ac:dyDescent="0.3">
      <c r="AA236" s="3">
        <v>46505.04</v>
      </c>
      <c r="AB236">
        <v>1E-4</v>
      </c>
      <c r="AC236">
        <v>7</v>
      </c>
      <c r="AD236" s="5">
        <v>5.0995030517283988</v>
      </c>
      <c r="AE236" s="5">
        <v>2.1973367091085354</v>
      </c>
      <c r="AF236">
        <v>1</v>
      </c>
    </row>
    <row r="237" spans="27:32" x14ac:dyDescent="0.3">
      <c r="AA237" s="3">
        <v>27408.84</v>
      </c>
      <c r="AB237">
        <v>1E-4</v>
      </c>
      <c r="AC237">
        <v>8</v>
      </c>
      <c r="AD237" s="5">
        <v>5.1290783654317398</v>
      </c>
      <c r="AE237" s="5">
        <v>2.284256066192885</v>
      </c>
      <c r="AF237">
        <v>1</v>
      </c>
    </row>
    <row r="238" spans="27:32" x14ac:dyDescent="0.3">
      <c r="AA238" s="3">
        <v>44644.17</v>
      </c>
      <c r="AB238">
        <v>1E-4</v>
      </c>
      <c r="AC238">
        <v>7</v>
      </c>
      <c r="AD238" s="5">
        <v>5.0342864470949715</v>
      </c>
      <c r="AE238" s="5">
        <v>2.2195881397666906</v>
      </c>
      <c r="AF238">
        <v>1</v>
      </c>
    </row>
    <row r="239" spans="27:32" x14ac:dyDescent="0.3">
      <c r="AA239" s="3">
        <v>-854.31</v>
      </c>
      <c r="AB239">
        <v>1E-4</v>
      </c>
      <c r="AC239">
        <v>9</v>
      </c>
      <c r="AD239" s="5">
        <v>4.9585448478143599</v>
      </c>
      <c r="AE239" s="5">
        <v>2.236668850503337</v>
      </c>
      <c r="AF239">
        <v>1</v>
      </c>
    </row>
    <row r="240" spans="27:32" x14ac:dyDescent="0.3">
      <c r="AA240" s="3">
        <v>18664.310000000001</v>
      </c>
      <c r="AB240">
        <v>1E-4</v>
      </c>
      <c r="AC240">
        <v>8</v>
      </c>
      <c r="AD240" s="5">
        <v>5.0824106018191291</v>
      </c>
      <c r="AE240" s="5">
        <v>2.1276454210074087</v>
      </c>
      <c r="AF240">
        <v>1</v>
      </c>
    </row>
    <row r="241" spans="27:32" x14ac:dyDescent="0.3">
      <c r="AA241" s="3">
        <v>27492.27</v>
      </c>
      <c r="AB241">
        <v>1E-4</v>
      </c>
      <c r="AC241">
        <v>8</v>
      </c>
      <c r="AD241" s="5">
        <v>5.1345568850764636</v>
      </c>
      <c r="AE241" s="5">
        <v>2.1996898653254107</v>
      </c>
      <c r="AF241">
        <v>1</v>
      </c>
    </row>
    <row r="242" spans="27:32" x14ac:dyDescent="0.3">
      <c r="AA242" s="3">
        <v>26885.87</v>
      </c>
      <c r="AB242">
        <v>1E-4</v>
      </c>
      <c r="AC242">
        <v>8</v>
      </c>
      <c r="AD242" s="5">
        <v>4.9893851183907891</v>
      </c>
      <c r="AE242" s="5">
        <v>2.1270581110549234</v>
      </c>
      <c r="AF242">
        <v>1</v>
      </c>
    </row>
    <row r="243" spans="27:32" x14ac:dyDescent="0.3">
      <c r="AA243" s="3">
        <v>11642.39</v>
      </c>
      <c r="AB243">
        <v>1E-4</v>
      </c>
      <c r="AC243">
        <v>8</v>
      </c>
      <c r="AD243" s="5">
        <v>4.8297975509603885</v>
      </c>
      <c r="AE243" s="5">
        <v>2.1346484260938299</v>
      </c>
      <c r="AF243">
        <v>1</v>
      </c>
    </row>
    <row r="244" spans="27:32" x14ac:dyDescent="0.3">
      <c r="AA244" s="3">
        <v>27471.88</v>
      </c>
      <c r="AB244">
        <v>1E-4</v>
      </c>
      <c r="AC244">
        <v>8</v>
      </c>
      <c r="AD244" s="5">
        <v>5.0186575845401</v>
      </c>
      <c r="AE244" s="5">
        <v>2.0995511159239095</v>
      </c>
      <c r="AF244">
        <v>1</v>
      </c>
    </row>
    <row r="245" spans="27:32" x14ac:dyDescent="0.3">
      <c r="AA245" s="3">
        <v>40614.01</v>
      </c>
      <c r="AB245">
        <v>1E-4</v>
      </c>
      <c r="AC245">
        <v>7</v>
      </c>
      <c r="AD245" s="5">
        <v>5.0329849480791431</v>
      </c>
      <c r="AE245" s="5">
        <v>2.1291328808142724</v>
      </c>
      <c r="AF245">
        <v>1</v>
      </c>
    </row>
    <row r="246" spans="27:32" x14ac:dyDescent="0.3">
      <c r="AA246" s="3">
        <v>6907.4</v>
      </c>
      <c r="AB246">
        <v>1E-4</v>
      </c>
      <c r="AC246">
        <v>8</v>
      </c>
      <c r="AD246" s="5">
        <v>5.0018262151311692</v>
      </c>
      <c r="AE246" s="5">
        <v>2.1851880024231152</v>
      </c>
      <c r="AF246">
        <v>1</v>
      </c>
    </row>
    <row r="247" spans="27:32" x14ac:dyDescent="0.3">
      <c r="AA247" s="3">
        <v>-14729.91</v>
      </c>
      <c r="AB247">
        <v>1E-4</v>
      </c>
      <c r="AC247">
        <v>9</v>
      </c>
      <c r="AD247" s="5">
        <v>4.9828955597879903</v>
      </c>
      <c r="AE247" s="5">
        <v>2.2320883313606532</v>
      </c>
      <c r="AF247">
        <v>1</v>
      </c>
    </row>
    <row r="248" spans="27:32" x14ac:dyDescent="0.3">
      <c r="AA248" s="3">
        <v>2221.8200000000002</v>
      </c>
      <c r="AB248">
        <v>1E-4</v>
      </c>
      <c r="AC248">
        <v>8</v>
      </c>
      <c r="AD248" s="5">
        <v>4.9674496799351777</v>
      </c>
      <c r="AE248" s="5">
        <v>2.2038322672669612</v>
      </c>
      <c r="AF248">
        <v>1</v>
      </c>
    </row>
    <row r="249" spans="27:32" x14ac:dyDescent="0.3">
      <c r="AA249" s="3">
        <v>8888.52</v>
      </c>
      <c r="AB249">
        <v>1E-4</v>
      </c>
      <c r="AC249">
        <v>8</v>
      </c>
      <c r="AD249" s="5">
        <v>4.9177674356338352</v>
      </c>
      <c r="AE249" s="5">
        <v>2.2251037746914042</v>
      </c>
      <c r="AF249">
        <v>1</v>
      </c>
    </row>
    <row r="250" spans="27:32" x14ac:dyDescent="0.3">
      <c r="AA250" s="3">
        <v>20789.54</v>
      </c>
      <c r="AB250">
        <v>1E-4</v>
      </c>
      <c r="AC250">
        <v>8</v>
      </c>
      <c r="AD250" s="5">
        <v>4.9007275180153185</v>
      </c>
      <c r="AE250" s="5">
        <v>2.168303643242691</v>
      </c>
      <c r="AF250">
        <v>1</v>
      </c>
    </row>
    <row r="251" spans="27:32" x14ac:dyDescent="0.3">
      <c r="AA251" s="3">
        <v>-1133.95</v>
      </c>
      <c r="AB251">
        <v>1E-4</v>
      </c>
      <c r="AC251">
        <v>9</v>
      </c>
      <c r="AD251" s="5">
        <v>4.8461921871909999</v>
      </c>
      <c r="AE251" s="5">
        <v>2.1627268381451814</v>
      </c>
      <c r="AF251">
        <v>1</v>
      </c>
    </row>
    <row r="252" spans="27:32" x14ac:dyDescent="0.3">
      <c r="AA252" s="3">
        <v>16596.57</v>
      </c>
      <c r="AB252">
        <v>1E-4</v>
      </c>
      <c r="AC252">
        <v>8</v>
      </c>
      <c r="AD252" s="5">
        <v>5.0500824236638175</v>
      </c>
      <c r="AE252" s="5">
        <v>2.1492648668909808</v>
      </c>
      <c r="AF252">
        <v>1</v>
      </c>
    </row>
    <row r="253" spans="27:32" x14ac:dyDescent="0.3">
      <c r="AA253" s="3">
        <v>1194.55</v>
      </c>
      <c r="AB253">
        <v>1E-4</v>
      </c>
      <c r="AC253">
        <v>8</v>
      </c>
      <c r="AD253" s="5">
        <v>4.9243282503621382</v>
      </c>
      <c r="AE253" s="5">
        <v>2.1823968554641429</v>
      </c>
      <c r="AF253">
        <v>1</v>
      </c>
    </row>
    <row r="254" spans="27:32" x14ac:dyDescent="0.3">
      <c r="AA254" s="3">
        <v>14470.87</v>
      </c>
      <c r="AB254">
        <v>1E-4</v>
      </c>
      <c r="AC254">
        <v>8</v>
      </c>
      <c r="AD254" s="5">
        <v>5.0943425667175672</v>
      </c>
      <c r="AE254" s="5">
        <v>2.2284456676042557</v>
      </c>
      <c r="AF254">
        <v>1</v>
      </c>
    </row>
    <row r="255" spans="27:32" x14ac:dyDescent="0.3">
      <c r="AA255" s="3">
        <v>30563.73</v>
      </c>
      <c r="AB255">
        <v>1E-4</v>
      </c>
      <c r="AC255">
        <v>7</v>
      </c>
      <c r="AD255" s="5">
        <v>4.9991094985764999</v>
      </c>
      <c r="AE255" s="5">
        <v>2.1271888427370182</v>
      </c>
      <c r="AF255">
        <v>1</v>
      </c>
    </row>
    <row r="256" spans="27:32" x14ac:dyDescent="0.3">
      <c r="AA256" s="3">
        <v>15751.9</v>
      </c>
      <c r="AB256">
        <v>1E-4</v>
      </c>
      <c r="AC256">
        <v>8</v>
      </c>
      <c r="AD256" s="5">
        <v>4.9286379590191203</v>
      </c>
      <c r="AE256" s="5">
        <v>2.202982984398099</v>
      </c>
      <c r="AF256">
        <v>1</v>
      </c>
    </row>
    <row r="257" spans="27:32" x14ac:dyDescent="0.3">
      <c r="AA257" s="3">
        <v>-5463.18</v>
      </c>
      <c r="AB257">
        <v>1E-4</v>
      </c>
      <c r="AC257">
        <v>9</v>
      </c>
      <c r="AD257" s="5">
        <v>4.9541997454211781</v>
      </c>
      <c r="AE257" s="5">
        <v>2.2758883660653946</v>
      </c>
      <c r="AF257">
        <v>1</v>
      </c>
    </row>
    <row r="258" spans="27:32" x14ac:dyDescent="0.3">
      <c r="AA258" s="3">
        <v>13947.6</v>
      </c>
      <c r="AB258">
        <v>1E-4</v>
      </c>
      <c r="AC258">
        <v>8</v>
      </c>
      <c r="AD258" s="5">
        <v>4.9785730343581234</v>
      </c>
      <c r="AE258" s="5">
        <v>2.1811566906106732</v>
      </c>
      <c r="AF258">
        <v>1</v>
      </c>
    </row>
    <row r="259" spans="27:32" x14ac:dyDescent="0.3">
      <c r="AA259" s="3">
        <v>-4881.26</v>
      </c>
      <c r="AB259">
        <v>1E-4</v>
      </c>
      <c r="AC259">
        <v>9</v>
      </c>
      <c r="AD259" s="5">
        <v>5.0139951966261238</v>
      </c>
      <c r="AE259" s="5">
        <v>2.2418512052558457</v>
      </c>
      <c r="AF259">
        <v>1</v>
      </c>
    </row>
    <row r="260" spans="27:32" x14ac:dyDescent="0.3">
      <c r="AA260" s="3">
        <v>5469.18</v>
      </c>
      <c r="AB260">
        <v>1E-4</v>
      </c>
      <c r="AC260">
        <v>8</v>
      </c>
      <c r="AD260" s="5">
        <v>5.0665558843740364</v>
      </c>
      <c r="AE260" s="5">
        <v>2.1422482998260839</v>
      </c>
      <c r="AF260">
        <v>1</v>
      </c>
    </row>
    <row r="261" spans="27:32" x14ac:dyDescent="0.3">
      <c r="AA261" s="3">
        <v>43060.21</v>
      </c>
      <c r="AB261">
        <v>1E-4</v>
      </c>
      <c r="AC261">
        <v>7</v>
      </c>
      <c r="AD261" s="5">
        <v>5.0423772523389934</v>
      </c>
      <c r="AE261" s="5">
        <v>2.2221309080753544</v>
      </c>
      <c r="AF261">
        <v>1</v>
      </c>
    </row>
    <row r="262" spans="27:32" x14ac:dyDescent="0.3">
      <c r="AA262" s="3">
        <v>2415.4299999999998</v>
      </c>
      <c r="AB262">
        <v>1E-4</v>
      </c>
      <c r="AC262">
        <v>8</v>
      </c>
      <c r="AD262" s="5">
        <v>5.0100303486959623</v>
      </c>
      <c r="AE262" s="5">
        <v>2.2304351301615428</v>
      </c>
      <c r="AF262">
        <v>1</v>
      </c>
    </row>
    <row r="263" spans="27:32" x14ac:dyDescent="0.3">
      <c r="AA263" s="3">
        <v>-3830.29</v>
      </c>
      <c r="AB263">
        <v>1E-4</v>
      </c>
      <c r="AC263">
        <v>9</v>
      </c>
      <c r="AD263" s="5">
        <v>5.0276600818019617</v>
      </c>
      <c r="AE263" s="5">
        <v>2.2028350188491013</v>
      </c>
      <c r="AF263">
        <v>1</v>
      </c>
    </row>
    <row r="264" spans="27:32" x14ac:dyDescent="0.3">
      <c r="AA264" s="3">
        <v>35333.760000000002</v>
      </c>
      <c r="AB264">
        <v>1E-4</v>
      </c>
      <c r="AC264">
        <v>7</v>
      </c>
      <c r="AD264" s="5">
        <v>5.0386323979965759</v>
      </c>
      <c r="AE264" s="5">
        <v>2.190742174371795</v>
      </c>
      <c r="AF264">
        <v>1</v>
      </c>
    </row>
    <row r="265" spans="27:32" x14ac:dyDescent="0.3">
      <c r="AA265" s="3">
        <v>6718.76</v>
      </c>
      <c r="AB265">
        <v>1E-4</v>
      </c>
      <c r="AC265">
        <v>8</v>
      </c>
      <c r="AD265" s="5">
        <v>4.9249835625310192</v>
      </c>
      <c r="AE265" s="5">
        <v>2.1187219042245298</v>
      </c>
      <c r="AF265">
        <v>1</v>
      </c>
    </row>
    <row r="266" spans="27:32" x14ac:dyDescent="0.3">
      <c r="AA266" s="3">
        <v>-5473.98</v>
      </c>
      <c r="AB266">
        <v>1E-4</v>
      </c>
      <c r="AC266">
        <v>9</v>
      </c>
      <c r="AD266" s="5">
        <v>4.9306265102832469</v>
      </c>
      <c r="AE266" s="5">
        <v>2.1635445771890867</v>
      </c>
      <c r="AF266">
        <v>1</v>
      </c>
    </row>
    <row r="267" spans="27:32" x14ac:dyDescent="0.3">
      <c r="AA267" s="3">
        <v>18773.53</v>
      </c>
      <c r="AB267">
        <v>1E-4</v>
      </c>
      <c r="AC267">
        <v>8</v>
      </c>
      <c r="AD267" s="5">
        <v>4.9218915498016926</v>
      </c>
      <c r="AE267" s="5">
        <v>2.207697046291373</v>
      </c>
      <c r="AF267">
        <v>1</v>
      </c>
    </row>
    <row r="268" spans="27:32" x14ac:dyDescent="0.3">
      <c r="AA268" s="3">
        <v>24582.67</v>
      </c>
      <c r="AB268">
        <v>1E-4</v>
      </c>
      <c r="AC268">
        <v>8</v>
      </c>
      <c r="AD268" s="5">
        <v>5.0759076333988533</v>
      </c>
      <c r="AE268" s="5">
        <v>2.2276015678256291</v>
      </c>
      <c r="AF268">
        <v>1</v>
      </c>
    </row>
    <row r="269" spans="27:32" x14ac:dyDescent="0.3">
      <c r="AA269" s="3">
        <v>-20025.883801939628</v>
      </c>
      <c r="AB269">
        <v>1E-4</v>
      </c>
      <c r="AC269">
        <v>9</v>
      </c>
      <c r="AD269" s="5">
        <v>5.1204435613152155</v>
      </c>
      <c r="AE269" s="5">
        <v>2.289394292027767</v>
      </c>
      <c r="AF269">
        <v>0</v>
      </c>
    </row>
    <row r="270" spans="27:32" x14ac:dyDescent="0.3">
      <c r="AA270" s="3">
        <v>1238.69</v>
      </c>
      <c r="AB270">
        <v>1E-4</v>
      </c>
      <c r="AC270">
        <v>8</v>
      </c>
      <c r="AD270" s="5">
        <v>4.9277559326553497</v>
      </c>
      <c r="AE270" s="5">
        <v>2.2206779192598303</v>
      </c>
      <c r="AF270">
        <v>1</v>
      </c>
    </row>
    <row r="271" spans="27:32" x14ac:dyDescent="0.3">
      <c r="AA271" s="3">
        <v>-6260.24</v>
      </c>
      <c r="AB271">
        <v>1E-4</v>
      </c>
      <c r="AC271">
        <v>9</v>
      </c>
      <c r="AD271" s="5">
        <v>4.9346982337400185</v>
      </c>
      <c r="AE271" s="5">
        <v>2.1394600103632211</v>
      </c>
      <c r="AF271">
        <v>1</v>
      </c>
    </row>
    <row r="272" spans="27:32" x14ac:dyDescent="0.3">
      <c r="AA272" s="3">
        <v>-26831.693427067632</v>
      </c>
      <c r="AB272">
        <v>1E-4</v>
      </c>
      <c r="AC272">
        <v>9</v>
      </c>
      <c r="AD272" s="5">
        <v>5.0018708384828292</v>
      </c>
      <c r="AE272" s="5">
        <v>2.1337233495509156</v>
      </c>
      <c r="AF272">
        <v>0</v>
      </c>
    </row>
    <row r="273" spans="27:32" x14ac:dyDescent="0.3">
      <c r="AA273" s="3">
        <v>24208.49</v>
      </c>
      <c r="AB273">
        <v>1E-4</v>
      </c>
      <c r="AC273">
        <v>8</v>
      </c>
      <c r="AD273" s="5">
        <v>4.9706444849712597</v>
      </c>
      <c r="AE273" s="5">
        <v>2.223544142173044</v>
      </c>
      <c r="AF273">
        <v>1</v>
      </c>
    </row>
    <row r="274" spans="27:32" x14ac:dyDescent="0.3">
      <c r="AA274" s="3">
        <v>22133.15</v>
      </c>
      <c r="AB274">
        <v>1E-4</v>
      </c>
      <c r="AC274">
        <v>8</v>
      </c>
      <c r="AD274" s="5">
        <v>4.9567733810343908</v>
      </c>
      <c r="AE274" s="5">
        <v>2.1731326605063819</v>
      </c>
      <c r="AF274">
        <v>1</v>
      </c>
    </row>
    <row r="275" spans="27:32" x14ac:dyDescent="0.3">
      <c r="AA275" s="3">
        <v>21256.32</v>
      </c>
      <c r="AB275">
        <v>1E-4</v>
      </c>
      <c r="AC275">
        <v>8</v>
      </c>
      <c r="AD275" s="5">
        <v>4.9073419308064894</v>
      </c>
      <c r="AE275" s="5">
        <v>2.1413224346515651</v>
      </c>
      <c r="AF275">
        <v>1</v>
      </c>
    </row>
    <row r="276" spans="27:32" x14ac:dyDescent="0.3">
      <c r="AA276" s="3">
        <v>15993.11</v>
      </c>
      <c r="AB276">
        <v>1E-4</v>
      </c>
      <c r="AC276">
        <v>8</v>
      </c>
      <c r="AD276" s="5">
        <v>4.8296039988077348</v>
      </c>
      <c r="AE276" s="5">
        <v>2.1599946351343604</v>
      </c>
      <c r="AF276">
        <v>1</v>
      </c>
    </row>
    <row r="277" spans="27:32" x14ac:dyDescent="0.3">
      <c r="AA277" s="3">
        <v>2501.73</v>
      </c>
      <c r="AB277">
        <v>1E-4</v>
      </c>
      <c r="AC277">
        <v>8</v>
      </c>
      <c r="AD277" s="5">
        <v>5.0223769090300623</v>
      </c>
      <c r="AE277" s="5">
        <v>2.2360979409058572</v>
      </c>
      <c r="AF277">
        <v>1</v>
      </c>
    </row>
    <row r="278" spans="27:32" x14ac:dyDescent="0.3">
      <c r="AA278" s="3">
        <v>-13966.59</v>
      </c>
      <c r="AB278">
        <v>1E-4</v>
      </c>
      <c r="AC278">
        <v>9</v>
      </c>
      <c r="AD278" s="5">
        <v>4.8784312388847919</v>
      </c>
      <c r="AE278" s="5">
        <v>2.214758302909674</v>
      </c>
      <c r="AF278">
        <v>1</v>
      </c>
    </row>
    <row r="279" spans="27:32" x14ac:dyDescent="0.3">
      <c r="AA279" s="3">
        <v>20776.7</v>
      </c>
      <c r="AB279">
        <v>1E-4</v>
      </c>
      <c r="AC279">
        <v>8</v>
      </c>
      <c r="AD279" s="5">
        <v>5.0991086976779227</v>
      </c>
      <c r="AE279" s="5">
        <v>2.1997373766752673</v>
      </c>
      <c r="AF279">
        <v>1</v>
      </c>
    </row>
    <row r="280" spans="27:32" x14ac:dyDescent="0.3">
      <c r="AA280" s="3">
        <v>36470.339999999997</v>
      </c>
      <c r="AB280">
        <v>1E-4</v>
      </c>
      <c r="AC280">
        <v>7</v>
      </c>
      <c r="AD280" s="5">
        <v>5.0707505533788666</v>
      </c>
      <c r="AE280" s="5">
        <v>2.226760336640238</v>
      </c>
      <c r="AF280">
        <v>1</v>
      </c>
    </row>
    <row r="281" spans="27:32" x14ac:dyDescent="0.3">
      <c r="AA281" s="3">
        <v>-6008.86</v>
      </c>
      <c r="AB281">
        <v>1E-4</v>
      </c>
      <c r="AC281">
        <v>9</v>
      </c>
      <c r="AD281" s="5">
        <v>4.8827153038290847</v>
      </c>
      <c r="AE281" s="5">
        <v>2.2050984744282562</v>
      </c>
      <c r="AF281">
        <v>1</v>
      </c>
    </row>
    <row r="282" spans="27:32" x14ac:dyDescent="0.3">
      <c r="AA282" s="3">
        <v>-16330.2</v>
      </c>
      <c r="AB282">
        <v>1E-4</v>
      </c>
      <c r="AC282">
        <v>9</v>
      </c>
      <c r="AD282" s="5">
        <v>5.0401929661673774</v>
      </c>
      <c r="AE282" s="5">
        <v>2.2918317540908468</v>
      </c>
      <c r="AF282">
        <v>1</v>
      </c>
    </row>
    <row r="283" spans="27:32" x14ac:dyDescent="0.3">
      <c r="AA283" s="3">
        <v>-5473.09</v>
      </c>
      <c r="AB283">
        <v>1E-4</v>
      </c>
      <c r="AC283">
        <v>9</v>
      </c>
      <c r="AD283" s="5">
        <v>4.9139071248497403</v>
      </c>
      <c r="AE283" s="5">
        <v>2.217911098241697</v>
      </c>
      <c r="AF283">
        <v>1</v>
      </c>
    </row>
    <row r="284" spans="27:32" x14ac:dyDescent="0.3">
      <c r="AA284" s="3">
        <v>47890.38</v>
      </c>
      <c r="AB284">
        <v>1E-4</v>
      </c>
      <c r="AC284">
        <v>7</v>
      </c>
      <c r="AD284" s="5">
        <v>4.9727852966058288</v>
      </c>
      <c r="AE284" s="5">
        <v>2.1793835529668546</v>
      </c>
      <c r="AF284">
        <v>1</v>
      </c>
    </row>
    <row r="285" spans="27:32" x14ac:dyDescent="0.3">
      <c r="AA285" s="3">
        <v>365.93723911659617</v>
      </c>
      <c r="AB285">
        <v>1E-4</v>
      </c>
      <c r="AC285">
        <v>8</v>
      </c>
      <c r="AD285" s="5">
        <v>5.1039597683746614</v>
      </c>
      <c r="AE285" s="5">
        <v>2.211101819882042</v>
      </c>
      <c r="AF285">
        <v>0</v>
      </c>
    </row>
    <row r="286" spans="27:32" x14ac:dyDescent="0.3">
      <c r="AA286" s="3">
        <v>-7963.99</v>
      </c>
      <c r="AB286">
        <v>1E-4</v>
      </c>
      <c r="AC286">
        <v>9</v>
      </c>
      <c r="AD286" s="5">
        <v>5.0178892178874488</v>
      </c>
      <c r="AE286" s="5">
        <v>2.2170343126552883</v>
      </c>
      <c r="AF286">
        <v>1</v>
      </c>
    </row>
    <row r="287" spans="27:32" x14ac:dyDescent="0.3">
      <c r="AA287" s="3">
        <v>18692.689999999999</v>
      </c>
      <c r="AB287">
        <v>1E-4</v>
      </c>
      <c r="AC287">
        <v>8</v>
      </c>
      <c r="AD287" s="5">
        <v>4.9833955671074799</v>
      </c>
      <c r="AE287" s="5">
        <v>2.1463778317081115</v>
      </c>
      <c r="AF287">
        <v>1</v>
      </c>
    </row>
    <row r="288" spans="27:32" x14ac:dyDescent="0.3">
      <c r="AA288" s="3">
        <v>22232.400000000001</v>
      </c>
      <c r="AB288">
        <v>1E-4</v>
      </c>
      <c r="AC288">
        <v>8</v>
      </c>
      <c r="AD288" s="5">
        <v>5.0022486671290558</v>
      </c>
      <c r="AE288" s="5">
        <v>2.3093398935617087</v>
      </c>
      <c r="AF288">
        <v>1</v>
      </c>
    </row>
    <row r="289" spans="27:32" x14ac:dyDescent="0.3">
      <c r="AA289" s="3">
        <v>22814.2</v>
      </c>
      <c r="AB289">
        <v>1E-4</v>
      </c>
      <c r="AC289">
        <v>8</v>
      </c>
      <c r="AD289" s="5">
        <v>5.1131770532506353</v>
      </c>
      <c r="AE289" s="5">
        <v>2.1606590826726588</v>
      </c>
      <c r="AF289">
        <v>1</v>
      </c>
    </row>
    <row r="290" spans="27:32" x14ac:dyDescent="0.3">
      <c r="AA290" s="3">
        <v>9260.2999999999993</v>
      </c>
      <c r="AB290">
        <v>1E-4</v>
      </c>
      <c r="AC290">
        <v>8</v>
      </c>
      <c r="AD290" s="5">
        <v>4.9942293834080687</v>
      </c>
      <c r="AE290" s="5">
        <v>2.2902906453431409</v>
      </c>
      <c r="AF290">
        <v>1</v>
      </c>
    </row>
    <row r="291" spans="27:32" x14ac:dyDescent="0.3">
      <c r="AA291" s="3">
        <v>20492.66</v>
      </c>
      <c r="AB291">
        <v>1E-4</v>
      </c>
      <c r="AC291">
        <v>8</v>
      </c>
      <c r="AD291" s="5">
        <v>4.9154089874947617</v>
      </c>
      <c r="AE291" s="5">
        <v>2.2599949262377481</v>
      </c>
      <c r="AF291">
        <v>1</v>
      </c>
    </row>
    <row r="292" spans="27:32" x14ac:dyDescent="0.3">
      <c r="AA292" s="3">
        <v>4134.21</v>
      </c>
      <c r="AB292">
        <v>1E-4</v>
      </c>
      <c r="AC292">
        <v>8</v>
      </c>
      <c r="AD292" s="5">
        <v>4.8644085528618914</v>
      </c>
      <c r="AE292" s="5">
        <v>2.1380341450139189</v>
      </c>
      <c r="AF292">
        <v>1</v>
      </c>
    </row>
    <row r="293" spans="27:32" x14ac:dyDescent="0.3">
      <c r="AA293" s="3">
        <v>40781.550000000003</v>
      </c>
      <c r="AB293">
        <v>1E-4</v>
      </c>
      <c r="AC293">
        <v>7</v>
      </c>
      <c r="AD293" s="5">
        <v>4.9813292841084786</v>
      </c>
      <c r="AE293" s="5">
        <v>2.1522806265270278</v>
      </c>
      <c r="AF293">
        <v>1</v>
      </c>
    </row>
    <row r="294" spans="27:32" x14ac:dyDescent="0.3">
      <c r="AA294" s="3">
        <v>21623.94</v>
      </c>
      <c r="AB294">
        <v>1E-4</v>
      </c>
      <c r="AC294">
        <v>8</v>
      </c>
      <c r="AD294" s="5">
        <v>4.9206891831490909</v>
      </c>
      <c r="AE294" s="5">
        <v>2.1358614819621162</v>
      </c>
      <c r="AF294">
        <v>1</v>
      </c>
    </row>
    <row r="295" spans="27:32" x14ac:dyDescent="0.3">
      <c r="AA295" s="3">
        <v>13762.38</v>
      </c>
      <c r="AB295">
        <v>1E-4</v>
      </c>
      <c r="AC295">
        <v>8</v>
      </c>
      <c r="AD295" s="5">
        <v>5.093412416649385</v>
      </c>
      <c r="AE295" s="5">
        <v>2.2007990068151249</v>
      </c>
      <c r="AF295">
        <v>1</v>
      </c>
    </row>
    <row r="296" spans="27:32" x14ac:dyDescent="0.3">
      <c r="AA296" s="3">
        <v>-7794.37</v>
      </c>
      <c r="AB296">
        <v>1E-4</v>
      </c>
      <c r="AC296">
        <v>9</v>
      </c>
      <c r="AD296" s="5">
        <v>4.8779664580371396</v>
      </c>
      <c r="AE296" s="5">
        <v>2.2788008200762024</v>
      </c>
      <c r="AF296">
        <v>1</v>
      </c>
    </row>
    <row r="297" spans="27:32" x14ac:dyDescent="0.3">
      <c r="AA297" s="3">
        <v>17639.5</v>
      </c>
      <c r="AB297">
        <v>1E-4</v>
      </c>
      <c r="AC297">
        <v>8</v>
      </c>
      <c r="AD297" s="5">
        <v>5.0559385708861599</v>
      </c>
      <c r="AE297" s="5">
        <v>2.2207455406002361</v>
      </c>
      <c r="AF297">
        <v>1</v>
      </c>
    </row>
    <row r="298" spans="27:32" x14ac:dyDescent="0.3">
      <c r="AA298" s="3">
        <v>27707.52</v>
      </c>
      <c r="AB298">
        <v>1E-4</v>
      </c>
      <c r="AC298">
        <v>7</v>
      </c>
      <c r="AD298" s="5">
        <v>5.1665679902390389</v>
      </c>
      <c r="AE298" s="5">
        <v>2.167347033071263</v>
      </c>
      <c r="AF298">
        <v>1</v>
      </c>
    </row>
    <row r="299" spans="27:32" x14ac:dyDescent="0.3">
      <c r="AA299" s="3">
        <v>20756.05</v>
      </c>
      <c r="AB299">
        <v>1E-4</v>
      </c>
      <c r="AC299">
        <v>8</v>
      </c>
      <c r="AD299" s="5">
        <v>5.0132724524314698</v>
      </c>
      <c r="AE299" s="5">
        <v>2.0912820503524325</v>
      </c>
      <c r="AF299">
        <v>1</v>
      </c>
    </row>
    <row r="300" spans="27:32" x14ac:dyDescent="0.3">
      <c r="AA300" s="3">
        <v>6743.78</v>
      </c>
      <c r="AB300">
        <v>1E-4</v>
      </c>
      <c r="AC300">
        <v>8</v>
      </c>
      <c r="AD300" s="5">
        <v>4.9790164442419877</v>
      </c>
      <c r="AE300" s="5">
        <v>2.2223767107350887</v>
      </c>
      <c r="AF300">
        <v>1</v>
      </c>
    </row>
    <row r="301" spans="27:32" x14ac:dyDescent="0.3">
      <c r="AA301" s="3">
        <v>21368.06</v>
      </c>
      <c r="AB301">
        <v>1E-4</v>
      </c>
      <c r="AC301">
        <v>8</v>
      </c>
      <c r="AD301" s="5">
        <v>4.9878689515469183</v>
      </c>
      <c r="AE301" s="5">
        <v>2.2864421899197911</v>
      </c>
      <c r="AF301">
        <v>1</v>
      </c>
    </row>
    <row r="302" spans="27:32" x14ac:dyDescent="0.3">
      <c r="AA302" s="3">
        <v>52449.53</v>
      </c>
      <c r="AB302">
        <v>1E-4</v>
      </c>
      <c r="AC302">
        <v>6</v>
      </c>
      <c r="AD302" s="5">
        <v>5.0571224014850049</v>
      </c>
      <c r="AE302" s="5">
        <v>2.0815695749869825</v>
      </c>
      <c r="AF302">
        <v>1</v>
      </c>
    </row>
    <row r="303" spans="27:32" x14ac:dyDescent="0.3">
      <c r="AA303" s="3">
        <v>17272.810000000001</v>
      </c>
      <c r="AB303">
        <v>1E-4</v>
      </c>
      <c r="AC303">
        <v>8</v>
      </c>
      <c r="AD303" s="5">
        <v>5.0875340122165049</v>
      </c>
      <c r="AE303" s="5">
        <v>2.2475410003326277</v>
      </c>
      <c r="AF303">
        <v>1</v>
      </c>
    </row>
    <row r="304" spans="27:32" x14ac:dyDescent="0.3">
      <c r="AA304" s="3">
        <v>30839.83</v>
      </c>
      <c r="AB304">
        <v>1E-4</v>
      </c>
      <c r="AC304">
        <v>7</v>
      </c>
      <c r="AD304" s="5">
        <v>5.1197067906166414</v>
      </c>
      <c r="AE304" s="5">
        <v>2.2263509595687436</v>
      </c>
      <c r="AF304">
        <v>1</v>
      </c>
    </row>
    <row r="305" spans="27:32" x14ac:dyDescent="0.3">
      <c r="AA305" s="3">
        <v>20616.419999999998</v>
      </c>
      <c r="AB305">
        <v>1E-4</v>
      </c>
      <c r="AC305">
        <v>8</v>
      </c>
      <c r="AD305" s="5">
        <v>4.9050561029372748</v>
      </c>
      <c r="AE305" s="5">
        <v>2.2618508660875305</v>
      </c>
      <c r="AF305">
        <v>1</v>
      </c>
    </row>
    <row r="306" spans="27:32" x14ac:dyDescent="0.3">
      <c r="AA306" s="3">
        <v>697.6</v>
      </c>
      <c r="AB306">
        <v>1E-4</v>
      </c>
      <c r="AC306">
        <v>8</v>
      </c>
      <c r="AD306" s="5">
        <v>4.8982332332651488</v>
      </c>
      <c r="AE306" s="5">
        <v>2.1960805811997495</v>
      </c>
      <c r="AF306">
        <v>1</v>
      </c>
    </row>
    <row r="307" spans="27:32" x14ac:dyDescent="0.3">
      <c r="AA307" s="3">
        <v>6513.01</v>
      </c>
      <c r="AB307">
        <v>1E-4</v>
      </c>
      <c r="AC307">
        <v>8</v>
      </c>
      <c r="AD307" s="5">
        <v>5.0486779626957601</v>
      </c>
      <c r="AE307" s="5">
        <v>2.1862039253041696</v>
      </c>
      <c r="AF307">
        <v>1</v>
      </c>
    </row>
    <row r="308" spans="27:32" x14ac:dyDescent="0.3">
      <c r="AA308" s="3">
        <v>40316.51</v>
      </c>
      <c r="AB308">
        <v>1E-4</v>
      </c>
      <c r="AC308">
        <v>7</v>
      </c>
      <c r="AD308" s="5">
        <v>5.0206325814855814</v>
      </c>
      <c r="AE308" s="5">
        <v>2.199727383674758</v>
      </c>
      <c r="AF308">
        <v>1</v>
      </c>
    </row>
    <row r="309" spans="27:32" x14ac:dyDescent="0.3">
      <c r="AA309" s="3">
        <v>10973.27</v>
      </c>
      <c r="AB309">
        <v>1E-4</v>
      </c>
      <c r="AC309">
        <v>8</v>
      </c>
      <c r="AD309" s="5">
        <v>5.0662528770350574</v>
      </c>
      <c r="AE309" s="5">
        <v>2.1283489045122934</v>
      </c>
      <c r="AF309">
        <v>1</v>
      </c>
    </row>
    <row r="310" spans="27:32" x14ac:dyDescent="0.3">
      <c r="AA310" s="3">
        <v>30370.16</v>
      </c>
      <c r="AB310">
        <v>1E-4</v>
      </c>
      <c r="AC310">
        <v>8</v>
      </c>
      <c r="AD310" s="5">
        <v>4.9723575358693681</v>
      </c>
      <c r="AE310" s="5">
        <v>2.2279513421504675</v>
      </c>
      <c r="AF310">
        <v>1</v>
      </c>
    </row>
    <row r="311" spans="27:32" x14ac:dyDescent="0.3">
      <c r="AA311" s="3">
        <v>26819.4</v>
      </c>
      <c r="AB311">
        <v>1E-4</v>
      </c>
      <c r="AC311">
        <v>8</v>
      </c>
      <c r="AD311" s="5">
        <v>5.1025074618881812</v>
      </c>
      <c r="AE311" s="5">
        <v>2.1618420688040221</v>
      </c>
      <c r="AF311">
        <v>1</v>
      </c>
    </row>
    <row r="312" spans="27:32" x14ac:dyDescent="0.3">
      <c r="AA312" s="3">
        <v>25830.23</v>
      </c>
      <c r="AB312">
        <v>1E-4</v>
      </c>
      <c r="AC312">
        <v>8</v>
      </c>
      <c r="AD312" s="5">
        <v>5.0542852678779662</v>
      </c>
      <c r="AE312" s="5">
        <v>2.1907544246221837</v>
      </c>
      <c r="AF312">
        <v>1</v>
      </c>
    </row>
    <row r="313" spans="27:32" x14ac:dyDescent="0.3">
      <c r="AA313" s="3">
        <v>18540.87</v>
      </c>
      <c r="AB313">
        <v>1E-4</v>
      </c>
      <c r="AC313">
        <v>8</v>
      </c>
      <c r="AD313" s="5">
        <v>5.0346313236641134</v>
      </c>
      <c r="AE313" s="5">
        <v>2.2544237099283908</v>
      </c>
      <c r="AF313">
        <v>1</v>
      </c>
    </row>
    <row r="314" spans="27:32" x14ac:dyDescent="0.3">
      <c r="AA314" s="3">
        <v>23904.15</v>
      </c>
      <c r="AB314">
        <v>1E-4</v>
      </c>
      <c r="AC314">
        <v>8</v>
      </c>
      <c r="AD314" s="5">
        <v>5.0427493893904671</v>
      </c>
      <c r="AE314" s="5">
        <v>2.203022853010506</v>
      </c>
      <c r="AF314">
        <v>1</v>
      </c>
    </row>
    <row r="315" spans="27:32" x14ac:dyDescent="0.3">
      <c r="AA315" s="3">
        <v>32392.74</v>
      </c>
      <c r="AB315">
        <v>1E-4</v>
      </c>
      <c r="AC315">
        <v>7</v>
      </c>
      <c r="AD315" s="5">
        <v>5.1229542895435376</v>
      </c>
      <c r="AE315" s="5">
        <v>2.1435191238351923</v>
      </c>
      <c r="AF315">
        <v>1</v>
      </c>
    </row>
    <row r="316" spans="27:32" x14ac:dyDescent="0.3">
      <c r="AA316" s="3">
        <v>-2209.88</v>
      </c>
      <c r="AB316">
        <v>1E-4</v>
      </c>
      <c r="AC316">
        <v>9</v>
      </c>
      <c r="AD316" s="5">
        <v>4.8946067613308397</v>
      </c>
      <c r="AE316" s="5">
        <v>2.1670511659169795</v>
      </c>
      <c r="AF316">
        <v>1</v>
      </c>
    </row>
    <row r="317" spans="27:32" x14ac:dyDescent="0.3">
      <c r="AA317" s="3">
        <v>-606.79</v>
      </c>
      <c r="AB317">
        <v>1E-4</v>
      </c>
      <c r="AC317">
        <v>9</v>
      </c>
      <c r="AD317" s="5">
        <v>5.062903462337057</v>
      </c>
      <c r="AE317" s="5">
        <v>2.2495552990470089</v>
      </c>
      <c r="AF317">
        <v>1</v>
      </c>
    </row>
    <row r="318" spans="27:32" x14ac:dyDescent="0.3">
      <c r="AA318" s="3">
        <v>37331.919999999998</v>
      </c>
      <c r="AB318">
        <v>1E-4</v>
      </c>
      <c r="AC318">
        <v>7</v>
      </c>
      <c r="AD318" s="5">
        <v>4.9260454577215906</v>
      </c>
      <c r="AE318" s="5">
        <v>2.1672135011962865</v>
      </c>
      <c r="AF318">
        <v>1</v>
      </c>
    </row>
    <row r="319" spans="27:32" x14ac:dyDescent="0.3">
      <c r="AA319" s="3">
        <v>28206.73</v>
      </c>
      <c r="AB319">
        <v>1E-4</v>
      </c>
      <c r="AC319">
        <v>7</v>
      </c>
      <c r="AD319" s="5">
        <v>4.9937213628642425</v>
      </c>
      <c r="AE319" s="5">
        <v>2.2169486360896262</v>
      </c>
      <c r="AF319">
        <v>1</v>
      </c>
    </row>
    <row r="320" spans="27:32" x14ac:dyDescent="0.3">
      <c r="AA320" s="3">
        <v>3291.06</v>
      </c>
      <c r="AB320">
        <v>1E-4</v>
      </c>
      <c r="AC320">
        <v>8</v>
      </c>
      <c r="AD320" s="5">
        <v>4.7992228377115991</v>
      </c>
      <c r="AE320" s="5">
        <v>2.1989224260230844</v>
      </c>
      <c r="AF320">
        <v>1</v>
      </c>
    </row>
    <row r="321" spans="27:32" x14ac:dyDescent="0.3">
      <c r="AA321" s="3">
        <v>16695.490000000002</v>
      </c>
      <c r="AB321">
        <v>1E-4</v>
      </c>
      <c r="AC321">
        <v>8</v>
      </c>
      <c r="AD321" s="5">
        <v>4.9704567035675824</v>
      </c>
      <c r="AE321" s="5">
        <v>2.2405841888592164</v>
      </c>
      <c r="AF321">
        <v>1</v>
      </c>
    </row>
    <row r="322" spans="27:32" x14ac:dyDescent="0.3">
      <c r="AA322" s="3">
        <v>20819.95</v>
      </c>
      <c r="AB322">
        <v>1E-4</v>
      </c>
      <c r="AC322">
        <v>8</v>
      </c>
      <c r="AD322" s="5">
        <v>4.8938260349146923</v>
      </c>
      <c r="AE322" s="5">
        <v>2.2116341170690168</v>
      </c>
      <c r="AF322">
        <v>1</v>
      </c>
    </row>
    <row r="323" spans="27:32" x14ac:dyDescent="0.3">
      <c r="AA323" s="3">
        <v>20603.37</v>
      </c>
      <c r="AB323">
        <v>1E-4</v>
      </c>
      <c r="AC323">
        <v>8</v>
      </c>
      <c r="AD323" s="5">
        <v>4.9391963928857896</v>
      </c>
      <c r="AE323" s="5">
        <v>2.2236499174368194</v>
      </c>
      <c r="AF323">
        <v>1</v>
      </c>
    </row>
    <row r="324" spans="27:32" x14ac:dyDescent="0.3">
      <c r="AA324" s="3">
        <v>14640.31</v>
      </c>
      <c r="AB324">
        <v>1E-4</v>
      </c>
      <c r="AC324">
        <v>8</v>
      </c>
      <c r="AD324" s="5">
        <v>4.9173468816642627</v>
      </c>
      <c r="AE324" s="5">
        <v>2.2028559997035959</v>
      </c>
      <c r="AF324">
        <v>1</v>
      </c>
    </row>
    <row r="325" spans="27:32" x14ac:dyDescent="0.3">
      <c r="AA325" s="3">
        <v>-740.49</v>
      </c>
      <c r="AB325">
        <v>1E-4</v>
      </c>
      <c r="AC325">
        <v>9</v>
      </c>
      <c r="AD325" s="5">
        <v>5.0097164196030031</v>
      </c>
      <c r="AE325" s="5">
        <v>2.2522695591217357</v>
      </c>
      <c r="AF325">
        <v>1</v>
      </c>
    </row>
    <row r="326" spans="27:32" x14ac:dyDescent="0.3">
      <c r="AA326" s="3">
        <v>22274.29</v>
      </c>
      <c r="AB326">
        <v>1E-4</v>
      </c>
      <c r="AC326">
        <v>8</v>
      </c>
      <c r="AD326" s="5">
        <v>4.9303398509000402</v>
      </c>
      <c r="AE326" s="5">
        <v>2.1777391391038772</v>
      </c>
      <c r="AF326">
        <v>1</v>
      </c>
    </row>
    <row r="327" spans="27:32" x14ac:dyDescent="0.3">
      <c r="AA327" s="3">
        <v>16637.84</v>
      </c>
      <c r="AB327">
        <v>1E-4</v>
      </c>
      <c r="AC327">
        <v>8</v>
      </c>
      <c r="AD327" s="5">
        <v>4.9358173141207766</v>
      </c>
      <c r="AE327" s="5">
        <v>2.2381484115730328</v>
      </c>
      <c r="AF327">
        <v>1</v>
      </c>
    </row>
    <row r="328" spans="27:32" x14ac:dyDescent="0.3">
      <c r="AA328" s="3">
        <v>12425.81</v>
      </c>
      <c r="AB328">
        <v>1E-4</v>
      </c>
      <c r="AC328">
        <v>8</v>
      </c>
      <c r="AD328" s="5">
        <v>4.9514124612603236</v>
      </c>
      <c r="AE328" s="5">
        <v>2.1706284007355401</v>
      </c>
      <c r="AF328">
        <v>1</v>
      </c>
    </row>
    <row r="329" spans="27:32" x14ac:dyDescent="0.3">
      <c r="AA329" s="3">
        <v>25538.74</v>
      </c>
      <c r="AB329">
        <v>1E-4</v>
      </c>
      <c r="AC329">
        <v>8</v>
      </c>
      <c r="AD329" s="5">
        <v>5.0253181526073618</v>
      </c>
      <c r="AE329" s="5">
        <v>2.1971808712891261</v>
      </c>
      <c r="AF329">
        <v>1</v>
      </c>
    </row>
    <row r="330" spans="27:32" x14ac:dyDescent="0.3">
      <c r="AA330" s="3">
        <v>17697.03</v>
      </c>
      <c r="AB330">
        <v>1E-4</v>
      </c>
      <c r="AC330">
        <v>8</v>
      </c>
      <c r="AD330" s="5">
        <v>4.9925920138404267</v>
      </c>
      <c r="AE330" s="5">
        <v>2.2150304471968507</v>
      </c>
      <c r="AF330">
        <v>1</v>
      </c>
    </row>
    <row r="331" spans="27:32" x14ac:dyDescent="0.3">
      <c r="AA331" s="3">
        <v>2996.01</v>
      </c>
      <c r="AB331">
        <v>1E-4</v>
      </c>
      <c r="AC331">
        <v>8</v>
      </c>
      <c r="AD331" s="5">
        <v>5.0289462432840679</v>
      </c>
      <c r="AE331" s="5">
        <v>2.2232102012186958</v>
      </c>
      <c r="AF331">
        <v>1</v>
      </c>
    </row>
    <row r="332" spans="27:32" x14ac:dyDescent="0.3">
      <c r="AA332" s="3">
        <v>35161.9</v>
      </c>
      <c r="AB332">
        <v>1E-4</v>
      </c>
      <c r="AC332">
        <v>7</v>
      </c>
      <c r="AD332" s="5">
        <v>5.0465628721281943</v>
      </c>
      <c r="AE332" s="5">
        <v>2.1468001831357797</v>
      </c>
      <c r="AF332">
        <v>1</v>
      </c>
    </row>
    <row r="333" spans="27:32" x14ac:dyDescent="0.3">
      <c r="AA333" s="3">
        <v>22554.37</v>
      </c>
      <c r="AB333">
        <v>1E-4</v>
      </c>
      <c r="AC333">
        <v>8</v>
      </c>
      <c r="AD333" s="5">
        <v>5.040089867496353</v>
      </c>
      <c r="AE333" s="5">
        <v>2.1576310675800863</v>
      </c>
      <c r="AF333">
        <v>1</v>
      </c>
    </row>
    <row r="334" spans="27:32" x14ac:dyDescent="0.3">
      <c r="AA334" s="3">
        <v>30516.19</v>
      </c>
      <c r="AB334">
        <v>1E-4</v>
      </c>
      <c r="AC334">
        <v>8</v>
      </c>
      <c r="AD334" s="5">
        <v>4.998089692655812</v>
      </c>
      <c r="AE334" s="5">
        <v>2.2092300298097798</v>
      </c>
      <c r="AF334">
        <v>1</v>
      </c>
    </row>
    <row r="335" spans="27:32" x14ac:dyDescent="0.3">
      <c r="AA335" s="3">
        <v>2912.79</v>
      </c>
      <c r="AB335">
        <v>1E-4</v>
      </c>
      <c r="AC335">
        <v>8</v>
      </c>
      <c r="AD335" s="5">
        <v>4.935433747442759</v>
      </c>
      <c r="AE335" s="5">
        <v>2.1694724355200936</v>
      </c>
      <c r="AF335">
        <v>1</v>
      </c>
    </row>
    <row r="336" spans="27:32" x14ac:dyDescent="0.3">
      <c r="AA336" s="3">
        <v>18407.55</v>
      </c>
      <c r="AB336">
        <v>1E-4</v>
      </c>
      <c r="AC336">
        <v>8</v>
      </c>
      <c r="AD336" s="5">
        <v>5.0705849989197276</v>
      </c>
      <c r="AE336" s="5">
        <v>2.1996901469596102</v>
      </c>
      <c r="AF336">
        <v>1</v>
      </c>
    </row>
    <row r="337" spans="27:32" x14ac:dyDescent="0.3">
      <c r="AA337" s="3">
        <v>-13936.072081968276</v>
      </c>
      <c r="AB337">
        <v>1E-4</v>
      </c>
      <c r="AC337">
        <v>8</v>
      </c>
      <c r="AD337" s="5">
        <v>5.1522000064986466</v>
      </c>
      <c r="AE337" s="5">
        <v>2.1611161647468276</v>
      </c>
      <c r="AF337">
        <v>0</v>
      </c>
    </row>
    <row r="338" spans="27:32" x14ac:dyDescent="0.3">
      <c r="AA338" s="3">
        <v>-1493.37</v>
      </c>
      <c r="AB338">
        <v>1E-4</v>
      </c>
      <c r="AC338">
        <v>9</v>
      </c>
      <c r="AD338" s="5">
        <v>5.0017239468971333</v>
      </c>
      <c r="AE338" s="5">
        <v>2.1909692249680903</v>
      </c>
      <c r="AF338">
        <v>1</v>
      </c>
    </row>
    <row r="339" spans="27:32" x14ac:dyDescent="0.3">
      <c r="AA339" s="3">
        <v>3533.35</v>
      </c>
      <c r="AB339">
        <v>1E-4</v>
      </c>
      <c r="AC339">
        <v>8</v>
      </c>
      <c r="AD339" s="5">
        <v>4.7899853422976699</v>
      </c>
      <c r="AE339" s="5">
        <v>2.2473873138456413</v>
      </c>
      <c r="AF339">
        <v>1</v>
      </c>
    </row>
    <row r="340" spans="27:32" x14ac:dyDescent="0.3">
      <c r="AA340" s="3">
        <v>43101.22</v>
      </c>
      <c r="AB340">
        <v>1E-4</v>
      </c>
      <c r="AC340">
        <v>7</v>
      </c>
      <c r="AD340" s="5">
        <v>5.1201921219809892</v>
      </c>
      <c r="AE340" s="5">
        <v>2.1826792651131952</v>
      </c>
      <c r="AF340">
        <v>1</v>
      </c>
    </row>
    <row r="341" spans="27:32" x14ac:dyDescent="0.3">
      <c r="AA341" s="3">
        <v>14621.03</v>
      </c>
      <c r="AB341">
        <v>1E-4</v>
      </c>
      <c r="AC341">
        <v>8</v>
      </c>
      <c r="AD341" s="5">
        <v>4.9298968063984727</v>
      </c>
      <c r="AE341" s="5">
        <v>2.2206158446718036</v>
      </c>
      <c r="AF341">
        <v>1</v>
      </c>
    </row>
    <row r="342" spans="27:32" x14ac:dyDescent="0.3">
      <c r="AA342" s="3">
        <v>12310.19</v>
      </c>
      <c r="AB342">
        <v>1E-4</v>
      </c>
      <c r="AC342">
        <v>8</v>
      </c>
      <c r="AD342" s="5">
        <v>4.9339373004747893</v>
      </c>
      <c r="AE342" s="5">
        <v>2.1865422757120672</v>
      </c>
      <c r="AF342">
        <v>1</v>
      </c>
    </row>
    <row r="343" spans="27:32" x14ac:dyDescent="0.3">
      <c r="AA343" s="3">
        <v>40713.42</v>
      </c>
      <c r="AB343">
        <v>1E-4</v>
      </c>
      <c r="AC343">
        <v>7</v>
      </c>
      <c r="AD343" s="5">
        <v>5.0382607008465516</v>
      </c>
      <c r="AE343" s="5">
        <v>2.2131477996557809</v>
      </c>
      <c r="AF343">
        <v>1</v>
      </c>
    </row>
    <row r="344" spans="27:32" x14ac:dyDescent="0.3">
      <c r="AA344" s="3">
        <v>19614.310000000001</v>
      </c>
      <c r="AB344">
        <v>1E-4</v>
      </c>
      <c r="AC344">
        <v>8</v>
      </c>
      <c r="AD344" s="5">
        <v>4.9159624312041075</v>
      </c>
      <c r="AE344" s="5">
        <v>2.1705787275773236</v>
      </c>
      <c r="AF344">
        <v>1</v>
      </c>
    </row>
    <row r="345" spans="27:32" x14ac:dyDescent="0.3">
      <c r="AA345" s="3">
        <v>1349.92</v>
      </c>
      <c r="AB345">
        <v>1E-4</v>
      </c>
      <c r="AC345">
        <v>8</v>
      </c>
      <c r="AD345" s="5">
        <v>4.9442080746495236</v>
      </c>
      <c r="AE345" s="5">
        <v>2.2054557845454839</v>
      </c>
      <c r="AF345">
        <v>1</v>
      </c>
    </row>
    <row r="346" spans="27:32" x14ac:dyDescent="0.3">
      <c r="AA346" s="3">
        <v>43133.54</v>
      </c>
      <c r="AB346">
        <v>1E-4</v>
      </c>
      <c r="AC346">
        <v>7</v>
      </c>
      <c r="AD346" s="5">
        <v>5.1211107981981412</v>
      </c>
      <c r="AE346" s="5">
        <v>2.238181856069787</v>
      </c>
      <c r="AF346">
        <v>1</v>
      </c>
    </row>
    <row r="347" spans="27:32" x14ac:dyDescent="0.3">
      <c r="AA347" s="3">
        <v>-9929.9699999999993</v>
      </c>
      <c r="AB347">
        <v>1E-4</v>
      </c>
      <c r="AC347">
        <v>9</v>
      </c>
      <c r="AD347" s="5">
        <v>5.0056579563915786</v>
      </c>
      <c r="AE347" s="5">
        <v>2.2275958508807254</v>
      </c>
      <c r="AF347">
        <v>1</v>
      </c>
    </row>
    <row r="348" spans="27:32" x14ac:dyDescent="0.3">
      <c r="AA348" s="3">
        <v>10857</v>
      </c>
      <c r="AB348">
        <v>1E-4</v>
      </c>
      <c r="AC348">
        <v>8</v>
      </c>
      <c r="AD348" s="5">
        <v>4.9085939458251469</v>
      </c>
      <c r="AE348" s="5">
        <v>2.2437118120934545</v>
      </c>
      <c r="AF348">
        <v>1</v>
      </c>
    </row>
    <row r="349" spans="27:32" x14ac:dyDescent="0.3">
      <c r="AA349" s="3">
        <v>5043.95</v>
      </c>
      <c r="AB349">
        <v>1E-4</v>
      </c>
      <c r="AC349">
        <v>8</v>
      </c>
      <c r="AD349" s="5">
        <v>4.9520699783372155</v>
      </c>
      <c r="AE349" s="5">
        <v>2.186367927149472</v>
      </c>
      <c r="AF349">
        <v>1</v>
      </c>
    </row>
    <row r="350" spans="27:32" x14ac:dyDescent="0.3">
      <c r="AA350" s="3">
        <v>-2728.08</v>
      </c>
      <c r="AB350">
        <v>1E-4</v>
      </c>
      <c r="AC350">
        <v>9</v>
      </c>
      <c r="AD350" s="5">
        <v>4.8828652059472226</v>
      </c>
      <c r="AE350" s="5">
        <v>2.175803950747961</v>
      </c>
      <c r="AF350">
        <v>1</v>
      </c>
    </row>
    <row r="351" spans="27:32" x14ac:dyDescent="0.3">
      <c r="AA351" s="3">
        <v>7169.01</v>
      </c>
      <c r="AB351">
        <v>1E-4</v>
      </c>
      <c r="AC351">
        <v>8</v>
      </c>
      <c r="AD351" s="5">
        <v>4.9358943252678387</v>
      </c>
      <c r="AE351" s="5">
        <v>2.158530792102221</v>
      </c>
      <c r="AF351">
        <v>1</v>
      </c>
    </row>
    <row r="352" spans="27:32" x14ac:dyDescent="0.3">
      <c r="AA352" s="3">
        <v>23761.71</v>
      </c>
      <c r="AB352">
        <v>1E-4</v>
      </c>
      <c r="AC352">
        <v>8</v>
      </c>
      <c r="AD352" s="5">
        <v>4.8412546367479896</v>
      </c>
      <c r="AE352" s="5">
        <v>2.1984734664938874</v>
      </c>
      <c r="AF352">
        <v>1</v>
      </c>
    </row>
    <row r="353" spans="27:32" x14ac:dyDescent="0.3">
      <c r="AA353" s="3">
        <v>3367</v>
      </c>
      <c r="AB353">
        <v>1E-4</v>
      </c>
      <c r="AC353">
        <v>8</v>
      </c>
      <c r="AD353" s="5">
        <v>5.0867113663010217</v>
      </c>
      <c r="AE353" s="5">
        <v>2.2496988574614125</v>
      </c>
      <c r="AF353">
        <v>1</v>
      </c>
    </row>
    <row r="354" spans="27:32" x14ac:dyDescent="0.3">
      <c r="AA354" s="3">
        <v>51304.959999999999</v>
      </c>
      <c r="AB354">
        <v>1E-4</v>
      </c>
      <c r="AC354">
        <v>6</v>
      </c>
      <c r="AD354" s="5">
        <v>5.1093711149761125</v>
      </c>
      <c r="AE354" s="5">
        <v>2.217631595345972</v>
      </c>
      <c r="AF354">
        <v>1</v>
      </c>
    </row>
    <row r="355" spans="27:32" x14ac:dyDescent="0.3">
      <c r="AA355" s="3">
        <v>24424.78</v>
      </c>
      <c r="AB355">
        <v>1E-4</v>
      </c>
      <c r="AC355">
        <v>8</v>
      </c>
      <c r="AD355" s="5">
        <v>4.9384239392499616</v>
      </c>
      <c r="AE355" s="5">
        <v>2.2798428826057111</v>
      </c>
      <c r="AF355">
        <v>1</v>
      </c>
    </row>
    <row r="356" spans="27:32" x14ac:dyDescent="0.3">
      <c r="AA356" s="3">
        <v>26678.58</v>
      </c>
      <c r="AB356">
        <v>1E-4</v>
      </c>
      <c r="AC356">
        <v>8</v>
      </c>
      <c r="AD356" s="5">
        <v>5.0008741646223998</v>
      </c>
      <c r="AE356" s="5">
        <v>2.1467513915289773</v>
      </c>
      <c r="AF356">
        <v>1</v>
      </c>
    </row>
    <row r="357" spans="27:32" x14ac:dyDescent="0.3">
      <c r="AA357" s="3">
        <v>9634.01</v>
      </c>
      <c r="AB357">
        <v>1E-4</v>
      </c>
      <c r="AC357">
        <v>8</v>
      </c>
      <c r="AD357" s="5">
        <v>4.9764140694958998</v>
      </c>
      <c r="AE357" s="5">
        <v>2.2422381284887511</v>
      </c>
      <c r="AF357">
        <v>1</v>
      </c>
    </row>
    <row r="358" spans="27:32" x14ac:dyDescent="0.3">
      <c r="AA358" s="3">
        <v>55630.93</v>
      </c>
      <c r="AB358">
        <v>1E-4</v>
      </c>
      <c r="AC358">
        <v>6</v>
      </c>
      <c r="AD358" s="5">
        <v>5.0522748689902279</v>
      </c>
      <c r="AE358" s="5">
        <v>2.154098512163122</v>
      </c>
      <c r="AF358">
        <v>1</v>
      </c>
    </row>
    <row r="359" spans="27:32" x14ac:dyDescent="0.3">
      <c r="AA359" s="3">
        <v>-3177.19</v>
      </c>
      <c r="AB359">
        <v>1E-4</v>
      </c>
      <c r="AC359">
        <v>9</v>
      </c>
      <c r="AD359" s="5">
        <v>4.8612929283415554</v>
      </c>
      <c r="AE359" s="5">
        <v>2.2147898423076526</v>
      </c>
      <c r="AF359">
        <v>1</v>
      </c>
    </row>
    <row r="360" spans="27:32" x14ac:dyDescent="0.3">
      <c r="AA360" s="3">
        <v>-17410.47</v>
      </c>
      <c r="AB360">
        <v>1E-4</v>
      </c>
      <c r="AC360">
        <v>9</v>
      </c>
      <c r="AD360" s="5">
        <v>4.9250430343442471</v>
      </c>
      <c r="AE360" s="5">
        <v>2.2268367744346547</v>
      </c>
      <c r="AF360">
        <v>1</v>
      </c>
    </row>
    <row r="361" spans="27:32" x14ac:dyDescent="0.3">
      <c r="AA361" s="3">
        <v>8433.44</v>
      </c>
      <c r="AB361">
        <v>1E-4</v>
      </c>
      <c r="AC361">
        <v>8</v>
      </c>
      <c r="AD361" s="5">
        <v>5.0839350186078418</v>
      </c>
      <c r="AE361" s="5">
        <v>2.183532963785821</v>
      </c>
      <c r="AF361">
        <v>1</v>
      </c>
    </row>
    <row r="362" spans="27:32" x14ac:dyDescent="0.3">
      <c r="AA362" s="3">
        <v>-2790.61</v>
      </c>
      <c r="AB362">
        <v>1E-4</v>
      </c>
      <c r="AC362">
        <v>9</v>
      </c>
      <c r="AD362" s="5">
        <v>4.9288421363469936</v>
      </c>
      <c r="AE362" s="5">
        <v>2.1557355718532913</v>
      </c>
      <c r="AF362">
        <v>1</v>
      </c>
    </row>
    <row r="363" spans="27:32" x14ac:dyDescent="0.3">
      <c r="AA363" s="3">
        <v>-14260.84</v>
      </c>
      <c r="AB363">
        <v>1E-4</v>
      </c>
      <c r="AC363">
        <v>9</v>
      </c>
      <c r="AD363" s="5">
        <v>4.9207586108521291</v>
      </c>
      <c r="AE363" s="5">
        <v>2.1760854484235508</v>
      </c>
      <c r="AF363">
        <v>1</v>
      </c>
    </row>
    <row r="364" spans="27:32" x14ac:dyDescent="0.3">
      <c r="AA364" s="3">
        <v>32873.949999999997</v>
      </c>
      <c r="AB364">
        <v>1E-4</v>
      </c>
      <c r="AC364">
        <v>7</v>
      </c>
      <c r="AD364" s="5">
        <v>4.9656944557265952</v>
      </c>
      <c r="AE364" s="5">
        <v>2.2033973658711776</v>
      </c>
      <c r="AF364">
        <v>1</v>
      </c>
    </row>
    <row r="365" spans="27:32" x14ac:dyDescent="0.3">
      <c r="AA365" s="3">
        <v>16896.099999999999</v>
      </c>
      <c r="AB365">
        <v>1E-4</v>
      </c>
      <c r="AC365">
        <v>8</v>
      </c>
      <c r="AD365" s="5">
        <v>5.0283055949517736</v>
      </c>
      <c r="AE365" s="5">
        <v>2.2155635045999107</v>
      </c>
      <c r="AF365">
        <v>1</v>
      </c>
    </row>
    <row r="366" spans="27:32" x14ac:dyDescent="0.3">
      <c r="AA366" s="3">
        <v>17699.189999999999</v>
      </c>
      <c r="AB366">
        <v>1E-4</v>
      </c>
      <c r="AC366">
        <v>8</v>
      </c>
      <c r="AD366" s="5">
        <v>4.9474513688681974</v>
      </c>
      <c r="AE366" s="5">
        <v>2.2176341072533665</v>
      </c>
      <c r="AF366">
        <v>1</v>
      </c>
    </row>
    <row r="367" spans="27:32" x14ac:dyDescent="0.3">
      <c r="AA367" s="3">
        <v>9052.34</v>
      </c>
      <c r="AB367">
        <v>1E-4</v>
      </c>
      <c r="AC367">
        <v>8</v>
      </c>
      <c r="AD367" s="5">
        <v>5.0063016540756173</v>
      </c>
      <c r="AE367" s="5">
        <v>2.248867976594731</v>
      </c>
      <c r="AF367">
        <v>1</v>
      </c>
    </row>
    <row r="368" spans="27:32" x14ac:dyDescent="0.3">
      <c r="AA368" s="3">
        <v>39509.39</v>
      </c>
      <c r="AB368">
        <v>1E-4</v>
      </c>
      <c r="AC368">
        <v>7</v>
      </c>
      <c r="AD368" s="5">
        <v>4.9097940638836173</v>
      </c>
      <c r="AE368" s="5">
        <v>2.173928502085003</v>
      </c>
      <c r="AF368">
        <v>1</v>
      </c>
    </row>
    <row r="369" spans="27:32" x14ac:dyDescent="0.3">
      <c r="AA369" s="3">
        <v>40509.94</v>
      </c>
      <c r="AB369">
        <v>1E-4</v>
      </c>
      <c r="AC369">
        <v>7</v>
      </c>
      <c r="AD369" s="5">
        <v>5.0790948802770162</v>
      </c>
      <c r="AE369" s="5">
        <v>2.1442970469187084</v>
      </c>
      <c r="AF369">
        <v>1</v>
      </c>
    </row>
    <row r="370" spans="27:32" x14ac:dyDescent="0.3">
      <c r="AA370" s="3">
        <v>10664.51</v>
      </c>
      <c r="AB370">
        <v>1E-4</v>
      </c>
      <c r="AC370">
        <v>8</v>
      </c>
      <c r="AD370" s="5">
        <v>5.0425680548475418</v>
      </c>
      <c r="AE370" s="5">
        <v>2.226730742305715</v>
      </c>
      <c r="AF370">
        <v>1</v>
      </c>
    </row>
    <row r="371" spans="27:32" x14ac:dyDescent="0.3">
      <c r="AA371" s="3">
        <v>6761.6</v>
      </c>
      <c r="AB371">
        <v>1E-4</v>
      </c>
      <c r="AC371">
        <v>8</v>
      </c>
      <c r="AD371" s="5">
        <v>4.7869639698268083</v>
      </c>
      <c r="AE371" s="5">
        <v>2.1986960379033511</v>
      </c>
      <c r="AF371">
        <v>1</v>
      </c>
    </row>
    <row r="372" spans="27:32" x14ac:dyDescent="0.3">
      <c r="AA372" s="3">
        <v>29952.33</v>
      </c>
      <c r="AB372">
        <v>1E-4</v>
      </c>
      <c r="AC372">
        <v>8</v>
      </c>
      <c r="AD372" s="5">
        <v>4.9399422917282774</v>
      </c>
      <c r="AE372" s="5">
        <v>2.210414503426819</v>
      </c>
      <c r="AF372">
        <v>1</v>
      </c>
    </row>
    <row r="373" spans="27:32" x14ac:dyDescent="0.3">
      <c r="AA373" s="3">
        <v>23536.33</v>
      </c>
      <c r="AB373">
        <v>1E-4</v>
      </c>
      <c r="AC373">
        <v>8</v>
      </c>
      <c r="AD373" s="5">
        <v>5.0764893099489861</v>
      </c>
      <c r="AE373" s="5">
        <v>2.2078265763084612</v>
      </c>
      <c r="AF373">
        <v>1</v>
      </c>
    </row>
    <row r="374" spans="27:32" x14ac:dyDescent="0.3">
      <c r="AA374" s="3">
        <v>43060.639999999999</v>
      </c>
      <c r="AB374">
        <v>1E-4</v>
      </c>
      <c r="AC374">
        <v>7</v>
      </c>
      <c r="AD374" s="5">
        <v>5.0564342635396429</v>
      </c>
      <c r="AE374" s="5">
        <v>2.1164391426859246</v>
      </c>
      <c r="AF374">
        <v>1</v>
      </c>
    </row>
    <row r="375" spans="27:32" x14ac:dyDescent="0.3">
      <c r="AA375" s="3">
        <v>9606.51</v>
      </c>
      <c r="AB375">
        <v>1E-4</v>
      </c>
      <c r="AC375">
        <v>8</v>
      </c>
      <c r="AD375" s="5">
        <v>4.8129760490105946</v>
      </c>
      <c r="AE375" s="5">
        <v>2.1573514699521996</v>
      </c>
      <c r="AF375">
        <v>1</v>
      </c>
    </row>
    <row r="376" spans="27:32" x14ac:dyDescent="0.3">
      <c r="AA376" s="3">
        <v>14420.65</v>
      </c>
      <c r="AB376">
        <v>1E-4</v>
      </c>
      <c r="AC376">
        <v>8</v>
      </c>
      <c r="AD376" s="5">
        <v>5.0222921708822161</v>
      </c>
      <c r="AE376" s="5">
        <v>2.1177104976503065</v>
      </c>
      <c r="AF376">
        <v>1</v>
      </c>
    </row>
    <row r="377" spans="27:32" x14ac:dyDescent="0.3">
      <c r="AA377" s="3">
        <v>24801.58</v>
      </c>
      <c r="AB377">
        <v>1E-4</v>
      </c>
      <c r="AC377">
        <v>8</v>
      </c>
      <c r="AD377" s="5">
        <v>5.0985042317838261</v>
      </c>
      <c r="AE377" s="5">
        <v>2.1890544741112103</v>
      </c>
      <c r="AF377">
        <v>1</v>
      </c>
    </row>
    <row r="378" spans="27:32" x14ac:dyDescent="0.3">
      <c r="AA378" s="3">
        <v>15252.76</v>
      </c>
      <c r="AB378">
        <v>1E-4</v>
      </c>
      <c r="AC378">
        <v>8</v>
      </c>
      <c r="AD378" s="5">
        <v>5.0350560668356446</v>
      </c>
      <c r="AE378" s="5">
        <v>2.1766296489592176</v>
      </c>
      <c r="AF378">
        <v>1</v>
      </c>
    </row>
    <row r="379" spans="27:32" x14ac:dyDescent="0.3">
      <c r="AA379" s="3">
        <v>26360.78</v>
      </c>
      <c r="AB379">
        <v>1E-4</v>
      </c>
      <c r="AC379">
        <v>8</v>
      </c>
      <c r="AD379" s="5">
        <v>5.1537032136410472</v>
      </c>
      <c r="AE379" s="5">
        <v>2.238451630407237</v>
      </c>
      <c r="AF379">
        <v>1</v>
      </c>
    </row>
    <row r="380" spans="27:32" x14ac:dyDescent="0.3">
      <c r="AA380" s="3">
        <v>26350.74</v>
      </c>
      <c r="AB380">
        <v>1E-4</v>
      </c>
      <c r="AC380">
        <v>8</v>
      </c>
      <c r="AD380" s="5">
        <v>4.929814032880186</v>
      </c>
      <c r="AE380" s="5">
        <v>2.1390199857120842</v>
      </c>
      <c r="AF380">
        <v>1</v>
      </c>
    </row>
    <row r="381" spans="27:32" x14ac:dyDescent="0.3">
      <c r="AA381" s="3">
        <v>-8542.57</v>
      </c>
      <c r="AB381">
        <v>1E-4</v>
      </c>
      <c r="AC381">
        <v>9</v>
      </c>
      <c r="AD381" s="5">
        <v>4.9536452180031274</v>
      </c>
      <c r="AE381" s="5">
        <v>2.2437984176365777</v>
      </c>
      <c r="AF381">
        <v>1</v>
      </c>
    </row>
    <row r="382" spans="27:32" x14ac:dyDescent="0.3">
      <c r="AA382" s="3">
        <v>34321.980000000003</v>
      </c>
      <c r="AB382">
        <v>1E-4</v>
      </c>
      <c r="AC382">
        <v>7</v>
      </c>
      <c r="AD382" s="5">
        <v>4.9305452037293955</v>
      </c>
      <c r="AE382" s="5">
        <v>2.2393394612874475</v>
      </c>
      <c r="AF382">
        <v>1</v>
      </c>
    </row>
    <row r="383" spans="27:32" x14ac:dyDescent="0.3">
      <c r="AA383" s="3">
        <v>13047.26</v>
      </c>
      <c r="AB383">
        <v>1E-4</v>
      </c>
      <c r="AC383">
        <v>8</v>
      </c>
      <c r="AD383" s="5">
        <v>4.9663175480415358</v>
      </c>
      <c r="AE383" s="5">
        <v>2.2430523811785283</v>
      </c>
      <c r="AF383">
        <v>1</v>
      </c>
    </row>
    <row r="384" spans="27:32" x14ac:dyDescent="0.3">
      <c r="AA384" s="3">
        <v>9230.59</v>
      </c>
      <c r="AB384">
        <v>1E-4</v>
      </c>
      <c r="AC384">
        <v>8</v>
      </c>
      <c r="AD384" s="5">
        <v>5.0340309166949577</v>
      </c>
      <c r="AE384" s="5">
        <v>2.1821537498007708</v>
      </c>
      <c r="AF384">
        <v>1</v>
      </c>
    </row>
    <row r="385" spans="27:32" x14ac:dyDescent="0.3">
      <c r="AA385" s="3">
        <v>15914.91</v>
      </c>
      <c r="AB385">
        <v>1E-4</v>
      </c>
      <c r="AC385">
        <v>8</v>
      </c>
      <c r="AD385" s="5">
        <v>4.9893578848743037</v>
      </c>
      <c r="AE385" s="5">
        <v>2.2014462144298954</v>
      </c>
      <c r="AF385">
        <v>1</v>
      </c>
    </row>
    <row r="386" spans="27:32" x14ac:dyDescent="0.3">
      <c r="AA386" s="3">
        <v>23538.959999999999</v>
      </c>
      <c r="AB386">
        <v>1E-4</v>
      </c>
      <c r="AC386">
        <v>8</v>
      </c>
      <c r="AD386" s="5">
        <v>5.0719027572679085</v>
      </c>
      <c r="AE386" s="5">
        <v>2.1362043107769719</v>
      </c>
      <c r="AF386">
        <v>1</v>
      </c>
    </row>
    <row r="387" spans="27:32" x14ac:dyDescent="0.3">
      <c r="AA387" s="3">
        <v>3284.97</v>
      </c>
      <c r="AB387">
        <v>1E-4</v>
      </c>
      <c r="AC387">
        <v>8</v>
      </c>
      <c r="AD387" s="5">
        <v>5.0399294401680326</v>
      </c>
      <c r="AE387" s="5">
        <v>2.2147155474069184</v>
      </c>
      <c r="AF387">
        <v>1</v>
      </c>
    </row>
    <row r="388" spans="27:32" x14ac:dyDescent="0.3">
      <c r="AA388" s="3">
        <v>24469.16</v>
      </c>
      <c r="AB388">
        <v>1E-4</v>
      </c>
      <c r="AC388">
        <v>8</v>
      </c>
      <c r="AD388" s="5">
        <v>5.0564339045374034</v>
      </c>
      <c r="AE388" s="5">
        <v>2.2096619804033266</v>
      </c>
      <c r="AF388">
        <v>1</v>
      </c>
    </row>
    <row r="389" spans="27:32" x14ac:dyDescent="0.3">
      <c r="AA389" s="3">
        <v>41903.75</v>
      </c>
      <c r="AB389">
        <v>1E-4</v>
      </c>
      <c r="AC389">
        <v>7</v>
      </c>
      <c r="AD389" s="5">
        <v>4.9162791945901887</v>
      </c>
      <c r="AE389" s="5">
        <v>2.2363108137491046</v>
      </c>
      <c r="AF389">
        <v>1</v>
      </c>
    </row>
    <row r="390" spans="27:32" x14ac:dyDescent="0.3">
      <c r="AA390" s="3">
        <v>19281.25</v>
      </c>
      <c r="AB390">
        <v>1E-4</v>
      </c>
      <c r="AC390">
        <v>8</v>
      </c>
      <c r="AD390" s="5">
        <v>4.9648078543107843</v>
      </c>
      <c r="AE390" s="5">
        <v>2.2204248063698708</v>
      </c>
      <c r="AF390">
        <v>1</v>
      </c>
    </row>
    <row r="391" spans="27:32" x14ac:dyDescent="0.3">
      <c r="AA391" s="3">
        <v>20503.259999999998</v>
      </c>
      <c r="AB391">
        <v>1E-4</v>
      </c>
      <c r="AC391">
        <v>8</v>
      </c>
      <c r="AD391" s="5">
        <v>5.1242897140573707</v>
      </c>
      <c r="AE391" s="5">
        <v>2.2192916831624316</v>
      </c>
      <c r="AF391">
        <v>1</v>
      </c>
    </row>
    <row r="392" spans="27:32" x14ac:dyDescent="0.3">
      <c r="AA392" s="3">
        <v>-1014.11</v>
      </c>
      <c r="AB392">
        <v>1E-4</v>
      </c>
      <c r="AC392">
        <v>9</v>
      </c>
      <c r="AD392" s="5">
        <v>4.9221939870216307</v>
      </c>
      <c r="AE392" s="5">
        <v>2.1675210018804214</v>
      </c>
      <c r="AF392">
        <v>1</v>
      </c>
    </row>
    <row r="393" spans="27:32" x14ac:dyDescent="0.3">
      <c r="AA393" s="3">
        <v>6714.48</v>
      </c>
      <c r="AB393">
        <v>1E-4</v>
      </c>
      <c r="AC393">
        <v>8</v>
      </c>
      <c r="AD393" s="5">
        <v>5.0523210448112419</v>
      </c>
      <c r="AE393" s="5">
        <v>2.1951572692028951</v>
      </c>
      <c r="AF393">
        <v>1</v>
      </c>
    </row>
    <row r="394" spans="27:32" x14ac:dyDescent="0.3">
      <c r="AA394" s="3">
        <v>-13022.21</v>
      </c>
      <c r="AB394">
        <v>1E-4</v>
      </c>
      <c r="AC394">
        <v>9</v>
      </c>
      <c r="AD394" s="5">
        <v>4.9511339972778696</v>
      </c>
      <c r="AE394" s="5">
        <v>2.2766423296205569</v>
      </c>
      <c r="AF394">
        <v>1</v>
      </c>
    </row>
    <row r="395" spans="27:32" x14ac:dyDescent="0.3">
      <c r="AA395" s="3">
        <v>23999.919999999998</v>
      </c>
      <c r="AB395">
        <v>1E-4</v>
      </c>
      <c r="AC395">
        <v>8</v>
      </c>
      <c r="AD395" s="5">
        <v>5.0187565131441074</v>
      </c>
      <c r="AE395" s="5">
        <v>2.2217835818515472</v>
      </c>
      <c r="AF395">
        <v>1</v>
      </c>
    </row>
    <row r="396" spans="27:32" x14ac:dyDescent="0.3">
      <c r="AA396" s="3">
        <v>44656.61</v>
      </c>
      <c r="AB396">
        <v>1E-4</v>
      </c>
      <c r="AC396">
        <v>7</v>
      </c>
      <c r="AD396" s="5">
        <v>5.0907838734954227</v>
      </c>
      <c r="AE396" s="5">
        <v>2.1842240142393075</v>
      </c>
      <c r="AF396">
        <v>1</v>
      </c>
    </row>
    <row r="397" spans="27:32" x14ac:dyDescent="0.3">
      <c r="AA397" s="3">
        <v>41992.99</v>
      </c>
      <c r="AB397">
        <v>1E-4</v>
      </c>
      <c r="AC397">
        <v>7</v>
      </c>
      <c r="AD397" s="5">
        <v>5.1413271817730735</v>
      </c>
      <c r="AE397" s="5">
        <v>2.1624696082632218</v>
      </c>
      <c r="AF397">
        <v>1</v>
      </c>
    </row>
    <row r="398" spans="27:32" x14ac:dyDescent="0.3">
      <c r="AA398" s="3">
        <v>10718.57</v>
      </c>
      <c r="AB398">
        <v>1E-4</v>
      </c>
      <c r="AC398">
        <v>8</v>
      </c>
      <c r="AD398" s="5">
        <v>4.9934339492262225</v>
      </c>
      <c r="AE398" s="5">
        <v>2.1458591464592973</v>
      </c>
      <c r="AF398">
        <v>1</v>
      </c>
    </row>
    <row r="399" spans="27:32" x14ac:dyDescent="0.3">
      <c r="AA399" s="3">
        <v>50625.3</v>
      </c>
      <c r="AB399">
        <v>1E-4</v>
      </c>
      <c r="AC399">
        <v>7</v>
      </c>
      <c r="AD399" s="5">
        <v>5.0907596971599753</v>
      </c>
      <c r="AE399" s="5">
        <v>2.1898282590430251</v>
      </c>
      <c r="AF399">
        <v>1</v>
      </c>
    </row>
    <row r="400" spans="27:32" x14ac:dyDescent="0.3">
      <c r="AA400" s="3">
        <v>-656.34</v>
      </c>
      <c r="AB400">
        <v>1E-4</v>
      </c>
      <c r="AC400">
        <v>9</v>
      </c>
      <c r="AD400" s="5">
        <v>5.1392841530265949</v>
      </c>
      <c r="AE400" s="5">
        <v>2.2272770605074568</v>
      </c>
      <c r="AF400">
        <v>1</v>
      </c>
    </row>
    <row r="401" spans="27:32" x14ac:dyDescent="0.3">
      <c r="AA401" s="3">
        <v>-3776.23</v>
      </c>
      <c r="AB401">
        <v>1E-4</v>
      </c>
      <c r="AC401">
        <v>9</v>
      </c>
      <c r="AD401" s="5">
        <v>4.9799034388386003</v>
      </c>
      <c r="AE401" s="5">
        <v>2.2305526658982395</v>
      </c>
      <c r="AF401">
        <v>1</v>
      </c>
    </row>
    <row r="402" spans="27:32" x14ac:dyDescent="0.3">
      <c r="AA402" s="3">
        <v>-13428.56</v>
      </c>
      <c r="AB402">
        <v>1E-4</v>
      </c>
      <c r="AC402">
        <v>9</v>
      </c>
      <c r="AD402" s="5">
        <v>4.9074833467438639</v>
      </c>
      <c r="AE402" s="5">
        <v>2.2069541798612033</v>
      </c>
      <c r="AF402">
        <v>1</v>
      </c>
    </row>
    <row r="403" spans="27:32" x14ac:dyDescent="0.3">
      <c r="AA403" s="3">
        <v>-911.05</v>
      </c>
      <c r="AB403">
        <v>1E-4</v>
      </c>
      <c r="AC403">
        <v>9</v>
      </c>
      <c r="AD403" s="5">
        <v>4.8641145558852728</v>
      </c>
      <c r="AE403" s="5">
        <v>2.2257271862113641</v>
      </c>
      <c r="AF403">
        <v>1</v>
      </c>
    </row>
    <row r="404" spans="27:32" x14ac:dyDescent="0.3">
      <c r="AA404" s="3">
        <v>-637.19000000000005</v>
      </c>
      <c r="AB404">
        <v>1E-4</v>
      </c>
      <c r="AC404">
        <v>9</v>
      </c>
      <c r="AD404" s="5">
        <v>4.8993242897805347</v>
      </c>
      <c r="AE404" s="5">
        <v>2.1875986609386464</v>
      </c>
      <c r="AF404">
        <v>1</v>
      </c>
    </row>
    <row r="405" spans="27:32" x14ac:dyDescent="0.3">
      <c r="AA405" s="3">
        <v>42167.43</v>
      </c>
      <c r="AB405">
        <v>1E-4</v>
      </c>
      <c r="AC405">
        <v>7</v>
      </c>
      <c r="AD405" s="5">
        <v>4.9836465088403337</v>
      </c>
      <c r="AE405" s="5">
        <v>2.2072699901503894</v>
      </c>
      <c r="AF405">
        <v>1</v>
      </c>
    </row>
    <row r="406" spans="27:32" x14ac:dyDescent="0.3">
      <c r="AA406" s="3">
        <v>12862.94</v>
      </c>
      <c r="AB406">
        <v>1E-4</v>
      </c>
      <c r="AC406">
        <v>8</v>
      </c>
      <c r="AD406" s="5">
        <v>5.1510412619840809</v>
      </c>
      <c r="AE406" s="5">
        <v>2.2074573022619179</v>
      </c>
      <c r="AF406">
        <v>1</v>
      </c>
    </row>
    <row r="407" spans="27:32" x14ac:dyDescent="0.3">
      <c r="AA407" s="3">
        <v>5792.35</v>
      </c>
      <c r="AB407">
        <v>1E-4</v>
      </c>
      <c r="AC407">
        <v>8</v>
      </c>
      <c r="AD407" s="5">
        <v>5.0085363118617892</v>
      </c>
      <c r="AE407" s="5">
        <v>2.1544858700618912</v>
      </c>
      <c r="AF407">
        <v>1</v>
      </c>
    </row>
    <row r="408" spans="27:32" x14ac:dyDescent="0.3">
      <c r="AA408" s="3">
        <v>20623.939999999999</v>
      </c>
      <c r="AB408">
        <v>1E-4</v>
      </c>
      <c r="AC408">
        <v>8</v>
      </c>
      <c r="AD408" s="5">
        <v>4.9947877036897408</v>
      </c>
      <c r="AE408" s="5">
        <v>2.1918628963992708</v>
      </c>
      <c r="AF408">
        <v>1</v>
      </c>
    </row>
    <row r="409" spans="27:32" x14ac:dyDescent="0.3">
      <c r="AA409" s="3">
        <v>77420.36</v>
      </c>
      <c r="AB409">
        <v>1E-4</v>
      </c>
      <c r="AC409">
        <v>5</v>
      </c>
      <c r="AD409" s="5">
        <v>5.1943103413880527</v>
      </c>
      <c r="AE409" s="5">
        <v>2.1782694758504837</v>
      </c>
      <c r="AF409">
        <v>1</v>
      </c>
    </row>
    <row r="410" spans="27:32" x14ac:dyDescent="0.3">
      <c r="AA410" s="3">
        <v>5246</v>
      </c>
      <c r="AB410">
        <v>1E-4</v>
      </c>
      <c r="AC410">
        <v>8</v>
      </c>
      <c r="AD410" s="5">
        <v>5.0049676649694206</v>
      </c>
      <c r="AE410" s="5">
        <v>2.1547232316537026</v>
      </c>
      <c r="AF410">
        <v>1</v>
      </c>
    </row>
    <row r="411" spans="27:32" x14ac:dyDescent="0.3">
      <c r="AA411" s="3">
        <v>50479.47</v>
      </c>
      <c r="AB411">
        <v>1E-4</v>
      </c>
      <c r="AC411">
        <v>7</v>
      </c>
      <c r="AD411" s="5">
        <v>5.2086270998562396</v>
      </c>
      <c r="AE411" s="5">
        <v>2.2504755246679644</v>
      </c>
      <c r="AF411">
        <v>1</v>
      </c>
    </row>
    <row r="412" spans="27:32" x14ac:dyDescent="0.3">
      <c r="AA412" s="3">
        <v>-15310.62</v>
      </c>
      <c r="AB412">
        <v>1E-4</v>
      </c>
      <c r="AC412">
        <v>9</v>
      </c>
      <c r="AD412" s="5">
        <v>4.9705809278381619</v>
      </c>
      <c r="AE412" s="5">
        <v>2.2046346403866881</v>
      </c>
      <c r="AF412">
        <v>1</v>
      </c>
    </row>
    <row r="413" spans="27:32" x14ac:dyDescent="0.3">
      <c r="AA413" s="3">
        <v>36544.28</v>
      </c>
      <c r="AB413">
        <v>1E-4</v>
      </c>
      <c r="AC413">
        <v>7</v>
      </c>
      <c r="AD413" s="5">
        <v>4.9414168670665148</v>
      </c>
      <c r="AE413" s="5">
        <v>2.2380841101096478</v>
      </c>
      <c r="AF413">
        <v>1</v>
      </c>
    </row>
    <row r="414" spans="27:32" x14ac:dyDescent="0.3">
      <c r="AA414" s="3">
        <v>-23923.813882169958</v>
      </c>
      <c r="AB414">
        <v>1E-4</v>
      </c>
      <c r="AC414">
        <v>9</v>
      </c>
      <c r="AD414" s="5">
        <v>4.9789431066513501</v>
      </c>
      <c r="AE414" s="5">
        <v>2.1065826599452739</v>
      </c>
      <c r="AF414">
        <v>0</v>
      </c>
    </row>
    <row r="415" spans="27:32" x14ac:dyDescent="0.3">
      <c r="AA415" s="3">
        <v>-21851.86</v>
      </c>
      <c r="AB415">
        <v>1E-4</v>
      </c>
      <c r="AC415">
        <v>9</v>
      </c>
      <c r="AD415" s="5">
        <v>4.9619170317701098</v>
      </c>
      <c r="AE415" s="5">
        <v>2.1400205220745629</v>
      </c>
      <c r="AF415">
        <v>1</v>
      </c>
    </row>
    <row r="416" spans="27:32" x14ac:dyDescent="0.3">
      <c r="AA416" s="3">
        <v>13254.83</v>
      </c>
      <c r="AB416">
        <v>1E-4</v>
      </c>
      <c r="AC416">
        <v>8</v>
      </c>
      <c r="AD416" s="5">
        <v>4.832500929359643</v>
      </c>
      <c r="AE416" s="5">
        <v>2.1586448685200192</v>
      </c>
      <c r="AF416">
        <v>1</v>
      </c>
    </row>
    <row r="417" spans="27:32" x14ac:dyDescent="0.3">
      <c r="AA417" s="3">
        <v>21711.62</v>
      </c>
      <c r="AB417">
        <v>1E-4</v>
      </c>
      <c r="AC417">
        <v>8</v>
      </c>
      <c r="AD417" s="5">
        <v>4.9925509336849432</v>
      </c>
      <c r="AE417" s="5">
        <v>2.169373868884044</v>
      </c>
      <c r="AF417">
        <v>1</v>
      </c>
    </row>
    <row r="418" spans="27:32" x14ac:dyDescent="0.3">
      <c r="AA418" s="3">
        <v>29001.53</v>
      </c>
      <c r="AB418">
        <v>1E-4</v>
      </c>
      <c r="AC418">
        <v>8</v>
      </c>
      <c r="AD418" s="5">
        <v>5.0844821269610518</v>
      </c>
      <c r="AE418" s="5">
        <v>2.1596443576675006</v>
      </c>
      <c r="AF418">
        <v>1</v>
      </c>
    </row>
    <row r="419" spans="27:32" x14ac:dyDescent="0.3">
      <c r="AA419" s="3">
        <v>6436.97</v>
      </c>
      <c r="AB419">
        <v>1E-4</v>
      </c>
      <c r="AC419">
        <v>8</v>
      </c>
      <c r="AD419" s="5">
        <v>4.9874008614949643</v>
      </c>
      <c r="AE419" s="5">
        <v>2.1507747593221764</v>
      </c>
      <c r="AF419">
        <v>1</v>
      </c>
    </row>
    <row r="420" spans="27:32" x14ac:dyDescent="0.3">
      <c r="AA420" s="3">
        <v>-16677.169999999998</v>
      </c>
      <c r="AB420">
        <v>1E-4</v>
      </c>
      <c r="AC420">
        <v>9</v>
      </c>
      <c r="AD420" s="5">
        <v>4.810569263147797</v>
      </c>
      <c r="AE420" s="5">
        <v>2.277151765129287</v>
      </c>
      <c r="AF420">
        <v>1</v>
      </c>
    </row>
    <row r="421" spans="27:32" x14ac:dyDescent="0.3">
      <c r="AA421" s="3">
        <v>22029.63</v>
      </c>
      <c r="AB421">
        <v>1E-4</v>
      </c>
      <c r="AC421">
        <v>8</v>
      </c>
      <c r="AD421" s="5">
        <v>5.0914715200082812</v>
      </c>
      <c r="AE421" s="5">
        <v>2.2250249906494215</v>
      </c>
      <c r="AF421">
        <v>1</v>
      </c>
    </row>
    <row r="422" spans="27:32" x14ac:dyDescent="0.3">
      <c r="AA422" s="3">
        <v>39633.919999999998</v>
      </c>
      <c r="AB422">
        <v>1E-4</v>
      </c>
      <c r="AC422">
        <v>7</v>
      </c>
      <c r="AD422" s="5">
        <v>4.9757890507355507</v>
      </c>
      <c r="AE422" s="5">
        <v>2.1602671704635816</v>
      </c>
      <c r="AF422">
        <v>1</v>
      </c>
    </row>
    <row r="423" spans="27:32" x14ac:dyDescent="0.3">
      <c r="AA423" s="3">
        <v>19506.599999999999</v>
      </c>
      <c r="AB423">
        <v>1E-4</v>
      </c>
      <c r="AC423">
        <v>8</v>
      </c>
      <c r="AD423" s="5">
        <v>5.1254779723664896</v>
      </c>
      <c r="AE423" s="5">
        <v>2.1989637220711478</v>
      </c>
      <c r="AF423">
        <v>1</v>
      </c>
    </row>
    <row r="424" spans="27:32" x14ac:dyDescent="0.3">
      <c r="AA424" s="3">
        <v>18750.490000000002</v>
      </c>
      <c r="AB424">
        <v>1E-4</v>
      </c>
      <c r="AC424">
        <v>8</v>
      </c>
      <c r="AD424" s="5">
        <v>4.9822012717044553</v>
      </c>
      <c r="AE424" s="5">
        <v>2.2112511856634445</v>
      </c>
      <c r="AF424">
        <v>1</v>
      </c>
    </row>
    <row r="425" spans="27:32" x14ac:dyDescent="0.3">
      <c r="AA425" s="3">
        <v>23036.959999999999</v>
      </c>
      <c r="AB425">
        <v>1E-4</v>
      </c>
      <c r="AC425">
        <v>8</v>
      </c>
      <c r="AD425" s="5">
        <v>4.8786743150862977</v>
      </c>
      <c r="AE425" s="5">
        <v>2.1454972701196025</v>
      </c>
      <c r="AF425">
        <v>1</v>
      </c>
    </row>
    <row r="426" spans="27:32" x14ac:dyDescent="0.3">
      <c r="AA426" s="3">
        <v>18606.439999999999</v>
      </c>
      <c r="AB426">
        <v>1E-4</v>
      </c>
      <c r="AC426">
        <v>8</v>
      </c>
      <c r="AD426" s="5">
        <v>4.9359749729750533</v>
      </c>
      <c r="AE426" s="5">
        <v>2.1739777797694471</v>
      </c>
      <c r="AF426">
        <v>1</v>
      </c>
    </row>
    <row r="427" spans="27:32" x14ac:dyDescent="0.3">
      <c r="AA427" s="3">
        <v>16735.63</v>
      </c>
      <c r="AB427">
        <v>1E-4</v>
      </c>
      <c r="AC427">
        <v>8</v>
      </c>
      <c r="AD427" s="5">
        <v>4.9744197989623906</v>
      </c>
      <c r="AE427" s="5">
        <v>2.1448485675844728</v>
      </c>
      <c r="AF427">
        <v>1</v>
      </c>
    </row>
    <row r="428" spans="27:32" x14ac:dyDescent="0.3">
      <c r="AA428" s="3">
        <v>20015.12</v>
      </c>
      <c r="AB428">
        <v>1E-4</v>
      </c>
      <c r="AC428">
        <v>8</v>
      </c>
      <c r="AD428" s="5">
        <v>4.8873365407303826</v>
      </c>
      <c r="AE428" s="5">
        <v>2.2185153909161279</v>
      </c>
      <c r="AF428">
        <v>1</v>
      </c>
    </row>
    <row r="429" spans="27:32" x14ac:dyDescent="0.3">
      <c r="AA429" s="3">
        <v>33111.22</v>
      </c>
      <c r="AB429">
        <v>1E-4</v>
      </c>
      <c r="AC429">
        <v>7</v>
      </c>
      <c r="AD429" s="5">
        <v>5.2186044088667298</v>
      </c>
      <c r="AE429" s="5">
        <v>2.1124186467202914</v>
      </c>
      <c r="AF429">
        <v>1</v>
      </c>
    </row>
    <row r="430" spans="27:32" x14ac:dyDescent="0.3">
      <c r="AA430" s="3">
        <v>19266.849999999999</v>
      </c>
      <c r="AB430">
        <v>1E-4</v>
      </c>
      <c r="AC430">
        <v>8</v>
      </c>
      <c r="AD430" s="5">
        <v>4.9195079526796244</v>
      </c>
      <c r="AE430" s="5">
        <v>2.2291164385008684</v>
      </c>
      <c r="AF430">
        <v>1</v>
      </c>
    </row>
    <row r="431" spans="27:32" x14ac:dyDescent="0.3">
      <c r="AA431" s="3">
        <v>19016.97</v>
      </c>
      <c r="AB431">
        <v>1E-4</v>
      </c>
      <c r="AC431">
        <v>8</v>
      </c>
      <c r="AD431" s="5">
        <v>4.9175666112514831</v>
      </c>
      <c r="AE431" s="5">
        <v>2.231419864239971</v>
      </c>
      <c r="AF431">
        <v>1</v>
      </c>
    </row>
    <row r="432" spans="27:32" x14ac:dyDescent="0.3">
      <c r="AA432" s="3">
        <v>244.53</v>
      </c>
      <c r="AB432">
        <v>1E-4</v>
      </c>
      <c r="AC432">
        <v>8</v>
      </c>
      <c r="AD432" s="5">
        <v>4.7990107419067334</v>
      </c>
      <c r="AE432" s="5">
        <v>2.1894424049106442</v>
      </c>
      <c r="AF432">
        <v>1</v>
      </c>
    </row>
    <row r="433" spans="27:32" x14ac:dyDescent="0.3">
      <c r="AA433" s="3">
        <v>22178.06</v>
      </c>
      <c r="AB433">
        <v>1E-4</v>
      </c>
      <c r="AC433">
        <v>8</v>
      </c>
      <c r="AD433" s="5">
        <v>4.8487793182524932</v>
      </c>
      <c r="AE433" s="5">
        <v>2.194416093859183</v>
      </c>
      <c r="AF433">
        <v>1</v>
      </c>
    </row>
    <row r="434" spans="27:32" x14ac:dyDescent="0.3">
      <c r="AA434" s="3">
        <v>6256.79</v>
      </c>
      <c r="AB434">
        <v>1E-4</v>
      </c>
      <c r="AC434">
        <v>8</v>
      </c>
      <c r="AD434" s="5">
        <v>5.1126482893155352</v>
      </c>
      <c r="AE434" s="5">
        <v>2.2828172063061105</v>
      </c>
      <c r="AF434">
        <v>1</v>
      </c>
    </row>
    <row r="435" spans="27:32" x14ac:dyDescent="0.3">
      <c r="AA435" s="3">
        <v>-4209.92</v>
      </c>
      <c r="AB435">
        <v>1E-4</v>
      </c>
      <c r="AC435">
        <v>9</v>
      </c>
      <c r="AD435" s="5">
        <v>5.027870419921082</v>
      </c>
      <c r="AE435" s="5">
        <v>2.2024873951413841</v>
      </c>
      <c r="AF435">
        <v>1</v>
      </c>
    </row>
    <row r="436" spans="27:32" x14ac:dyDescent="0.3">
      <c r="AA436" s="3">
        <v>-11789.2</v>
      </c>
      <c r="AB436">
        <v>1E-4</v>
      </c>
      <c r="AC436">
        <v>9</v>
      </c>
      <c r="AD436" s="5">
        <v>4.9181713327870682</v>
      </c>
      <c r="AE436" s="5">
        <v>2.1850050913796202</v>
      </c>
      <c r="AF436">
        <v>1</v>
      </c>
    </row>
    <row r="437" spans="27:32" x14ac:dyDescent="0.3">
      <c r="AA437" s="3">
        <v>33898.629999999997</v>
      </c>
      <c r="AB437">
        <v>1E-4</v>
      </c>
      <c r="AC437">
        <v>7</v>
      </c>
      <c r="AD437" s="5">
        <v>4.9641222818657553</v>
      </c>
      <c r="AE437" s="5">
        <v>2.1819558953482288</v>
      </c>
      <c r="AF437">
        <v>1</v>
      </c>
    </row>
    <row r="438" spans="27:32" x14ac:dyDescent="0.3">
      <c r="AA438" s="3">
        <v>19604.330000000002</v>
      </c>
      <c r="AB438">
        <v>1E-4</v>
      </c>
      <c r="AC438">
        <v>8</v>
      </c>
      <c r="AD438" s="5">
        <v>5.0471392201804264</v>
      </c>
      <c r="AE438" s="5">
        <v>2.2602894599347487</v>
      </c>
      <c r="AF438">
        <v>1</v>
      </c>
    </row>
    <row r="439" spans="27:32" x14ac:dyDescent="0.3">
      <c r="AA439" s="3">
        <v>16757.419999999998</v>
      </c>
      <c r="AB439">
        <v>1E-4</v>
      </c>
      <c r="AC439">
        <v>8</v>
      </c>
      <c r="AD439" s="5">
        <v>4.8004296617753406</v>
      </c>
      <c r="AE439" s="5">
        <v>2.3091961863130424</v>
      </c>
      <c r="AF439">
        <v>1</v>
      </c>
    </row>
    <row r="440" spans="27:32" x14ac:dyDescent="0.3">
      <c r="AA440" s="3">
        <v>23848.68</v>
      </c>
      <c r="AB440">
        <v>1E-4</v>
      </c>
      <c r="AC440">
        <v>8</v>
      </c>
      <c r="AD440" s="5">
        <v>5.0034103520487863</v>
      </c>
      <c r="AE440" s="5">
        <v>2.1564548503226133</v>
      </c>
      <c r="AF440">
        <v>1</v>
      </c>
    </row>
    <row r="441" spans="27:32" x14ac:dyDescent="0.3">
      <c r="AA441" s="3">
        <v>6228.43</v>
      </c>
      <c r="AB441">
        <v>1E-4</v>
      </c>
      <c r="AC441">
        <v>8</v>
      </c>
      <c r="AD441" s="5">
        <v>5.1380214672307813</v>
      </c>
      <c r="AE441" s="5">
        <v>2.309400730498413</v>
      </c>
      <c r="AF441">
        <v>1</v>
      </c>
    </row>
    <row r="442" spans="27:32" x14ac:dyDescent="0.3">
      <c r="AA442" s="3">
        <v>-4451.8999999999996</v>
      </c>
      <c r="AB442">
        <v>1E-4</v>
      </c>
      <c r="AC442">
        <v>9</v>
      </c>
      <c r="AD442" s="5">
        <v>5.0119811067657931</v>
      </c>
      <c r="AE442" s="5">
        <v>2.3436445814277294</v>
      </c>
      <c r="AF442">
        <v>1</v>
      </c>
    </row>
    <row r="443" spans="27:32" x14ac:dyDescent="0.3">
      <c r="AA443" s="3">
        <v>-17821.349999999999</v>
      </c>
      <c r="AB443">
        <v>1E-4</v>
      </c>
      <c r="AC443">
        <v>9</v>
      </c>
      <c r="AD443" s="5">
        <v>4.8413833100842165</v>
      </c>
      <c r="AE443" s="5">
        <v>2.2149772053293626</v>
      </c>
      <c r="AF443">
        <v>1</v>
      </c>
    </row>
    <row r="444" spans="27:32" x14ac:dyDescent="0.3">
      <c r="AA444" s="3">
        <v>42722</v>
      </c>
      <c r="AB444">
        <v>1E-4</v>
      </c>
      <c r="AC444">
        <v>7</v>
      </c>
      <c r="AD444" s="5">
        <v>5.0685821646278439</v>
      </c>
      <c r="AE444" s="5">
        <v>2.2272515261236721</v>
      </c>
      <c r="AF444">
        <v>1</v>
      </c>
    </row>
    <row r="445" spans="27:32" x14ac:dyDescent="0.3">
      <c r="AA445" s="3">
        <v>33818.980000000003</v>
      </c>
      <c r="AB445">
        <v>1E-4</v>
      </c>
      <c r="AC445">
        <v>7</v>
      </c>
      <c r="AD445" s="5">
        <v>5.1117496391688375</v>
      </c>
      <c r="AE445" s="5">
        <v>2.0987212345617254</v>
      </c>
      <c r="AF445">
        <v>1</v>
      </c>
    </row>
    <row r="446" spans="27:32" x14ac:dyDescent="0.3">
      <c r="AA446" s="3">
        <v>17388.830000000002</v>
      </c>
      <c r="AB446">
        <v>1E-4</v>
      </c>
      <c r="AC446">
        <v>8</v>
      </c>
      <c r="AD446" s="5">
        <v>5.0870711121320751</v>
      </c>
      <c r="AE446" s="5">
        <v>2.1574205997140443</v>
      </c>
      <c r="AF446">
        <v>1</v>
      </c>
    </row>
    <row r="447" spans="27:32" x14ac:dyDescent="0.3">
      <c r="AA447" s="3">
        <v>38013.300000000003</v>
      </c>
      <c r="AB447">
        <v>1E-4</v>
      </c>
      <c r="AC447">
        <v>7</v>
      </c>
      <c r="AD447" s="5">
        <v>4.9837157868580135</v>
      </c>
      <c r="AE447" s="5">
        <v>2.2457219156832107</v>
      </c>
      <c r="AF447">
        <v>1</v>
      </c>
    </row>
    <row r="448" spans="27:32" x14ac:dyDescent="0.3">
      <c r="AA448" s="3">
        <v>26132.78</v>
      </c>
      <c r="AB448">
        <v>1E-4</v>
      </c>
      <c r="AC448">
        <v>8</v>
      </c>
      <c r="AD448" s="5">
        <v>4.8635999019729255</v>
      </c>
      <c r="AE448" s="5">
        <v>2.198838563865996</v>
      </c>
      <c r="AF448">
        <v>1</v>
      </c>
    </row>
    <row r="449" spans="27:32" x14ac:dyDescent="0.3">
      <c r="AA449" s="3">
        <v>2275.39</v>
      </c>
      <c r="AB449">
        <v>1E-4</v>
      </c>
      <c r="AC449">
        <v>8</v>
      </c>
      <c r="AD449" s="5">
        <v>4.950428653748089</v>
      </c>
      <c r="AE449" s="5">
        <v>2.2564320793989219</v>
      </c>
      <c r="AF449">
        <v>1</v>
      </c>
    </row>
    <row r="450" spans="27:32" x14ac:dyDescent="0.3">
      <c r="AA450" s="3">
        <v>-8691.17</v>
      </c>
      <c r="AB450">
        <v>1E-4</v>
      </c>
      <c r="AC450">
        <v>9</v>
      </c>
      <c r="AD450" s="5">
        <v>4.8972540228316168</v>
      </c>
      <c r="AE450" s="5">
        <v>2.2348987920031322</v>
      </c>
      <c r="AF450">
        <v>1</v>
      </c>
    </row>
    <row r="451" spans="27:32" x14ac:dyDescent="0.3">
      <c r="AA451" s="3">
        <v>21978.01</v>
      </c>
      <c r="AB451">
        <v>1E-4</v>
      </c>
      <c r="AC451">
        <v>8</v>
      </c>
      <c r="AD451" s="5">
        <v>4.8908666331219068</v>
      </c>
      <c r="AE451" s="5">
        <v>2.2013587219213986</v>
      </c>
      <c r="AF451">
        <v>1</v>
      </c>
    </row>
    <row r="452" spans="27:32" x14ac:dyDescent="0.3">
      <c r="AA452" s="3">
        <v>13023.35</v>
      </c>
      <c r="AB452">
        <v>1E-4</v>
      </c>
      <c r="AC452">
        <v>8</v>
      </c>
      <c r="AD452" s="5">
        <v>4.9638917566441707</v>
      </c>
      <c r="AE452" s="5">
        <v>2.1427190959511613</v>
      </c>
      <c r="AF452">
        <v>1</v>
      </c>
    </row>
    <row r="453" spans="27:32" x14ac:dyDescent="0.3">
      <c r="AA453" s="3">
        <v>14149.73</v>
      </c>
      <c r="AB453">
        <v>1E-4</v>
      </c>
      <c r="AC453">
        <v>8</v>
      </c>
      <c r="AD453" s="5">
        <v>5.0527794934939179</v>
      </c>
      <c r="AE453" s="5">
        <v>2.2210444029718523</v>
      </c>
      <c r="AF453">
        <v>1</v>
      </c>
    </row>
    <row r="454" spans="27:32" x14ac:dyDescent="0.3">
      <c r="AA454" s="3">
        <v>-9697.66</v>
      </c>
      <c r="AB454">
        <v>1E-4</v>
      </c>
      <c r="AC454">
        <v>9</v>
      </c>
      <c r="AD454" s="5">
        <v>4.816736604399285</v>
      </c>
      <c r="AE454" s="5">
        <v>2.1387888567288007</v>
      </c>
      <c r="AF454">
        <v>1</v>
      </c>
    </row>
    <row r="455" spans="27:32" x14ac:dyDescent="0.3">
      <c r="AA455" s="3">
        <v>5334.76</v>
      </c>
      <c r="AB455">
        <v>1E-4</v>
      </c>
      <c r="AC455">
        <v>8</v>
      </c>
      <c r="AD455" s="5">
        <v>5.1470403969966014</v>
      </c>
      <c r="AE455" s="5">
        <v>2.2814456410961883</v>
      </c>
      <c r="AF455">
        <v>1</v>
      </c>
    </row>
    <row r="456" spans="27:32" x14ac:dyDescent="0.3">
      <c r="AA456" s="3">
        <v>-36975.636179791996</v>
      </c>
      <c r="AB456">
        <v>1E-4</v>
      </c>
      <c r="AC456">
        <v>9</v>
      </c>
      <c r="AD456" s="5">
        <v>4.8804187656317888</v>
      </c>
      <c r="AE456" s="5">
        <v>2.1903507554853636</v>
      </c>
      <c r="AF456">
        <v>0</v>
      </c>
    </row>
    <row r="457" spans="27:32" x14ac:dyDescent="0.3">
      <c r="AA457" s="3">
        <v>-13809.17</v>
      </c>
      <c r="AB457">
        <v>1E-4</v>
      </c>
      <c r="AC457">
        <v>9</v>
      </c>
      <c r="AD457" s="5">
        <v>4.8338113102569675</v>
      </c>
      <c r="AE457" s="5">
        <v>2.2574440414591974</v>
      </c>
      <c r="AF457">
        <v>1</v>
      </c>
    </row>
    <row r="458" spans="27:32" x14ac:dyDescent="0.3">
      <c r="AA458" s="3">
        <v>15804.9</v>
      </c>
      <c r="AB458">
        <v>1E-4</v>
      </c>
      <c r="AC458">
        <v>8</v>
      </c>
      <c r="AD458" s="5">
        <v>5.044054406432056</v>
      </c>
      <c r="AE458" s="5">
        <v>2.095807023054121</v>
      </c>
      <c r="AF458">
        <v>1</v>
      </c>
    </row>
    <row r="459" spans="27:32" x14ac:dyDescent="0.3">
      <c r="AA459" s="3">
        <v>49614.559999999998</v>
      </c>
      <c r="AB459">
        <v>1E-4</v>
      </c>
      <c r="AC459">
        <v>6</v>
      </c>
      <c r="AD459" s="5">
        <v>4.9505351920155505</v>
      </c>
      <c r="AE459" s="5">
        <v>2.2248685443916374</v>
      </c>
      <c r="AF459">
        <v>1</v>
      </c>
    </row>
    <row r="460" spans="27:32" x14ac:dyDescent="0.3">
      <c r="AA460" s="3">
        <v>7113.32</v>
      </c>
      <c r="AB460">
        <v>1E-4</v>
      </c>
      <c r="AC460">
        <v>8</v>
      </c>
      <c r="AD460" s="5">
        <v>5.0678064882678324</v>
      </c>
      <c r="AE460" s="5">
        <v>2.267732167360514</v>
      </c>
      <c r="AF460">
        <v>1</v>
      </c>
    </row>
    <row r="461" spans="27:32" x14ac:dyDescent="0.3">
      <c r="AA461" s="3">
        <v>-11362.51</v>
      </c>
      <c r="AB461">
        <v>1E-4</v>
      </c>
      <c r="AC461">
        <v>9</v>
      </c>
      <c r="AD461" s="5">
        <v>4.9254206348816147</v>
      </c>
      <c r="AE461" s="5">
        <v>2.183161278506347</v>
      </c>
      <c r="AF461">
        <v>1</v>
      </c>
    </row>
    <row r="462" spans="27:32" x14ac:dyDescent="0.3">
      <c r="AA462" s="3">
        <v>-12460.06</v>
      </c>
      <c r="AB462">
        <v>1E-4</v>
      </c>
      <c r="AC462">
        <v>9</v>
      </c>
      <c r="AD462" s="5">
        <v>4.9568702295418472</v>
      </c>
      <c r="AE462" s="5">
        <v>2.2474833087909616</v>
      </c>
      <c r="AF462">
        <v>1</v>
      </c>
    </row>
    <row r="463" spans="27:32" x14ac:dyDescent="0.3">
      <c r="AA463" s="3">
        <v>24483.84</v>
      </c>
      <c r="AB463">
        <v>1E-4</v>
      </c>
      <c r="AC463">
        <v>8</v>
      </c>
      <c r="AD463" s="5">
        <v>5.003716126942515</v>
      </c>
      <c r="AE463" s="5">
        <v>2.188017600855273</v>
      </c>
      <c r="AF463">
        <v>1</v>
      </c>
    </row>
    <row r="464" spans="27:32" x14ac:dyDescent="0.3">
      <c r="AA464" s="3">
        <v>-5289.04</v>
      </c>
      <c r="AB464">
        <v>1E-4</v>
      </c>
      <c r="AC464">
        <v>9</v>
      </c>
      <c r="AD464" s="5">
        <v>4.9870528387435566</v>
      </c>
      <c r="AE464" s="5">
        <v>2.2015139988226116</v>
      </c>
      <c r="AF464">
        <v>1</v>
      </c>
    </row>
    <row r="465" spans="27:32" x14ac:dyDescent="0.3">
      <c r="AA465" s="3">
        <v>14288.35</v>
      </c>
      <c r="AB465">
        <v>1E-4</v>
      </c>
      <c r="AC465">
        <v>8</v>
      </c>
      <c r="AD465" s="5">
        <v>5.0904761629180362</v>
      </c>
      <c r="AE465" s="5">
        <v>2.1465114038683217</v>
      </c>
      <c r="AF465">
        <v>1</v>
      </c>
    </row>
    <row r="466" spans="27:32" x14ac:dyDescent="0.3">
      <c r="AA466" s="3">
        <v>3282.79</v>
      </c>
      <c r="AB466">
        <v>1E-4</v>
      </c>
      <c r="AC466">
        <v>8</v>
      </c>
      <c r="AD466" s="5">
        <v>5.0808889004609199</v>
      </c>
      <c r="AE466" s="5">
        <v>2.2616525140105916</v>
      </c>
      <c r="AF466">
        <v>1</v>
      </c>
    </row>
    <row r="467" spans="27:32" x14ac:dyDescent="0.3">
      <c r="AA467" s="3">
        <v>36678.11</v>
      </c>
      <c r="AB467">
        <v>1E-4</v>
      </c>
      <c r="AC467">
        <v>7</v>
      </c>
      <c r="AD467" s="5">
        <v>5.0900250731006587</v>
      </c>
      <c r="AE467" s="5">
        <v>2.1584001506239474</v>
      </c>
      <c r="AF467">
        <v>1</v>
      </c>
    </row>
    <row r="468" spans="27:32" x14ac:dyDescent="0.3">
      <c r="AA468" s="3">
        <v>2602.11</v>
      </c>
      <c r="AB468">
        <v>1E-4</v>
      </c>
      <c r="AC468">
        <v>8</v>
      </c>
      <c r="AD468" s="5">
        <v>5.0624801700158777</v>
      </c>
      <c r="AE468" s="5">
        <v>2.2684855376542972</v>
      </c>
      <c r="AF468">
        <v>1</v>
      </c>
    </row>
    <row r="469" spans="27:32" x14ac:dyDescent="0.3">
      <c r="AA469" s="3">
        <v>37154.800000000003</v>
      </c>
      <c r="AB469">
        <v>1E-4</v>
      </c>
      <c r="AC469">
        <v>7</v>
      </c>
      <c r="AD469" s="5">
        <v>5.1233635472409693</v>
      </c>
      <c r="AE469" s="5">
        <v>2.2460501827981947</v>
      </c>
      <c r="AF469">
        <v>1</v>
      </c>
    </row>
    <row r="470" spans="27:32" x14ac:dyDescent="0.3">
      <c r="AA470" s="3">
        <v>-5807.64</v>
      </c>
      <c r="AB470">
        <v>1E-4</v>
      </c>
      <c r="AC470">
        <v>9</v>
      </c>
      <c r="AD470" s="5">
        <v>4.8962218494183638</v>
      </c>
      <c r="AE470" s="5">
        <v>2.215593835607669</v>
      </c>
      <c r="AF470">
        <v>1</v>
      </c>
    </row>
    <row r="471" spans="27:32" x14ac:dyDescent="0.3">
      <c r="AA471" s="3">
        <v>15833.12</v>
      </c>
      <c r="AB471">
        <v>1E-4</v>
      </c>
      <c r="AC471">
        <v>8</v>
      </c>
      <c r="AD471" s="5">
        <v>5.0781881433602711</v>
      </c>
      <c r="AE471" s="5">
        <v>2.1558030888439106</v>
      </c>
      <c r="AF471">
        <v>1</v>
      </c>
    </row>
    <row r="472" spans="27:32" x14ac:dyDescent="0.3">
      <c r="AA472" s="3">
        <v>48409.35</v>
      </c>
      <c r="AB472">
        <v>1E-4</v>
      </c>
      <c r="AC472">
        <v>7</v>
      </c>
      <c r="AD472" s="5">
        <v>5.1833613397088598</v>
      </c>
      <c r="AE472" s="5">
        <v>2.1401934839368346</v>
      </c>
      <c r="AF472">
        <v>1</v>
      </c>
    </row>
    <row r="473" spans="27:32" x14ac:dyDescent="0.3">
      <c r="AA473" s="3">
        <v>28069.54</v>
      </c>
      <c r="AB473">
        <v>1E-4</v>
      </c>
      <c r="AC473">
        <v>8</v>
      </c>
      <c r="AD473" s="5">
        <v>5.0064586508545998</v>
      </c>
      <c r="AE473" s="5">
        <v>2.2183929482614695</v>
      </c>
      <c r="AF473">
        <v>1</v>
      </c>
    </row>
    <row r="474" spans="27:32" x14ac:dyDescent="0.3">
      <c r="AA474" s="3">
        <v>38507.449999999997</v>
      </c>
      <c r="AB474">
        <v>1E-4</v>
      </c>
      <c r="AC474">
        <v>7</v>
      </c>
      <c r="AD474" s="5">
        <v>5.1929572119209961</v>
      </c>
      <c r="AE474" s="5">
        <v>2.1117083619665236</v>
      </c>
      <c r="AF474">
        <v>1</v>
      </c>
    </row>
    <row r="475" spans="27:32" x14ac:dyDescent="0.3">
      <c r="AA475" s="3">
        <v>22497.15</v>
      </c>
      <c r="AB475">
        <v>1E-4</v>
      </c>
      <c r="AC475">
        <v>8</v>
      </c>
      <c r="AD475" s="5">
        <v>5.0067119292411295</v>
      </c>
      <c r="AE475" s="5">
        <v>2.2279593243707105</v>
      </c>
      <c r="AF475">
        <v>1</v>
      </c>
    </row>
    <row r="476" spans="27:32" x14ac:dyDescent="0.3">
      <c r="AA476" s="3">
        <v>2768.13</v>
      </c>
      <c r="AB476">
        <v>1E-4</v>
      </c>
      <c r="AC476">
        <v>8</v>
      </c>
      <c r="AD476" s="5">
        <v>5.1007609781240486</v>
      </c>
      <c r="AE476" s="5">
        <v>2.2784361090606891</v>
      </c>
      <c r="AF476">
        <v>1</v>
      </c>
    </row>
    <row r="477" spans="27:32" x14ac:dyDescent="0.3">
      <c r="AA477" s="3">
        <v>27762.54</v>
      </c>
      <c r="AB477">
        <v>1E-4</v>
      </c>
      <c r="AC477">
        <v>8</v>
      </c>
      <c r="AD477" s="5">
        <v>4.8661857318318766</v>
      </c>
      <c r="AE477" s="5">
        <v>2.1820566879002601</v>
      </c>
      <c r="AF477">
        <v>1</v>
      </c>
    </row>
    <row r="478" spans="27:32" x14ac:dyDescent="0.3">
      <c r="AA478" s="3">
        <v>4480.66</v>
      </c>
      <c r="AB478">
        <v>1E-4</v>
      </c>
      <c r="AC478">
        <v>8</v>
      </c>
      <c r="AD478" s="5">
        <v>5.1691722870166039</v>
      </c>
      <c r="AE478" s="5">
        <v>2.2920788823567397</v>
      </c>
      <c r="AF478">
        <v>1</v>
      </c>
    </row>
    <row r="479" spans="27:32" x14ac:dyDescent="0.3">
      <c r="AA479" s="3">
        <v>2116.63</v>
      </c>
      <c r="AB479">
        <v>1E-4</v>
      </c>
      <c r="AC479">
        <v>8</v>
      </c>
      <c r="AD479" s="5">
        <v>4.9898653315085673</v>
      </c>
      <c r="AE479" s="5">
        <v>2.1827910689969707</v>
      </c>
      <c r="AF479">
        <v>1</v>
      </c>
    </row>
    <row r="480" spans="27:32" x14ac:dyDescent="0.3">
      <c r="AA480" s="3">
        <v>559.17999999999995</v>
      </c>
      <c r="AB480">
        <v>1E-4</v>
      </c>
      <c r="AC480">
        <v>8</v>
      </c>
      <c r="AD480" s="5">
        <v>5.1266555255706123</v>
      </c>
      <c r="AE480" s="5">
        <v>2.2782564266948304</v>
      </c>
      <c r="AF480">
        <v>1</v>
      </c>
    </row>
    <row r="481" spans="27:32" x14ac:dyDescent="0.3">
      <c r="AA481" s="3">
        <v>28518.52</v>
      </c>
      <c r="AB481">
        <v>1E-4</v>
      </c>
      <c r="AC481">
        <v>8</v>
      </c>
      <c r="AD481" s="5">
        <v>5.1071670464253724</v>
      </c>
      <c r="AE481" s="5">
        <v>2.2115954476389512</v>
      </c>
      <c r="AF481">
        <v>1</v>
      </c>
    </row>
    <row r="482" spans="27:32" x14ac:dyDescent="0.3">
      <c r="AA482" s="3">
        <v>35062.89</v>
      </c>
      <c r="AB482">
        <v>1E-4</v>
      </c>
      <c r="AC482">
        <v>7</v>
      </c>
      <c r="AD482" s="5">
        <v>4.9968243640316574</v>
      </c>
      <c r="AE482" s="5">
        <v>2.1802338775913221</v>
      </c>
      <c r="AF482">
        <v>1</v>
      </c>
    </row>
    <row r="483" spans="27:32" x14ac:dyDescent="0.3">
      <c r="AA483" s="3">
        <v>29780.92</v>
      </c>
      <c r="AB483">
        <v>1E-4</v>
      </c>
      <c r="AC483">
        <v>8</v>
      </c>
      <c r="AD483" s="5">
        <v>5.1805608789560011</v>
      </c>
      <c r="AE483" s="5">
        <v>2.2670809159572909</v>
      </c>
      <c r="AF483">
        <v>1</v>
      </c>
    </row>
    <row r="484" spans="27:32" x14ac:dyDescent="0.3">
      <c r="AA484" s="3">
        <v>-3012.51</v>
      </c>
      <c r="AB484">
        <v>1E-4</v>
      </c>
      <c r="AC484">
        <v>9</v>
      </c>
      <c r="AD484" s="5">
        <v>5.0036658168145731</v>
      </c>
      <c r="AE484" s="5">
        <v>2.2687948693635733</v>
      </c>
      <c r="AF484">
        <v>1</v>
      </c>
    </row>
    <row r="485" spans="27:32" x14ac:dyDescent="0.3">
      <c r="AA485" s="3">
        <v>7177.85</v>
      </c>
      <c r="AB485">
        <v>1E-4</v>
      </c>
      <c r="AC485">
        <v>8</v>
      </c>
      <c r="AD485" s="5">
        <v>4.9690927411414405</v>
      </c>
      <c r="AE485" s="5">
        <v>2.261792006673109</v>
      </c>
      <c r="AF485">
        <v>1</v>
      </c>
    </row>
    <row r="486" spans="27:32" x14ac:dyDescent="0.3">
      <c r="AA486" s="3">
        <v>32414.62</v>
      </c>
      <c r="AB486">
        <v>1E-4</v>
      </c>
      <c r="AC486">
        <v>7</v>
      </c>
      <c r="AD486" s="5">
        <v>5.1302898879388259</v>
      </c>
      <c r="AE486" s="5">
        <v>2.2139196546303852</v>
      </c>
      <c r="AF486">
        <v>1</v>
      </c>
    </row>
    <row r="487" spans="27:32" x14ac:dyDescent="0.3">
      <c r="AA487" s="3">
        <v>33974.47</v>
      </c>
      <c r="AB487">
        <v>1E-4</v>
      </c>
      <c r="AC487">
        <v>7</v>
      </c>
      <c r="AD487" s="5">
        <v>5.1159033370920133</v>
      </c>
      <c r="AE487" s="5">
        <v>2.1598668119339233</v>
      </c>
      <c r="AF487">
        <v>1</v>
      </c>
    </row>
    <row r="488" spans="27:32" x14ac:dyDescent="0.3">
      <c r="AA488" s="3">
        <v>10798.13</v>
      </c>
      <c r="AB488">
        <v>1E-4</v>
      </c>
      <c r="AC488">
        <v>8</v>
      </c>
      <c r="AD488" s="5">
        <v>5.0895827320576927</v>
      </c>
      <c r="AE488" s="5">
        <v>2.1634488515757728</v>
      </c>
      <c r="AF488">
        <v>1</v>
      </c>
    </row>
    <row r="489" spans="27:32" x14ac:dyDescent="0.3">
      <c r="AA489" s="3">
        <v>5772.49</v>
      </c>
      <c r="AB489">
        <v>1E-4</v>
      </c>
      <c r="AC489">
        <v>8</v>
      </c>
      <c r="AD489" s="5">
        <v>5.0193603990464952</v>
      </c>
      <c r="AE489" s="5">
        <v>2.2147866684586841</v>
      </c>
      <c r="AF489">
        <v>1</v>
      </c>
    </row>
    <row r="490" spans="27:32" x14ac:dyDescent="0.3">
      <c r="AA490" s="3">
        <v>5217.8500000000004</v>
      </c>
      <c r="AB490">
        <v>1E-4</v>
      </c>
      <c r="AC490">
        <v>8</v>
      </c>
      <c r="AD490" s="5">
        <v>5.0874767722880572</v>
      </c>
      <c r="AE490" s="5">
        <v>2.2370139822489259</v>
      </c>
      <c r="AF490">
        <v>1</v>
      </c>
    </row>
    <row r="491" spans="27:32" x14ac:dyDescent="0.3">
      <c r="AA491" s="3">
        <v>-11605.97</v>
      </c>
      <c r="AB491">
        <v>1E-4</v>
      </c>
      <c r="AC491">
        <v>9</v>
      </c>
      <c r="AD491" s="5">
        <v>5.1469203213731598</v>
      </c>
      <c r="AE491" s="5">
        <v>2.2317631733083978</v>
      </c>
      <c r="AF491">
        <v>1</v>
      </c>
    </row>
    <row r="492" spans="27:32" x14ac:dyDescent="0.3">
      <c r="AA492" s="3">
        <v>-1722.99</v>
      </c>
      <c r="AB492">
        <v>1E-4</v>
      </c>
      <c r="AC492">
        <v>9</v>
      </c>
      <c r="AD492" s="5">
        <v>4.9791326137792327</v>
      </c>
      <c r="AE492" s="5">
        <v>2.2545764154441565</v>
      </c>
      <c r="AF492">
        <v>1</v>
      </c>
    </row>
    <row r="493" spans="27:32" x14ac:dyDescent="0.3">
      <c r="AA493" s="3">
        <v>23034.78</v>
      </c>
      <c r="AB493">
        <v>1E-4</v>
      </c>
      <c r="AC493">
        <v>8</v>
      </c>
      <c r="AD493" s="5">
        <v>4.9464611460840988</v>
      </c>
      <c r="AE493" s="5">
        <v>2.1918466333494346</v>
      </c>
      <c r="AF493">
        <v>1</v>
      </c>
    </row>
    <row r="494" spans="27:32" x14ac:dyDescent="0.3">
      <c r="AA494" s="3">
        <v>17954.07</v>
      </c>
      <c r="AB494">
        <v>1E-4</v>
      </c>
      <c r="AC494">
        <v>8</v>
      </c>
      <c r="AD494" s="5">
        <v>5.060912405996512</v>
      </c>
      <c r="AE494" s="5">
        <v>2.2374198740183444</v>
      </c>
      <c r="AF494">
        <v>1</v>
      </c>
    </row>
    <row r="495" spans="27:32" x14ac:dyDescent="0.3">
      <c r="AA495" s="3">
        <v>31527.1</v>
      </c>
      <c r="AB495">
        <v>1E-4</v>
      </c>
      <c r="AC495">
        <v>7</v>
      </c>
      <c r="AD495" s="5">
        <v>4.877765291179478</v>
      </c>
      <c r="AE495" s="5">
        <v>2.2480161182977931</v>
      </c>
      <c r="AF495">
        <v>1</v>
      </c>
    </row>
    <row r="496" spans="27:32" x14ac:dyDescent="0.3">
      <c r="AA496" s="3">
        <v>-5813.35</v>
      </c>
      <c r="AB496">
        <v>1E-4</v>
      </c>
      <c r="AC496">
        <v>9</v>
      </c>
      <c r="AD496" s="5">
        <v>4.8320665785677885</v>
      </c>
      <c r="AE496" s="5">
        <v>2.3059596004774758</v>
      </c>
      <c r="AF496">
        <v>1</v>
      </c>
    </row>
    <row r="497" spans="27:32" x14ac:dyDescent="0.3">
      <c r="AA497" s="3">
        <v>10822.44</v>
      </c>
      <c r="AB497">
        <v>1E-4</v>
      </c>
      <c r="AC497">
        <v>8</v>
      </c>
      <c r="AD497" s="5">
        <v>5.1678299911414207</v>
      </c>
      <c r="AE497" s="5">
        <v>2.1664404202587244</v>
      </c>
      <c r="AF497">
        <v>1</v>
      </c>
    </row>
    <row r="498" spans="27:32" x14ac:dyDescent="0.3">
      <c r="AA498" s="3">
        <v>51953</v>
      </c>
      <c r="AB498">
        <v>1E-4</v>
      </c>
      <c r="AC498">
        <v>6</v>
      </c>
      <c r="AD498" s="5">
        <v>5.1514394104187442</v>
      </c>
      <c r="AE498" s="5">
        <v>2.1538881320311272</v>
      </c>
      <c r="AF498">
        <v>1</v>
      </c>
    </row>
    <row r="499" spans="27:32" x14ac:dyDescent="0.3">
      <c r="AA499" s="3">
        <v>28467.11</v>
      </c>
      <c r="AB499">
        <v>1E-4</v>
      </c>
      <c r="AC499">
        <v>8</v>
      </c>
      <c r="AD499" s="5">
        <v>5.0304964058861845</v>
      </c>
      <c r="AE499" s="5">
        <v>2.1779326865382034</v>
      </c>
      <c r="AF499">
        <v>1</v>
      </c>
    </row>
    <row r="500" spans="27:32" x14ac:dyDescent="0.3">
      <c r="AA500" s="3">
        <v>5880.05</v>
      </c>
      <c r="AB500">
        <v>1E-4</v>
      </c>
      <c r="AC500">
        <v>8</v>
      </c>
      <c r="AD500" s="5">
        <v>4.9636798510626736</v>
      </c>
      <c r="AE500" s="5">
        <v>2.1519303490116628</v>
      </c>
      <c r="AF500">
        <v>1</v>
      </c>
    </row>
    <row r="501" spans="27:32" x14ac:dyDescent="0.3">
      <c r="AA501" s="3">
        <v>27724.04</v>
      </c>
      <c r="AB501">
        <v>1E-4</v>
      </c>
      <c r="AC501">
        <v>8</v>
      </c>
      <c r="AD501" s="5">
        <v>4.8267914808585299</v>
      </c>
      <c r="AE501" s="5">
        <v>2.1045475192809318</v>
      </c>
      <c r="AF501">
        <v>1</v>
      </c>
    </row>
    <row r="502" spans="27:32" x14ac:dyDescent="0.3">
      <c r="AA502" s="3">
        <v>24375.85</v>
      </c>
      <c r="AB502">
        <v>1E-4</v>
      </c>
      <c r="AC502">
        <v>8</v>
      </c>
      <c r="AD502" s="5">
        <v>4.9737420345166212</v>
      </c>
      <c r="AE502" s="5">
        <v>2.1713059336448426</v>
      </c>
      <c r="AF502">
        <v>1</v>
      </c>
    </row>
    <row r="503" spans="27:32" x14ac:dyDescent="0.3">
      <c r="AA503" s="3">
        <v>33634.86</v>
      </c>
      <c r="AB503">
        <v>1E-4</v>
      </c>
      <c r="AC503">
        <v>7</v>
      </c>
      <c r="AD503" s="5">
        <v>4.8519609262800687</v>
      </c>
      <c r="AE503" s="5">
        <v>2.1575278168487473</v>
      </c>
      <c r="AF503">
        <v>1</v>
      </c>
    </row>
    <row r="504" spans="27:32" x14ac:dyDescent="0.3">
      <c r="AA504" s="3">
        <v>-2859.34</v>
      </c>
      <c r="AB504">
        <v>1E-4</v>
      </c>
      <c r="AC504">
        <v>9</v>
      </c>
      <c r="AD504" s="5">
        <v>4.9569820763474937</v>
      </c>
      <c r="AE504" s="5">
        <v>2.1061858870873831</v>
      </c>
      <c r="AF504">
        <v>1</v>
      </c>
    </row>
    <row r="505" spans="27:32" x14ac:dyDescent="0.3">
      <c r="AA505" s="3">
        <v>14183.6</v>
      </c>
      <c r="AB505">
        <v>1E-4</v>
      </c>
      <c r="AC505">
        <v>8</v>
      </c>
      <c r="AD505" s="5">
        <v>5.1883642120581221</v>
      </c>
      <c r="AE505" s="5">
        <v>2.1435292228037102</v>
      </c>
      <c r="AF505">
        <v>1</v>
      </c>
    </row>
    <row r="506" spans="27:32" x14ac:dyDescent="0.3">
      <c r="AA506" s="3">
        <v>43228.81</v>
      </c>
      <c r="AB506">
        <v>1E-4</v>
      </c>
      <c r="AC506">
        <v>7</v>
      </c>
      <c r="AD506" s="5">
        <v>5.0085305032833336</v>
      </c>
      <c r="AE506" s="5">
        <v>2.1721997306628356</v>
      </c>
      <c r="AF506">
        <v>1</v>
      </c>
    </row>
    <row r="507" spans="27:32" x14ac:dyDescent="0.3">
      <c r="AA507" s="3">
        <v>5698.56</v>
      </c>
      <c r="AB507">
        <v>1E-4</v>
      </c>
      <c r="AC507">
        <v>8</v>
      </c>
      <c r="AD507" s="5">
        <v>5.0819985572583901</v>
      </c>
      <c r="AE507" s="5">
        <v>2.1648586452388145</v>
      </c>
      <c r="AF507">
        <v>1</v>
      </c>
    </row>
    <row r="508" spans="27:32" x14ac:dyDescent="0.3">
      <c r="AA508" s="3">
        <v>26019.72</v>
      </c>
      <c r="AB508">
        <v>1E-4</v>
      </c>
      <c r="AC508">
        <v>8</v>
      </c>
      <c r="AD508" s="5">
        <v>4.9319335052291127</v>
      </c>
      <c r="AE508" s="5">
        <v>2.1483730526216576</v>
      </c>
      <c r="AF508">
        <v>1</v>
      </c>
    </row>
    <row r="509" spans="27:32" x14ac:dyDescent="0.3">
      <c r="AA509" s="3">
        <v>12640.84</v>
      </c>
      <c r="AB509">
        <v>1E-4</v>
      </c>
      <c r="AC509">
        <v>8</v>
      </c>
      <c r="AD509" s="5">
        <v>5.0112315880215519</v>
      </c>
      <c r="AE509" s="5">
        <v>2.322719266033662</v>
      </c>
      <c r="AF509">
        <v>1</v>
      </c>
    </row>
    <row r="510" spans="27:32" x14ac:dyDescent="0.3">
      <c r="AA510" s="3">
        <v>25488.02</v>
      </c>
      <c r="AB510">
        <v>1E-4</v>
      </c>
      <c r="AC510">
        <v>8</v>
      </c>
      <c r="AD510" s="5">
        <v>5.2195001883361956</v>
      </c>
      <c r="AE510" s="5">
        <v>2.1680353263765602</v>
      </c>
      <c r="AF510">
        <v>1</v>
      </c>
    </row>
    <row r="511" spans="27:32" x14ac:dyDescent="0.3">
      <c r="AA511" s="3">
        <v>6799.34</v>
      </c>
      <c r="AB511">
        <v>1E-4</v>
      </c>
      <c r="AC511">
        <v>8</v>
      </c>
      <c r="AD511" s="5">
        <v>5.0129418420398268</v>
      </c>
      <c r="AE511" s="5">
        <v>2.1768431460064726</v>
      </c>
      <c r="AF511">
        <v>1</v>
      </c>
    </row>
    <row r="512" spans="27:32" x14ac:dyDescent="0.3">
      <c r="AA512" s="3">
        <v>5518.63</v>
      </c>
      <c r="AB512">
        <v>1E-4</v>
      </c>
      <c r="AC512">
        <v>8</v>
      </c>
      <c r="AD512" s="5">
        <v>4.9941905369032762</v>
      </c>
      <c r="AE512" s="5">
        <v>2.1762646898879408</v>
      </c>
      <c r="AF512">
        <v>1</v>
      </c>
    </row>
    <row r="513" spans="27:32" x14ac:dyDescent="0.3">
      <c r="AA513" s="3">
        <v>3592.7</v>
      </c>
      <c r="AB513">
        <v>1E-4</v>
      </c>
      <c r="AC513">
        <v>8</v>
      </c>
      <c r="AD513" s="5">
        <v>5.0786976597125086</v>
      </c>
      <c r="AE513" s="5">
        <v>2.2464687218894581</v>
      </c>
      <c r="AF513">
        <v>1</v>
      </c>
    </row>
    <row r="514" spans="27:32" x14ac:dyDescent="0.3">
      <c r="AA514" s="3">
        <v>27287.09</v>
      </c>
      <c r="AB514">
        <v>1E-4</v>
      </c>
      <c r="AC514">
        <v>8</v>
      </c>
      <c r="AD514" s="5">
        <v>5.0237593656285524</v>
      </c>
      <c r="AE514" s="5">
        <v>2.2148872914410416</v>
      </c>
      <c r="AF514">
        <v>1</v>
      </c>
    </row>
    <row r="515" spans="27:32" x14ac:dyDescent="0.3">
      <c r="AA515" s="3">
        <v>24392.36</v>
      </c>
      <c r="AB515">
        <v>1E-4</v>
      </c>
      <c r="AC515">
        <v>8</v>
      </c>
      <c r="AD515" s="5">
        <v>5.0275460513513552</v>
      </c>
      <c r="AE515" s="5">
        <v>2.1874189279169403</v>
      </c>
      <c r="AF515">
        <v>1</v>
      </c>
    </row>
    <row r="516" spans="27:32" x14ac:dyDescent="0.3">
      <c r="AA516" s="3">
        <v>23113.05</v>
      </c>
      <c r="AB516">
        <v>1E-4</v>
      </c>
      <c r="AC516">
        <v>8</v>
      </c>
      <c r="AD516" s="5">
        <v>4.9784226933120834</v>
      </c>
      <c r="AE516" s="5">
        <v>2.0622005755632391</v>
      </c>
      <c r="AF516">
        <v>1</v>
      </c>
    </row>
    <row r="517" spans="27:32" x14ac:dyDescent="0.3">
      <c r="AA517" s="3">
        <v>22242.98</v>
      </c>
      <c r="AB517">
        <v>1E-4</v>
      </c>
      <c r="AC517">
        <v>8</v>
      </c>
      <c r="AD517" s="5">
        <v>4.9575291280537259</v>
      </c>
      <c r="AE517" s="5">
        <v>2.2538606134481158</v>
      </c>
      <c r="AF517">
        <v>1</v>
      </c>
    </row>
    <row r="518" spans="27:32" x14ac:dyDescent="0.3">
      <c r="AA518" s="3">
        <v>-27490.51</v>
      </c>
      <c r="AB518">
        <v>1E-4</v>
      </c>
      <c r="AC518">
        <v>9</v>
      </c>
      <c r="AD518" s="5">
        <v>4.8413417457324197</v>
      </c>
      <c r="AE518" s="5">
        <v>2.3512777330664125</v>
      </c>
      <c r="AF518">
        <v>1</v>
      </c>
    </row>
    <row r="519" spans="27:32" x14ac:dyDescent="0.3">
      <c r="AA519" s="3">
        <v>36368.51</v>
      </c>
      <c r="AB519">
        <v>1E-4</v>
      </c>
      <c r="AC519">
        <v>7</v>
      </c>
      <c r="AD519" s="5">
        <v>5.0136424980018157</v>
      </c>
      <c r="AE519" s="5">
        <v>2.1779751777983218</v>
      </c>
      <c r="AF519">
        <v>1</v>
      </c>
    </row>
    <row r="520" spans="27:32" x14ac:dyDescent="0.3">
      <c r="AA520" s="3">
        <v>-3194.3328795409725</v>
      </c>
      <c r="AB520">
        <v>1E-4</v>
      </c>
      <c r="AC520">
        <v>8</v>
      </c>
      <c r="AD520" s="5">
        <v>5.0517205146415192</v>
      </c>
      <c r="AE520" s="5">
        <v>2.2192886740497051</v>
      </c>
      <c r="AF520">
        <v>0</v>
      </c>
    </row>
    <row r="521" spans="27:32" x14ac:dyDescent="0.3">
      <c r="AA521" s="3">
        <v>13572.9</v>
      </c>
      <c r="AB521">
        <v>1E-4</v>
      </c>
      <c r="AC521">
        <v>8</v>
      </c>
      <c r="AD521" s="5">
        <v>5.0404114885687479</v>
      </c>
      <c r="AE521" s="5">
        <v>2.2716774473019994</v>
      </c>
      <c r="AF521">
        <v>1</v>
      </c>
    </row>
    <row r="522" spans="27:32" x14ac:dyDescent="0.3">
      <c r="AA522" s="3">
        <v>27808.89</v>
      </c>
      <c r="AB522">
        <v>1E-4</v>
      </c>
      <c r="AC522">
        <v>8</v>
      </c>
      <c r="AD522" s="5">
        <v>4.9529256769202927</v>
      </c>
      <c r="AE522" s="5">
        <v>2.2310308920689836</v>
      </c>
      <c r="AF522">
        <v>1</v>
      </c>
    </row>
    <row r="523" spans="27:32" x14ac:dyDescent="0.3">
      <c r="AA523" s="3">
        <v>7558.9</v>
      </c>
      <c r="AB523">
        <v>1E-4</v>
      </c>
      <c r="AC523">
        <v>8</v>
      </c>
      <c r="AD523" s="5">
        <v>5.0972603559327405</v>
      </c>
      <c r="AE523" s="5">
        <v>2.188076618451531</v>
      </c>
      <c r="AF523">
        <v>1</v>
      </c>
    </row>
    <row r="524" spans="27:32" x14ac:dyDescent="0.3">
      <c r="AA524" s="3">
        <v>23780.54</v>
      </c>
      <c r="AB524">
        <v>1E-4</v>
      </c>
      <c r="AC524">
        <v>8</v>
      </c>
      <c r="AD524" s="5">
        <v>5.0794069966540931</v>
      </c>
      <c r="AE524" s="5">
        <v>2.2465259584849733</v>
      </c>
      <c r="AF524">
        <v>1</v>
      </c>
    </row>
    <row r="525" spans="27:32" x14ac:dyDescent="0.3">
      <c r="AA525" s="3">
        <v>-2382.5</v>
      </c>
      <c r="AB525">
        <v>1E-4</v>
      </c>
      <c r="AC525">
        <v>9</v>
      </c>
      <c r="AD525" s="5">
        <v>5.0958824742386071</v>
      </c>
      <c r="AE525" s="5">
        <v>2.2178793845804048</v>
      </c>
      <c r="AF525">
        <v>1</v>
      </c>
    </row>
    <row r="526" spans="27:32" x14ac:dyDescent="0.3">
      <c r="AA526" s="3">
        <v>23853.26</v>
      </c>
      <c r="AB526">
        <v>1E-4</v>
      </c>
      <c r="AC526">
        <v>8</v>
      </c>
      <c r="AD526" s="5">
        <v>4.9519319892629987</v>
      </c>
      <c r="AE526" s="5">
        <v>2.2243389114772598</v>
      </c>
      <c r="AF526">
        <v>1</v>
      </c>
    </row>
    <row r="527" spans="27:32" x14ac:dyDescent="0.3">
      <c r="AA527" s="3">
        <v>-19397.05</v>
      </c>
      <c r="AB527">
        <v>1E-4</v>
      </c>
      <c r="AC527">
        <v>9</v>
      </c>
      <c r="AD527" s="5">
        <v>4.9964641897109914</v>
      </c>
      <c r="AE527" s="5">
        <v>2.2131161327638442</v>
      </c>
      <c r="AF527">
        <v>1</v>
      </c>
    </row>
    <row r="528" spans="27:32" x14ac:dyDescent="0.3">
      <c r="AA528" s="3">
        <v>1345.02</v>
      </c>
      <c r="AB528">
        <v>1E-4</v>
      </c>
      <c r="AC528">
        <v>8</v>
      </c>
      <c r="AD528" s="5">
        <v>5.066740031710439</v>
      </c>
      <c r="AE528" s="5">
        <v>2.1546709268895765</v>
      </c>
      <c r="AF528">
        <v>1</v>
      </c>
    </row>
    <row r="529" spans="27:32" x14ac:dyDescent="0.3">
      <c r="AA529" s="3">
        <v>36204.71</v>
      </c>
      <c r="AB529">
        <v>1E-4</v>
      </c>
      <c r="AC529">
        <v>7</v>
      </c>
      <c r="AD529" s="5">
        <v>4.8487073997796619</v>
      </c>
      <c r="AE529" s="5">
        <v>2.1412804854052374</v>
      </c>
      <c r="AF529">
        <v>1</v>
      </c>
    </row>
    <row r="530" spans="27:32" x14ac:dyDescent="0.3">
      <c r="AA530" s="3">
        <v>38592.61</v>
      </c>
      <c r="AB530">
        <v>1E-4</v>
      </c>
      <c r="AC530">
        <v>7</v>
      </c>
      <c r="AD530" s="5">
        <v>5.1473962290935082</v>
      </c>
      <c r="AE530" s="5">
        <v>2.1900983563703083</v>
      </c>
      <c r="AF530">
        <v>1</v>
      </c>
    </row>
    <row r="531" spans="27:32" x14ac:dyDescent="0.3">
      <c r="AA531" s="3">
        <v>11909.76</v>
      </c>
      <c r="AB531">
        <v>1E-4</v>
      </c>
      <c r="AC531">
        <v>8</v>
      </c>
      <c r="AD531" s="5">
        <v>4.9812565202251076</v>
      </c>
      <c r="AE531" s="5">
        <v>2.2500613088557238</v>
      </c>
      <c r="AF531">
        <v>1</v>
      </c>
    </row>
    <row r="532" spans="27:32" x14ac:dyDescent="0.3">
      <c r="AA532" s="3">
        <v>16965.240000000002</v>
      </c>
      <c r="AB532">
        <v>1E-4</v>
      </c>
      <c r="AC532">
        <v>8</v>
      </c>
      <c r="AD532" s="5">
        <v>4.9949690891491567</v>
      </c>
      <c r="AE532" s="5">
        <v>2.0845900084805411</v>
      </c>
      <c r="AF532">
        <v>1</v>
      </c>
    </row>
    <row r="533" spans="27:32" x14ac:dyDescent="0.3">
      <c r="AA533" s="3">
        <v>13242.48</v>
      </c>
      <c r="AB533">
        <v>1E-4</v>
      </c>
      <c r="AC533">
        <v>8</v>
      </c>
      <c r="AD533" s="5">
        <v>4.973036698520735</v>
      </c>
      <c r="AE533" s="5">
        <v>2.2340231859929256</v>
      </c>
      <c r="AF533">
        <v>1</v>
      </c>
    </row>
    <row r="534" spans="27:32" x14ac:dyDescent="0.3">
      <c r="AA534" s="3">
        <v>2708.91</v>
      </c>
      <c r="AB534">
        <v>1E-4</v>
      </c>
      <c r="AC534">
        <v>8</v>
      </c>
      <c r="AD534" s="5">
        <v>4.9224610693806232</v>
      </c>
      <c r="AE534" s="5">
        <v>2.1980407992082207</v>
      </c>
      <c r="AF534">
        <v>1</v>
      </c>
    </row>
    <row r="535" spans="27:32" x14ac:dyDescent="0.3">
      <c r="AA535" s="3">
        <v>-10458.93</v>
      </c>
      <c r="AB535">
        <v>1E-4</v>
      </c>
      <c r="AC535">
        <v>9</v>
      </c>
      <c r="AD535" s="5">
        <v>4.8372565548371966</v>
      </c>
      <c r="AE535" s="5">
        <v>2.2770054100428996</v>
      </c>
      <c r="AF535">
        <v>1</v>
      </c>
    </row>
    <row r="536" spans="27:32" x14ac:dyDescent="0.3">
      <c r="AA536" s="3">
        <v>26368.18</v>
      </c>
      <c r="AB536">
        <v>1E-4</v>
      </c>
      <c r="AC536">
        <v>7</v>
      </c>
      <c r="AD536" s="5">
        <v>5.0858859277553954</v>
      </c>
      <c r="AE536" s="5">
        <v>2.210452570772544</v>
      </c>
      <c r="AF536">
        <v>1</v>
      </c>
    </row>
    <row r="537" spans="27:32" x14ac:dyDescent="0.3">
      <c r="AA537" s="3">
        <v>19239.91</v>
      </c>
      <c r="AB537">
        <v>1E-4</v>
      </c>
      <c r="AC537">
        <v>8</v>
      </c>
      <c r="AD537" s="5">
        <v>4.9927208743136502</v>
      </c>
      <c r="AE537" s="5">
        <v>2.2361857954208593</v>
      </c>
      <c r="AF537">
        <v>1</v>
      </c>
    </row>
    <row r="538" spans="27:32" x14ac:dyDescent="0.3">
      <c r="AA538" s="3">
        <v>20062.36</v>
      </c>
      <c r="AB538">
        <v>1E-4</v>
      </c>
      <c r="AC538">
        <v>8</v>
      </c>
      <c r="AD538" s="5">
        <v>5.0497583465304157</v>
      </c>
      <c r="AE538" s="5">
        <v>2.2051309540169375</v>
      </c>
      <c r="AF538">
        <v>1</v>
      </c>
    </row>
    <row r="539" spans="27:32" x14ac:dyDescent="0.3">
      <c r="AA539" s="3">
        <v>-26020.82</v>
      </c>
      <c r="AB539">
        <v>1E-4</v>
      </c>
      <c r="AC539">
        <v>9</v>
      </c>
      <c r="AD539" s="5">
        <v>4.9517762481336005</v>
      </c>
      <c r="AE539" s="5">
        <v>2.2502212856157722</v>
      </c>
      <c r="AF539">
        <v>1</v>
      </c>
    </row>
    <row r="540" spans="27:32" x14ac:dyDescent="0.3">
      <c r="AA540" s="3">
        <v>26782.66</v>
      </c>
      <c r="AB540">
        <v>1E-4</v>
      </c>
      <c r="AC540">
        <v>8</v>
      </c>
      <c r="AD540" s="5">
        <v>4.9710361518943698</v>
      </c>
      <c r="AE540" s="5">
        <v>2.1844897809741224</v>
      </c>
      <c r="AF540">
        <v>1</v>
      </c>
    </row>
    <row r="541" spans="27:32" x14ac:dyDescent="0.3">
      <c r="AA541" s="3">
        <v>5941.84</v>
      </c>
      <c r="AB541">
        <v>1E-4</v>
      </c>
      <c r="AC541">
        <v>8</v>
      </c>
      <c r="AD541" s="5">
        <v>4.9104334767130267</v>
      </c>
      <c r="AE541" s="5">
        <v>2.2591534793285311</v>
      </c>
      <c r="AF541">
        <v>1</v>
      </c>
    </row>
    <row r="542" spans="27:32" x14ac:dyDescent="0.3">
      <c r="AA542" s="3">
        <v>-25720.22</v>
      </c>
      <c r="AB542">
        <v>1E-4</v>
      </c>
      <c r="AC542">
        <v>9</v>
      </c>
      <c r="AD542" s="5">
        <v>4.8544617570196316</v>
      </c>
      <c r="AE542" s="5">
        <v>2.1864179622433744</v>
      </c>
      <c r="AF542">
        <v>1</v>
      </c>
    </row>
    <row r="543" spans="27:32" x14ac:dyDescent="0.3">
      <c r="AA543" s="3">
        <v>11311.26</v>
      </c>
      <c r="AB543">
        <v>1E-4</v>
      </c>
      <c r="AC543">
        <v>8</v>
      </c>
      <c r="AD543" s="5">
        <v>5.0380862764509722</v>
      </c>
      <c r="AE543" s="5">
        <v>2.2184999716206675</v>
      </c>
      <c r="AF543">
        <v>1</v>
      </c>
    </row>
    <row r="544" spans="27:32" x14ac:dyDescent="0.3">
      <c r="AA544" s="3">
        <v>11059.13</v>
      </c>
      <c r="AB544">
        <v>1E-4</v>
      </c>
      <c r="AC544">
        <v>8</v>
      </c>
      <c r="AD544" s="5">
        <v>4.9816123926015541</v>
      </c>
      <c r="AE544" s="5">
        <v>2.2247757116609375</v>
      </c>
      <c r="AF544">
        <v>1</v>
      </c>
    </row>
    <row r="545" spans="27:32" x14ac:dyDescent="0.3">
      <c r="AA545" s="3">
        <v>19361.93</v>
      </c>
      <c r="AB545">
        <v>1E-4</v>
      </c>
      <c r="AC545">
        <v>8</v>
      </c>
      <c r="AD545" s="5">
        <v>4.9533301702224852</v>
      </c>
      <c r="AE545" s="5">
        <v>2.2193577224530223</v>
      </c>
      <c r="AF545">
        <v>1</v>
      </c>
    </row>
    <row r="546" spans="27:32" x14ac:dyDescent="0.3">
      <c r="AA546" s="3">
        <v>24341.1</v>
      </c>
      <c r="AB546">
        <v>1E-4</v>
      </c>
      <c r="AC546">
        <v>8</v>
      </c>
      <c r="AD546" s="5">
        <v>4.9555507213977057</v>
      </c>
      <c r="AE546" s="5">
        <v>2.2286985608714684</v>
      </c>
      <c r="AF546">
        <v>1</v>
      </c>
    </row>
    <row r="547" spans="27:32" x14ac:dyDescent="0.3">
      <c r="AA547" s="3">
        <v>21940.94</v>
      </c>
      <c r="AB547">
        <v>1E-4</v>
      </c>
      <c r="AC547">
        <v>8</v>
      </c>
      <c r="AD547" s="5">
        <v>5.0692483210991632</v>
      </c>
      <c r="AE547" s="5">
        <v>2.1257363405082117</v>
      </c>
      <c r="AF547">
        <v>1</v>
      </c>
    </row>
    <row r="548" spans="27:32" x14ac:dyDescent="0.3">
      <c r="AA548" s="3">
        <v>10859.48</v>
      </c>
      <c r="AB548">
        <v>1E-4</v>
      </c>
      <c r="AC548">
        <v>8</v>
      </c>
      <c r="AD548" s="5">
        <v>4.9163732781770682</v>
      </c>
      <c r="AE548" s="5">
        <v>2.2150036987537347</v>
      </c>
      <c r="AF548">
        <v>1</v>
      </c>
    </row>
    <row r="549" spans="27:32" x14ac:dyDescent="0.3">
      <c r="AA549" s="3">
        <v>5833.69</v>
      </c>
      <c r="AB549">
        <v>1E-4</v>
      </c>
      <c r="AC549">
        <v>8</v>
      </c>
      <c r="AD549" s="5">
        <v>5.0520157600260625</v>
      </c>
      <c r="AE549" s="5">
        <v>2.2473344067338221</v>
      </c>
      <c r="AF549">
        <v>1</v>
      </c>
    </row>
    <row r="550" spans="27:32" x14ac:dyDescent="0.3">
      <c r="AA550" s="3">
        <v>33339.839999999997</v>
      </c>
      <c r="AB550">
        <v>1E-4</v>
      </c>
      <c r="AC550">
        <v>7</v>
      </c>
      <c r="AD550" s="5">
        <v>4.9275107932365829</v>
      </c>
      <c r="AE550" s="5">
        <v>2.1408096249350641</v>
      </c>
      <c r="AF550">
        <v>1</v>
      </c>
    </row>
    <row r="551" spans="27:32" x14ac:dyDescent="0.3">
      <c r="AA551" s="3">
        <v>-2661.7</v>
      </c>
      <c r="AB551">
        <v>1E-4</v>
      </c>
      <c r="AC551">
        <v>9</v>
      </c>
      <c r="AD551" s="5">
        <v>4.7596156260610893</v>
      </c>
      <c r="AE551" s="5">
        <v>2.2204173834790106</v>
      </c>
      <c r="AF551">
        <v>1</v>
      </c>
    </row>
    <row r="552" spans="27:32" x14ac:dyDescent="0.3">
      <c r="AA552" s="3">
        <v>27399.61</v>
      </c>
      <c r="AB552">
        <v>1E-4</v>
      </c>
      <c r="AC552">
        <v>8</v>
      </c>
      <c r="AD552" s="5">
        <v>4.909892628853334</v>
      </c>
      <c r="AE552" s="5">
        <v>2.2016529571793786</v>
      </c>
      <c r="AF552">
        <v>1</v>
      </c>
    </row>
    <row r="553" spans="27:32" x14ac:dyDescent="0.3">
      <c r="AA553" s="3">
        <v>14460.34</v>
      </c>
      <c r="AB553">
        <v>1E-4</v>
      </c>
      <c r="AC553">
        <v>8</v>
      </c>
      <c r="AD553" s="5">
        <v>5.1224732103724628</v>
      </c>
      <c r="AE553" s="5">
        <v>2.2537560807408736</v>
      </c>
      <c r="AF553">
        <v>1</v>
      </c>
    </row>
    <row r="554" spans="27:32" x14ac:dyDescent="0.3">
      <c r="AA554" s="3">
        <v>13175.01</v>
      </c>
      <c r="AB554">
        <v>1E-4</v>
      </c>
      <c r="AC554">
        <v>8</v>
      </c>
      <c r="AD554" s="5">
        <v>5.0780090279356509</v>
      </c>
      <c r="AE554" s="5">
        <v>2.2582579843056076</v>
      </c>
      <c r="AF554">
        <v>1</v>
      </c>
    </row>
    <row r="555" spans="27:32" x14ac:dyDescent="0.3">
      <c r="AA555" s="3">
        <v>-5602.77</v>
      </c>
      <c r="AB555">
        <v>1E-4</v>
      </c>
      <c r="AC555">
        <v>9</v>
      </c>
      <c r="AD555" s="5">
        <v>4.9505118820642071</v>
      </c>
      <c r="AE555" s="5">
        <v>2.1115791158419159</v>
      </c>
      <c r="AF555">
        <v>1</v>
      </c>
    </row>
    <row r="556" spans="27:32" x14ac:dyDescent="0.3">
      <c r="AA556" s="3">
        <v>4470.28</v>
      </c>
      <c r="AB556">
        <v>1E-4</v>
      </c>
      <c r="AC556">
        <v>8</v>
      </c>
      <c r="AD556" s="5">
        <v>4.8501382198676213</v>
      </c>
      <c r="AE556" s="5">
        <v>2.248542138217033</v>
      </c>
      <c r="AF556">
        <v>1</v>
      </c>
    </row>
    <row r="557" spans="27:32" x14ac:dyDescent="0.3">
      <c r="AA557" s="3">
        <v>43072.32</v>
      </c>
      <c r="AB557">
        <v>1E-4</v>
      </c>
      <c r="AC557">
        <v>7</v>
      </c>
      <c r="AD557" s="5">
        <v>5.1075142168677079</v>
      </c>
      <c r="AE557" s="5">
        <v>2.1998148790440046</v>
      </c>
      <c r="AF557">
        <v>1</v>
      </c>
    </row>
    <row r="558" spans="27:32" x14ac:dyDescent="0.3">
      <c r="AA558" s="3">
        <v>13084.89</v>
      </c>
      <c r="AB558">
        <v>1E-4</v>
      </c>
      <c r="AC558">
        <v>8</v>
      </c>
      <c r="AD558" s="5">
        <v>5.0939006583046247</v>
      </c>
      <c r="AE558" s="5">
        <v>2.1918781214356216</v>
      </c>
      <c r="AF558">
        <v>1</v>
      </c>
    </row>
    <row r="559" spans="27:32" x14ac:dyDescent="0.3">
      <c r="AA559" s="3">
        <v>13758.84</v>
      </c>
      <c r="AB559">
        <v>1E-4</v>
      </c>
      <c r="AC559">
        <v>8</v>
      </c>
      <c r="AD559" s="5">
        <v>5.0042027959024269</v>
      </c>
      <c r="AE559" s="5">
        <v>2.3045622770928991</v>
      </c>
      <c r="AF559">
        <v>1</v>
      </c>
    </row>
    <row r="560" spans="27:32" x14ac:dyDescent="0.3">
      <c r="AA560" s="3">
        <v>12390.29</v>
      </c>
      <c r="AB560">
        <v>1E-4</v>
      </c>
      <c r="AC560">
        <v>8</v>
      </c>
      <c r="AD560" s="5">
        <v>5.0825188140252386</v>
      </c>
      <c r="AE560" s="5">
        <v>2.2517615382131768</v>
      </c>
      <c r="AF560">
        <v>1</v>
      </c>
    </row>
    <row r="561" spans="27:32" x14ac:dyDescent="0.3">
      <c r="AA561" s="3">
        <v>31967.74</v>
      </c>
      <c r="AB561">
        <v>1E-4</v>
      </c>
      <c r="AC561">
        <v>7</v>
      </c>
      <c r="AD561" s="5">
        <v>5.0050767634420499</v>
      </c>
      <c r="AE561" s="5">
        <v>2.2138712143642176</v>
      </c>
      <c r="AF561">
        <v>1</v>
      </c>
    </row>
    <row r="562" spans="27:32" x14ac:dyDescent="0.3">
      <c r="AA562" s="3">
        <v>7928.32</v>
      </c>
      <c r="AB562">
        <v>1E-4</v>
      </c>
      <c r="AC562">
        <v>8</v>
      </c>
      <c r="AD562" s="5">
        <v>4.957730084314365</v>
      </c>
      <c r="AE562" s="5">
        <v>2.1783012554125287</v>
      </c>
      <c r="AF562">
        <v>1</v>
      </c>
    </row>
    <row r="563" spans="27:32" x14ac:dyDescent="0.3">
      <c r="AA563" s="3">
        <v>33007.230000000003</v>
      </c>
      <c r="AB563">
        <v>1E-4</v>
      </c>
      <c r="AC563">
        <v>7</v>
      </c>
      <c r="AD563" s="5">
        <v>5.0552883320261159</v>
      </c>
      <c r="AE563" s="5">
        <v>2.2883623220440752</v>
      </c>
      <c r="AF563">
        <v>1</v>
      </c>
    </row>
    <row r="564" spans="27:32" x14ac:dyDescent="0.3">
      <c r="AA564" s="3">
        <v>-15056.37282026538</v>
      </c>
      <c r="AB564">
        <v>1E-4</v>
      </c>
      <c r="AC564">
        <v>8</v>
      </c>
      <c r="AD564" s="5">
        <v>5.0357154484118443</v>
      </c>
      <c r="AE564" s="5">
        <v>2.2132347026088492</v>
      </c>
      <c r="AF564">
        <v>0</v>
      </c>
    </row>
    <row r="565" spans="27:32" x14ac:dyDescent="0.3">
      <c r="AA565" s="3">
        <v>24450.63</v>
      </c>
      <c r="AB565">
        <v>1E-4</v>
      </c>
      <c r="AC565">
        <v>8</v>
      </c>
      <c r="AD565" s="5">
        <v>4.8332472446765467</v>
      </c>
      <c r="AE565" s="5">
        <v>2.1246755703547784</v>
      </c>
      <c r="AF565">
        <v>1</v>
      </c>
    </row>
    <row r="566" spans="27:32" x14ac:dyDescent="0.3">
      <c r="AA566" s="3">
        <v>20825.240000000002</v>
      </c>
      <c r="AB566">
        <v>1E-4</v>
      </c>
      <c r="AC566">
        <v>8</v>
      </c>
      <c r="AD566" s="5">
        <v>5.037730956638339</v>
      </c>
      <c r="AE566" s="5">
        <v>2.1645310334369463</v>
      </c>
      <c r="AF566">
        <v>1</v>
      </c>
    </row>
    <row r="567" spans="27:32" x14ac:dyDescent="0.3">
      <c r="AA567" s="3">
        <v>-23552.62</v>
      </c>
      <c r="AB567">
        <v>1E-4</v>
      </c>
      <c r="AC567">
        <v>9</v>
      </c>
      <c r="AD567" s="5">
        <v>4.8031328394154169</v>
      </c>
      <c r="AE567" s="5">
        <v>2.1542842193064922</v>
      </c>
      <c r="AF567">
        <v>1</v>
      </c>
    </row>
    <row r="568" spans="27:32" x14ac:dyDescent="0.3">
      <c r="AA568" s="3">
        <v>26152.55</v>
      </c>
      <c r="AB568">
        <v>1E-4</v>
      </c>
      <c r="AC568">
        <v>8</v>
      </c>
      <c r="AD568" s="5">
        <v>5.0814475806958956</v>
      </c>
      <c r="AE568" s="5">
        <v>2.1855492705970634</v>
      </c>
      <c r="AF568">
        <v>1</v>
      </c>
    </row>
    <row r="569" spans="27:32" x14ac:dyDescent="0.3">
      <c r="AA569" s="3">
        <v>17956.759999999998</v>
      </c>
      <c r="AB569">
        <v>1E-4</v>
      </c>
      <c r="AC569">
        <v>8</v>
      </c>
      <c r="AD569" s="5">
        <v>4.913580879754619</v>
      </c>
      <c r="AE569" s="5">
        <v>2.2215824578290571</v>
      </c>
      <c r="AF569">
        <v>1</v>
      </c>
    </row>
    <row r="570" spans="27:32" x14ac:dyDescent="0.3">
      <c r="AA570" s="3">
        <v>18337.18</v>
      </c>
      <c r="AB570">
        <v>1E-4</v>
      </c>
      <c r="AC570">
        <v>8</v>
      </c>
      <c r="AD570" s="5">
        <v>5.0910239254289662</v>
      </c>
      <c r="AE570" s="5">
        <v>2.186552062523246</v>
      </c>
      <c r="AF570">
        <v>1</v>
      </c>
    </row>
    <row r="571" spans="27:32" x14ac:dyDescent="0.3">
      <c r="AA571" s="3">
        <v>18575.87</v>
      </c>
      <c r="AB571">
        <v>1E-4</v>
      </c>
      <c r="AC571">
        <v>8</v>
      </c>
      <c r="AD571" s="5">
        <v>5.1504874135045906</v>
      </c>
      <c r="AE571" s="5">
        <v>2.1805336889680111</v>
      </c>
      <c r="AF571">
        <v>1</v>
      </c>
    </row>
    <row r="572" spans="27:32" x14ac:dyDescent="0.3">
      <c r="AA572" s="3">
        <v>-1699.45</v>
      </c>
      <c r="AB572">
        <v>1E-4</v>
      </c>
      <c r="AC572">
        <v>9</v>
      </c>
      <c r="AD572" s="5">
        <v>5.0605021304673157</v>
      </c>
      <c r="AE572" s="5">
        <v>2.1868744025067928</v>
      </c>
      <c r="AF572">
        <v>1</v>
      </c>
    </row>
    <row r="573" spans="27:32" x14ac:dyDescent="0.3">
      <c r="AA573" s="3">
        <v>18588.259999999998</v>
      </c>
      <c r="AB573">
        <v>1E-4</v>
      </c>
      <c r="AC573">
        <v>8</v>
      </c>
      <c r="AD573" s="5">
        <v>5.2073213697482279</v>
      </c>
      <c r="AE573" s="5">
        <v>2.1011879418178347</v>
      </c>
      <c r="AF573">
        <v>1</v>
      </c>
    </row>
    <row r="574" spans="27:32" x14ac:dyDescent="0.3">
      <c r="AA574" s="3">
        <v>28385.29</v>
      </c>
      <c r="AB574">
        <v>1E-4</v>
      </c>
      <c r="AC574">
        <v>8</v>
      </c>
      <c r="AD574" s="5">
        <v>4.8949403143201851</v>
      </c>
      <c r="AE574" s="5">
        <v>2.2318499729706143</v>
      </c>
      <c r="AF574">
        <v>1</v>
      </c>
    </row>
    <row r="575" spans="27:32" x14ac:dyDescent="0.3">
      <c r="AA575" s="3">
        <v>13596.6</v>
      </c>
      <c r="AB575">
        <v>1E-4</v>
      </c>
      <c r="AC575">
        <v>8</v>
      </c>
      <c r="AD575" s="5">
        <v>5.0936818667704591</v>
      </c>
      <c r="AE575" s="5">
        <v>2.2195394754055875</v>
      </c>
      <c r="AF575">
        <v>1</v>
      </c>
    </row>
    <row r="576" spans="27:32" x14ac:dyDescent="0.3">
      <c r="AA576" s="3">
        <v>8548.08</v>
      </c>
      <c r="AB576">
        <v>1E-4</v>
      </c>
      <c r="AC576">
        <v>8</v>
      </c>
      <c r="AD576" s="5">
        <v>5.0747528720136748</v>
      </c>
      <c r="AE576" s="5">
        <v>2.2403349887818389</v>
      </c>
      <c r="AF576">
        <v>1</v>
      </c>
    </row>
    <row r="577" spans="27:32" x14ac:dyDescent="0.3">
      <c r="AA577" s="3">
        <v>-7245.89</v>
      </c>
      <c r="AB577">
        <v>1E-4</v>
      </c>
      <c r="AC577">
        <v>9</v>
      </c>
      <c r="AD577" s="5">
        <v>4.9355295259030996</v>
      </c>
      <c r="AE577" s="5">
        <v>2.1795365261673436</v>
      </c>
      <c r="AF577">
        <v>1</v>
      </c>
    </row>
    <row r="578" spans="27:32" x14ac:dyDescent="0.3">
      <c r="AA578" s="3">
        <v>-396.1</v>
      </c>
      <c r="AB578">
        <v>1E-4</v>
      </c>
      <c r="AC578">
        <v>9</v>
      </c>
      <c r="AD578" s="5">
        <v>4.9044666310331042</v>
      </c>
      <c r="AE578" s="5">
        <v>2.2350471121000042</v>
      </c>
      <c r="AF578">
        <v>1</v>
      </c>
    </row>
    <row r="579" spans="27:32" x14ac:dyDescent="0.3">
      <c r="AA579" s="3">
        <v>12510.52</v>
      </c>
      <c r="AB579">
        <v>1E-4</v>
      </c>
      <c r="AC579">
        <v>8</v>
      </c>
      <c r="AD579" s="5">
        <v>4.8620142896038807</v>
      </c>
      <c r="AE579" s="5">
        <v>2.1957299680253017</v>
      </c>
      <c r="AF579">
        <v>1</v>
      </c>
    </row>
    <row r="580" spans="27:32" x14ac:dyDescent="0.3">
      <c r="AA580" s="3">
        <v>18537.04</v>
      </c>
      <c r="AB580">
        <v>1E-4</v>
      </c>
      <c r="AC580">
        <v>8</v>
      </c>
      <c r="AD580" s="5">
        <v>5.129801480774125</v>
      </c>
      <c r="AE580" s="5">
        <v>2.2390290339904668</v>
      </c>
      <c r="AF580">
        <v>1</v>
      </c>
    </row>
    <row r="581" spans="27:32" x14ac:dyDescent="0.3">
      <c r="AA581" s="3">
        <v>6691.99</v>
      </c>
      <c r="AB581">
        <v>1E-4</v>
      </c>
      <c r="AC581">
        <v>8</v>
      </c>
      <c r="AD581" s="5">
        <v>5.0189403151883889</v>
      </c>
      <c r="AE581" s="5">
        <v>2.22354434705341</v>
      </c>
      <c r="AF581">
        <v>1</v>
      </c>
    </row>
    <row r="582" spans="27:32" x14ac:dyDescent="0.3">
      <c r="AA582" s="3">
        <v>33674.61</v>
      </c>
      <c r="AB582">
        <v>1E-4</v>
      </c>
      <c r="AC582">
        <v>7</v>
      </c>
      <c r="AD582" s="5">
        <v>4.9623420712617232</v>
      </c>
      <c r="AE582" s="5">
        <v>2.1836176086193362</v>
      </c>
      <c r="AF582">
        <v>1</v>
      </c>
    </row>
    <row r="583" spans="27:32" x14ac:dyDescent="0.3">
      <c r="AA583" s="3">
        <v>45521.42</v>
      </c>
      <c r="AB583">
        <v>1E-4</v>
      </c>
      <c r="AC583">
        <v>7</v>
      </c>
      <c r="AD583" s="5">
        <v>5.1749944400141459</v>
      </c>
      <c r="AE583" s="5">
        <v>2.2249878087217385</v>
      </c>
      <c r="AF583">
        <v>1</v>
      </c>
    </row>
    <row r="584" spans="27:32" x14ac:dyDescent="0.3">
      <c r="AA584" s="3">
        <v>30418</v>
      </c>
      <c r="AB584">
        <v>1E-4</v>
      </c>
      <c r="AC584">
        <v>7</v>
      </c>
      <c r="AD584" s="5">
        <v>4.9193097214636508</v>
      </c>
      <c r="AE584" s="5">
        <v>2.2513845139925341</v>
      </c>
      <c r="AF584">
        <v>1</v>
      </c>
    </row>
    <row r="585" spans="27:32" x14ac:dyDescent="0.3">
      <c r="AA585" s="3">
        <v>34162.93</v>
      </c>
      <c r="AB585">
        <v>1E-4</v>
      </c>
      <c r="AC585">
        <v>7</v>
      </c>
      <c r="AD585" s="5">
        <v>5.0791551310064857</v>
      </c>
      <c r="AE585" s="5">
        <v>2.1273384079387232</v>
      </c>
      <c r="AF585">
        <v>1</v>
      </c>
    </row>
    <row r="586" spans="27:32" x14ac:dyDescent="0.3">
      <c r="AA586" s="3">
        <v>39592.639999999999</v>
      </c>
      <c r="AB586">
        <v>1E-4</v>
      </c>
      <c r="AC586">
        <v>7</v>
      </c>
      <c r="AD586" s="5">
        <v>5.0559824024712654</v>
      </c>
      <c r="AE586" s="5">
        <v>2.1824233482721747</v>
      </c>
      <c r="AF586">
        <v>1</v>
      </c>
    </row>
    <row r="587" spans="27:32" x14ac:dyDescent="0.3">
      <c r="AA587" s="3">
        <v>24763.599999999999</v>
      </c>
      <c r="AB587">
        <v>1E-4</v>
      </c>
      <c r="AC587">
        <v>8</v>
      </c>
      <c r="AD587" s="5">
        <v>5.0508254205609955</v>
      </c>
      <c r="AE587" s="5">
        <v>2.1587203449080934</v>
      </c>
      <c r="AF587">
        <v>1</v>
      </c>
    </row>
    <row r="588" spans="27:32" x14ac:dyDescent="0.3">
      <c r="AA588" s="3">
        <v>28295.09</v>
      </c>
      <c r="AB588">
        <v>1E-4</v>
      </c>
      <c r="AC588">
        <v>7</v>
      </c>
      <c r="AD588" s="5">
        <v>5.1849958311811619</v>
      </c>
      <c r="AE588" s="5">
        <v>2.2313728931415602</v>
      </c>
      <c r="AF588">
        <v>1</v>
      </c>
    </row>
    <row r="589" spans="27:32" x14ac:dyDescent="0.3">
      <c r="AA589" s="3">
        <v>18687.21</v>
      </c>
      <c r="AB589">
        <v>1E-4</v>
      </c>
      <c r="AC589">
        <v>8</v>
      </c>
      <c r="AD589" s="5">
        <v>4.8907221809495738</v>
      </c>
      <c r="AE589" s="5">
        <v>2.1782974212808264</v>
      </c>
      <c r="AF589">
        <v>1</v>
      </c>
    </row>
    <row r="590" spans="27:32" x14ac:dyDescent="0.3">
      <c r="AA590" s="3">
        <v>-26.44</v>
      </c>
      <c r="AB590">
        <v>1E-4</v>
      </c>
      <c r="AC590">
        <v>9</v>
      </c>
      <c r="AD590" s="5">
        <v>4.9409765311198885</v>
      </c>
      <c r="AE590" s="5">
        <v>2.1488085373263792</v>
      </c>
      <c r="AF590">
        <v>1</v>
      </c>
    </row>
    <row r="591" spans="27:32" x14ac:dyDescent="0.3">
      <c r="AA591" s="3">
        <v>6615.29</v>
      </c>
      <c r="AB591">
        <v>1E-4</v>
      </c>
      <c r="AC591">
        <v>8</v>
      </c>
      <c r="AD591" s="5">
        <v>5.1068671901754987</v>
      </c>
      <c r="AE591" s="5">
        <v>2.2934916482440899</v>
      </c>
      <c r="AF591">
        <v>1</v>
      </c>
    </row>
    <row r="592" spans="27:32" x14ac:dyDescent="0.3">
      <c r="AA592" s="3">
        <v>19365.62</v>
      </c>
      <c r="AB592">
        <v>1E-4</v>
      </c>
      <c r="AC592">
        <v>8</v>
      </c>
      <c r="AD592" s="5">
        <v>5.0740582855770606</v>
      </c>
      <c r="AE592" s="5">
        <v>2.291076973008674</v>
      </c>
      <c r="AF592">
        <v>1</v>
      </c>
    </row>
    <row r="593" spans="27:32" x14ac:dyDescent="0.3">
      <c r="AA593" s="3">
        <v>26425.88</v>
      </c>
      <c r="AB593">
        <v>1E-4</v>
      </c>
      <c r="AC593">
        <v>8</v>
      </c>
      <c r="AD593" s="5">
        <v>5.1298116970205134</v>
      </c>
      <c r="AE593" s="5">
        <v>2.353259361464819</v>
      </c>
      <c r="AF593">
        <v>1</v>
      </c>
    </row>
    <row r="594" spans="27:32" x14ac:dyDescent="0.3">
      <c r="AA594" s="3">
        <v>4540.3500000000004</v>
      </c>
      <c r="AB594">
        <v>1E-4</v>
      </c>
      <c r="AC594">
        <v>8</v>
      </c>
      <c r="AD594" s="5">
        <v>5.0377417497517634</v>
      </c>
      <c r="AE594" s="5">
        <v>2.2537078776041652</v>
      </c>
      <c r="AF594">
        <v>1</v>
      </c>
    </row>
    <row r="595" spans="27:32" x14ac:dyDescent="0.3">
      <c r="AA595" s="3">
        <v>24390.240000000002</v>
      </c>
      <c r="AB595">
        <v>1E-4</v>
      </c>
      <c r="AC595">
        <v>8</v>
      </c>
      <c r="AD595" s="5">
        <v>5.0651139956829816</v>
      </c>
      <c r="AE595" s="5">
        <v>2.2606175868520708</v>
      </c>
      <c r="AF595">
        <v>1</v>
      </c>
    </row>
    <row r="596" spans="27:32" x14ac:dyDescent="0.3">
      <c r="AA596" s="3">
        <v>3553.38</v>
      </c>
      <c r="AB596">
        <v>1E-4</v>
      </c>
      <c r="AC596">
        <v>8</v>
      </c>
      <c r="AD596" s="5">
        <v>5.0831337434405555</v>
      </c>
      <c r="AE596" s="5">
        <v>2.2534949297720805</v>
      </c>
      <c r="AF596">
        <v>1</v>
      </c>
    </row>
    <row r="597" spans="27:32" x14ac:dyDescent="0.3">
      <c r="AA597" s="3">
        <v>20345.650000000001</v>
      </c>
      <c r="AB597">
        <v>1E-4</v>
      </c>
      <c r="AC597">
        <v>8</v>
      </c>
      <c r="AD597" s="5">
        <v>4.9908106199479123</v>
      </c>
      <c r="AE597" s="5">
        <v>2.2350125362548736</v>
      </c>
      <c r="AF597">
        <v>1</v>
      </c>
    </row>
    <row r="598" spans="27:32" x14ac:dyDescent="0.3">
      <c r="AA598" s="3">
        <v>21644.91</v>
      </c>
      <c r="AB598">
        <v>1E-4</v>
      </c>
      <c r="AC598">
        <v>8</v>
      </c>
      <c r="AD598" s="5">
        <v>4.9069788258222946</v>
      </c>
      <c r="AE598" s="5">
        <v>2.209734779850197</v>
      </c>
      <c r="AF598">
        <v>1</v>
      </c>
    </row>
    <row r="599" spans="27:32" x14ac:dyDescent="0.3">
      <c r="AA599" s="3">
        <v>39101.379999999997</v>
      </c>
      <c r="AB599">
        <v>1E-4</v>
      </c>
      <c r="AC599">
        <v>7</v>
      </c>
      <c r="AD599" s="5">
        <v>5.1222449846915952</v>
      </c>
      <c r="AE599" s="5">
        <v>2.2127857128903101</v>
      </c>
      <c r="AF599">
        <v>1</v>
      </c>
    </row>
    <row r="600" spans="27:32" x14ac:dyDescent="0.3">
      <c r="AA600" s="3">
        <v>22480.47</v>
      </c>
      <c r="AB600">
        <v>1E-4</v>
      </c>
      <c r="AC600">
        <v>8</v>
      </c>
      <c r="AD600" s="5">
        <v>4.9608356687863893</v>
      </c>
      <c r="AE600" s="5">
        <v>2.2229464262768603</v>
      </c>
      <c r="AF600">
        <v>1</v>
      </c>
    </row>
    <row r="601" spans="27:32" x14ac:dyDescent="0.3">
      <c r="AA601" s="3">
        <v>35393.96</v>
      </c>
      <c r="AB601">
        <v>1E-4</v>
      </c>
      <c r="AC601">
        <v>7</v>
      </c>
      <c r="AD601" s="5">
        <v>4.9846337559443308</v>
      </c>
      <c r="AE601" s="5">
        <v>2.2706000759302305</v>
      </c>
      <c r="AF601">
        <v>1</v>
      </c>
    </row>
    <row r="602" spans="27:32" x14ac:dyDescent="0.3">
      <c r="AA602" s="3">
        <v>20208.650000000001</v>
      </c>
      <c r="AB602">
        <v>1E-4</v>
      </c>
      <c r="AC602">
        <v>8</v>
      </c>
      <c r="AD602" s="5">
        <v>4.9824054051086453</v>
      </c>
      <c r="AE602" s="5">
        <v>2.1246727274357733</v>
      </c>
      <c r="AF602">
        <v>1</v>
      </c>
    </row>
    <row r="603" spans="27:32" x14ac:dyDescent="0.3">
      <c r="AA603" s="3">
        <v>42214.720000000001</v>
      </c>
      <c r="AB603">
        <v>1E-4</v>
      </c>
      <c r="AC603">
        <v>7</v>
      </c>
      <c r="AD603" s="5">
        <v>5.1199509312549489</v>
      </c>
      <c r="AE603" s="5">
        <v>2.259044972056607</v>
      </c>
      <c r="AF603">
        <v>1</v>
      </c>
    </row>
    <row r="604" spans="27:32" x14ac:dyDescent="0.3">
      <c r="AA604" s="3">
        <v>16616.18</v>
      </c>
      <c r="AB604">
        <v>1E-4</v>
      </c>
      <c r="AC604">
        <v>8</v>
      </c>
      <c r="AD604" s="5">
        <v>5.0143100912990866</v>
      </c>
      <c r="AE604" s="5">
        <v>2.2580746633807793</v>
      </c>
      <c r="AF604">
        <v>1</v>
      </c>
    </row>
    <row r="605" spans="27:32" x14ac:dyDescent="0.3">
      <c r="AA605" s="3">
        <v>-2886.21</v>
      </c>
      <c r="AB605">
        <v>1E-4</v>
      </c>
      <c r="AC605">
        <v>9</v>
      </c>
      <c r="AD605" s="5">
        <v>4.9048458005198698</v>
      </c>
      <c r="AE605" s="5">
        <v>2.2553007406137504</v>
      </c>
      <c r="AF605">
        <v>1</v>
      </c>
    </row>
    <row r="606" spans="27:32" x14ac:dyDescent="0.3">
      <c r="AA606" s="3">
        <v>-16172.17</v>
      </c>
      <c r="AB606">
        <v>1E-4</v>
      </c>
      <c r="AC606">
        <v>9</v>
      </c>
      <c r="AD606" s="5">
        <v>4.7931079716688334</v>
      </c>
      <c r="AE606" s="5">
        <v>2.2055877944153437</v>
      </c>
      <c r="AF606">
        <v>1</v>
      </c>
    </row>
    <row r="607" spans="27:32" x14ac:dyDescent="0.3">
      <c r="AA607" s="3">
        <v>20430.34</v>
      </c>
      <c r="AB607">
        <v>1E-4</v>
      </c>
      <c r="AC607">
        <v>8</v>
      </c>
      <c r="AD607" s="5">
        <v>4.9383204020586104</v>
      </c>
      <c r="AE607" s="5">
        <v>2.2228946225150743</v>
      </c>
      <c r="AF607">
        <v>1</v>
      </c>
    </row>
    <row r="608" spans="27:32" x14ac:dyDescent="0.3">
      <c r="AA608" s="3">
        <v>9046.35</v>
      </c>
      <c r="AB608">
        <v>1E-4</v>
      </c>
      <c r="AC608">
        <v>8</v>
      </c>
      <c r="AD608" s="5">
        <v>5.0052151389090325</v>
      </c>
      <c r="AE608" s="5">
        <v>2.2401792418241548</v>
      </c>
      <c r="AF608">
        <v>1</v>
      </c>
    </row>
    <row r="609" spans="27:32" x14ac:dyDescent="0.3">
      <c r="AA609" s="3">
        <v>7084.42</v>
      </c>
      <c r="AB609">
        <v>1E-4</v>
      </c>
      <c r="AC609">
        <v>8</v>
      </c>
      <c r="AD609" s="5">
        <v>4.9838727579463509</v>
      </c>
      <c r="AE609" s="5">
        <v>2.2217081273134482</v>
      </c>
      <c r="AF609">
        <v>1</v>
      </c>
    </row>
    <row r="610" spans="27:32" x14ac:dyDescent="0.3">
      <c r="AA610" s="3">
        <v>32587.72</v>
      </c>
      <c r="AB610">
        <v>1E-4</v>
      </c>
      <c r="AC610">
        <v>7</v>
      </c>
      <c r="AD610" s="5">
        <v>5.0174795340453135</v>
      </c>
      <c r="AE610" s="5">
        <v>2.1293529569725749</v>
      </c>
      <c r="AF610">
        <v>1</v>
      </c>
    </row>
    <row r="611" spans="27:32" x14ac:dyDescent="0.3">
      <c r="AA611" s="3">
        <v>-3349.22</v>
      </c>
      <c r="AB611">
        <v>1E-4</v>
      </c>
      <c r="AC611">
        <v>9</v>
      </c>
      <c r="AD611" s="5">
        <v>4.8895568757220138</v>
      </c>
      <c r="AE611" s="5">
        <v>2.2141595693370681</v>
      </c>
      <c r="AF611">
        <v>1</v>
      </c>
    </row>
    <row r="612" spans="27:32" x14ac:dyDescent="0.3">
      <c r="AA612" s="3">
        <v>-12000.4</v>
      </c>
      <c r="AB612">
        <v>1E-4</v>
      </c>
      <c r="AC612">
        <v>9</v>
      </c>
      <c r="AD612" s="5">
        <v>4.8562584029237588</v>
      </c>
      <c r="AE612" s="5">
        <v>2.2435264636113339</v>
      </c>
      <c r="AF612">
        <v>1</v>
      </c>
    </row>
    <row r="613" spans="27:32" x14ac:dyDescent="0.3">
      <c r="AA613" s="3">
        <v>1360.29</v>
      </c>
      <c r="AB613">
        <v>1E-4</v>
      </c>
      <c r="AC613">
        <v>8</v>
      </c>
      <c r="AD613" s="5">
        <v>4.8532485314937466</v>
      </c>
      <c r="AE613" s="5">
        <v>2.1737936203171406</v>
      </c>
      <c r="AF613">
        <v>1</v>
      </c>
    </row>
    <row r="614" spans="27:32" x14ac:dyDescent="0.3">
      <c r="AA614" s="3">
        <v>35460.69</v>
      </c>
      <c r="AB614">
        <v>1E-4</v>
      </c>
      <c r="AC614">
        <v>7</v>
      </c>
      <c r="AD614" s="5">
        <v>5.106668282042742</v>
      </c>
      <c r="AE614" s="5">
        <v>2.131814595678108</v>
      </c>
      <c r="AF614">
        <v>1</v>
      </c>
    </row>
    <row r="615" spans="27:32" x14ac:dyDescent="0.3">
      <c r="AA615" s="3">
        <v>7537.73</v>
      </c>
      <c r="AB615">
        <v>1E-4</v>
      </c>
      <c r="AC615">
        <v>8</v>
      </c>
      <c r="AD615" s="5">
        <v>5.0877667393798038</v>
      </c>
      <c r="AE615" s="5">
        <v>2.2331306064821517</v>
      </c>
      <c r="AF615">
        <v>1</v>
      </c>
    </row>
    <row r="616" spans="27:32" x14ac:dyDescent="0.3">
      <c r="AA616" s="3">
        <v>37173.49</v>
      </c>
      <c r="AB616">
        <v>1E-4</v>
      </c>
      <c r="AC616">
        <v>7</v>
      </c>
      <c r="AD616" s="5">
        <v>5.082820665151079</v>
      </c>
      <c r="AE616" s="5">
        <v>2.2098844720273187</v>
      </c>
      <c r="AF616">
        <v>1</v>
      </c>
    </row>
    <row r="617" spans="27:32" x14ac:dyDescent="0.3">
      <c r="AA617" s="3">
        <v>7267.68</v>
      </c>
      <c r="AB617">
        <v>1E-4</v>
      </c>
      <c r="AC617">
        <v>8</v>
      </c>
      <c r="AD617" s="5">
        <v>4.9889168940315427</v>
      </c>
      <c r="AE617" s="5">
        <v>2.2447939022113608</v>
      </c>
      <c r="AF617">
        <v>1</v>
      </c>
    </row>
    <row r="618" spans="27:32" x14ac:dyDescent="0.3">
      <c r="AA618" s="3">
        <v>-1399.72</v>
      </c>
      <c r="AB618">
        <v>1E-4</v>
      </c>
      <c r="AC618">
        <v>9</v>
      </c>
      <c r="AD618" s="5">
        <v>4.9658418698098945</v>
      </c>
      <c r="AE618" s="5">
        <v>2.2437596700621953</v>
      </c>
      <c r="AF618">
        <v>1</v>
      </c>
    </row>
    <row r="619" spans="27:32" x14ac:dyDescent="0.3">
      <c r="AA619" s="3">
        <v>19802.009999999998</v>
      </c>
      <c r="AB619">
        <v>1E-4</v>
      </c>
      <c r="AC619">
        <v>8</v>
      </c>
      <c r="AD619" s="5">
        <v>5.0776680001951</v>
      </c>
      <c r="AE619" s="5">
        <v>2.2163031872029864</v>
      </c>
      <c r="AF619">
        <v>1</v>
      </c>
    </row>
    <row r="620" spans="27:32" x14ac:dyDescent="0.3">
      <c r="AA620" s="3">
        <v>14336.62</v>
      </c>
      <c r="AB620">
        <v>1E-4</v>
      </c>
      <c r="AC620">
        <v>8</v>
      </c>
      <c r="AD620" s="5">
        <v>5.0907440443999485</v>
      </c>
      <c r="AE620" s="5">
        <v>2.1796018962347068</v>
      </c>
      <c r="AF620">
        <v>1</v>
      </c>
    </row>
    <row r="621" spans="27:32" x14ac:dyDescent="0.3">
      <c r="AA621" s="3">
        <v>28750.61</v>
      </c>
      <c r="AB621">
        <v>1E-4</v>
      </c>
      <c r="AC621">
        <v>8</v>
      </c>
      <c r="AD621" s="5">
        <v>5.0354170629910717</v>
      </c>
      <c r="AE621" s="5">
        <v>2.0977415634706023</v>
      </c>
      <c r="AF621">
        <v>1</v>
      </c>
    </row>
    <row r="622" spans="27:32" x14ac:dyDescent="0.3">
      <c r="AA622" s="3">
        <v>12605.26</v>
      </c>
      <c r="AB622">
        <v>1E-4</v>
      </c>
      <c r="AC622">
        <v>8</v>
      </c>
      <c r="AD622" s="5">
        <v>5.0610345730758777</v>
      </c>
      <c r="AE622" s="5">
        <v>2.1825016588594974</v>
      </c>
      <c r="AF622">
        <v>1</v>
      </c>
    </row>
    <row r="623" spans="27:32" x14ac:dyDescent="0.3">
      <c r="AA623" s="3">
        <v>36089.39</v>
      </c>
      <c r="AB623">
        <v>1E-4</v>
      </c>
      <c r="AC623">
        <v>7</v>
      </c>
      <c r="AD623" s="5">
        <v>5.1074370262555338</v>
      </c>
      <c r="AE623" s="5">
        <v>2.1263615631538926</v>
      </c>
      <c r="AF623">
        <v>1</v>
      </c>
    </row>
    <row r="624" spans="27:32" x14ac:dyDescent="0.3">
      <c r="AA624" s="3">
        <v>-15946.52</v>
      </c>
      <c r="AB624">
        <v>1E-4</v>
      </c>
      <c r="AC624">
        <v>9</v>
      </c>
      <c r="AD624" s="5">
        <v>4.9108291332354339</v>
      </c>
      <c r="AE624" s="5">
        <v>2.1658934989404952</v>
      </c>
      <c r="AF624">
        <v>1</v>
      </c>
    </row>
    <row r="625" spans="27:32" x14ac:dyDescent="0.3">
      <c r="AA625" s="3">
        <v>17190.45</v>
      </c>
      <c r="AB625">
        <v>1E-4</v>
      </c>
      <c r="AC625">
        <v>8</v>
      </c>
      <c r="AD625" s="5">
        <v>5.0256326539047382</v>
      </c>
      <c r="AE625" s="5">
        <v>2.2018740548460198</v>
      </c>
      <c r="AF625">
        <v>1</v>
      </c>
    </row>
    <row r="626" spans="27:32" x14ac:dyDescent="0.3">
      <c r="AA626" s="3">
        <v>32730.61</v>
      </c>
      <c r="AB626">
        <v>1E-4</v>
      </c>
      <c r="AC626">
        <v>7</v>
      </c>
      <c r="AD626" s="5">
        <v>5.058611633134503</v>
      </c>
      <c r="AE626" s="5">
        <v>2.1806863206419012</v>
      </c>
      <c r="AF626">
        <v>1</v>
      </c>
    </row>
    <row r="627" spans="27:32" x14ac:dyDescent="0.3">
      <c r="AA627" s="3">
        <v>16842.07</v>
      </c>
      <c r="AB627">
        <v>1E-4</v>
      </c>
      <c r="AC627">
        <v>8</v>
      </c>
      <c r="AD627" s="5">
        <v>4.9419107092504477</v>
      </c>
      <c r="AE627" s="5">
        <v>2.2015881459073436</v>
      </c>
      <c r="AF627">
        <v>1</v>
      </c>
    </row>
    <row r="628" spans="27:32" x14ac:dyDescent="0.3">
      <c r="AA628" s="3">
        <v>26101.02</v>
      </c>
      <c r="AB628">
        <v>1E-4</v>
      </c>
      <c r="AC628">
        <v>8</v>
      </c>
      <c r="AD628" s="5">
        <v>5.0342228152413622</v>
      </c>
      <c r="AE628" s="5">
        <v>2.1700736749387741</v>
      </c>
      <c r="AF628">
        <v>1</v>
      </c>
    </row>
    <row r="629" spans="27:32" x14ac:dyDescent="0.3">
      <c r="AA629" s="3">
        <v>16768.87</v>
      </c>
      <c r="AB629">
        <v>1E-4</v>
      </c>
      <c r="AC629">
        <v>8</v>
      </c>
      <c r="AD629" s="5">
        <v>5.0537866100180739</v>
      </c>
      <c r="AE629" s="5">
        <v>2.1582940387886707</v>
      </c>
      <c r="AF629">
        <v>1</v>
      </c>
    </row>
    <row r="630" spans="27:32" x14ac:dyDescent="0.3">
      <c r="AA630" s="3">
        <v>27820.41</v>
      </c>
      <c r="AB630">
        <v>1E-4</v>
      </c>
      <c r="AC630">
        <v>8</v>
      </c>
      <c r="AD630" s="5">
        <v>5.0586065991323146</v>
      </c>
      <c r="AE630" s="5">
        <v>2.1787887923002942</v>
      </c>
      <c r="AF630">
        <v>1</v>
      </c>
    </row>
    <row r="631" spans="27:32" x14ac:dyDescent="0.3">
      <c r="AA631" s="3">
        <v>21255.02</v>
      </c>
      <c r="AB631">
        <v>1E-4</v>
      </c>
      <c r="AC631">
        <v>8</v>
      </c>
      <c r="AD631" s="5">
        <v>4.991246850292967</v>
      </c>
      <c r="AE631" s="5">
        <v>2.1281401083983567</v>
      </c>
      <c r="AF631">
        <v>1</v>
      </c>
    </row>
    <row r="632" spans="27:32" x14ac:dyDescent="0.3">
      <c r="AA632" s="3">
        <v>12080.44</v>
      </c>
      <c r="AB632">
        <v>1E-4</v>
      </c>
      <c r="AC632">
        <v>8</v>
      </c>
      <c r="AD632" s="5">
        <v>4.9791379747958127</v>
      </c>
      <c r="AE632" s="5">
        <v>2.2202169160955032</v>
      </c>
      <c r="AF632">
        <v>1</v>
      </c>
    </row>
    <row r="633" spans="27:32" x14ac:dyDescent="0.3">
      <c r="AA633" s="3">
        <v>17188.71</v>
      </c>
      <c r="AB633">
        <v>1E-4</v>
      </c>
      <c r="AC633">
        <v>8</v>
      </c>
      <c r="AD633" s="5">
        <v>5.005012231941862</v>
      </c>
      <c r="AE633" s="5">
        <v>2.174912630012122</v>
      </c>
      <c r="AF633">
        <v>1</v>
      </c>
    </row>
    <row r="634" spans="27:32" x14ac:dyDescent="0.3">
      <c r="AA634" s="3">
        <v>22424.22</v>
      </c>
      <c r="AB634">
        <v>1E-4</v>
      </c>
      <c r="AC634">
        <v>8</v>
      </c>
      <c r="AD634" s="5">
        <v>5.0222316739491601</v>
      </c>
      <c r="AE634" s="5">
        <v>2.217740095103967</v>
      </c>
      <c r="AF634">
        <v>1</v>
      </c>
    </row>
    <row r="635" spans="27:32" x14ac:dyDescent="0.3">
      <c r="AA635" s="3">
        <v>3874.7</v>
      </c>
      <c r="AB635">
        <v>1E-4</v>
      </c>
      <c r="AC635">
        <v>8</v>
      </c>
      <c r="AD635" s="5">
        <v>4.939931787283828</v>
      </c>
      <c r="AE635" s="5">
        <v>2.256298595538587</v>
      </c>
      <c r="AF635">
        <v>1</v>
      </c>
    </row>
    <row r="636" spans="27:32" x14ac:dyDescent="0.3">
      <c r="AA636" s="3">
        <v>10913.53</v>
      </c>
      <c r="AB636">
        <v>1E-4</v>
      </c>
      <c r="AC636">
        <v>8</v>
      </c>
      <c r="AD636" s="5">
        <v>4.8852415601900425</v>
      </c>
      <c r="AE636" s="5">
        <v>2.2976568945162588</v>
      </c>
      <c r="AF636">
        <v>1</v>
      </c>
    </row>
    <row r="637" spans="27:32" x14ac:dyDescent="0.3">
      <c r="AA637" s="3">
        <v>6806.22</v>
      </c>
      <c r="AB637">
        <v>1E-4</v>
      </c>
      <c r="AC637">
        <v>8</v>
      </c>
      <c r="AD637" s="5">
        <v>4.9481401651320143</v>
      </c>
      <c r="AE637" s="5">
        <v>2.1325093724255657</v>
      </c>
      <c r="AF637">
        <v>1</v>
      </c>
    </row>
    <row r="638" spans="27:32" x14ac:dyDescent="0.3">
      <c r="AA638" s="3">
        <v>10937.34</v>
      </c>
      <c r="AB638">
        <v>1E-4</v>
      </c>
      <c r="AC638">
        <v>8</v>
      </c>
      <c r="AD638" s="5">
        <v>4.9895652057821165</v>
      </c>
      <c r="AE638" s="5">
        <v>2.2379685492115753</v>
      </c>
      <c r="AF638">
        <v>1</v>
      </c>
    </row>
    <row r="639" spans="27:32" x14ac:dyDescent="0.3">
      <c r="AA639" s="3">
        <v>5932.03</v>
      </c>
      <c r="AB639">
        <v>1E-4</v>
      </c>
      <c r="AC639">
        <v>8</v>
      </c>
      <c r="AD639" s="5">
        <v>4.940818458195376</v>
      </c>
      <c r="AE639" s="5">
        <v>2.3095328887566544</v>
      </c>
      <c r="AF639">
        <v>1</v>
      </c>
    </row>
    <row r="640" spans="27:32" x14ac:dyDescent="0.3">
      <c r="AA640" s="3">
        <v>16647.310000000001</v>
      </c>
      <c r="AB640">
        <v>1E-4</v>
      </c>
      <c r="AC640">
        <v>8</v>
      </c>
      <c r="AD640" s="5">
        <v>5.1279323552455214</v>
      </c>
      <c r="AE640" s="5">
        <v>2.2019589234161838</v>
      </c>
      <c r="AF640">
        <v>1</v>
      </c>
    </row>
    <row r="641" spans="27:32" x14ac:dyDescent="0.3">
      <c r="AA641" s="3">
        <v>-1519.21</v>
      </c>
      <c r="AB641">
        <v>1E-4</v>
      </c>
      <c r="AC641">
        <v>9</v>
      </c>
      <c r="AD641" s="5">
        <v>5.0650738492964091</v>
      </c>
      <c r="AE641" s="5">
        <v>2.2558577309581902</v>
      </c>
      <c r="AF641">
        <v>1</v>
      </c>
    </row>
    <row r="642" spans="27:32" x14ac:dyDescent="0.3">
      <c r="AA642" s="3">
        <v>7249.7</v>
      </c>
      <c r="AB642">
        <v>1E-4</v>
      </c>
      <c r="AC642">
        <v>8</v>
      </c>
      <c r="AD642" s="5">
        <v>4.8954306347026497</v>
      </c>
      <c r="AE642" s="5">
        <v>2.1574866759359645</v>
      </c>
      <c r="AF642">
        <v>1</v>
      </c>
    </row>
    <row r="643" spans="27:32" x14ac:dyDescent="0.3">
      <c r="AA643" s="3">
        <v>-934.51</v>
      </c>
      <c r="AB643">
        <v>1E-4</v>
      </c>
      <c r="AC643">
        <v>9</v>
      </c>
      <c r="AD643" s="5">
        <v>4.9227397103952324</v>
      </c>
      <c r="AE643" s="5">
        <v>2.2097462453172838</v>
      </c>
      <c r="AF643">
        <v>1</v>
      </c>
    </row>
    <row r="644" spans="27:32" x14ac:dyDescent="0.3">
      <c r="AA644" s="3">
        <v>29437.08</v>
      </c>
      <c r="AB644">
        <v>1E-4</v>
      </c>
      <c r="AC644">
        <v>8</v>
      </c>
      <c r="AD644" s="5">
        <v>4.8948547513890546</v>
      </c>
      <c r="AE644" s="5">
        <v>2.2317522100232452</v>
      </c>
      <c r="AF644">
        <v>1</v>
      </c>
    </row>
    <row r="645" spans="27:32" x14ac:dyDescent="0.3">
      <c r="AA645" s="3">
        <v>22741.59</v>
      </c>
      <c r="AB645">
        <v>1E-4</v>
      </c>
      <c r="AC645">
        <v>8</v>
      </c>
      <c r="AD645" s="5">
        <v>4.9061852749232395</v>
      </c>
      <c r="AE645" s="5">
        <v>2.1626335231963054</v>
      </c>
      <c r="AF645">
        <v>1</v>
      </c>
    </row>
    <row r="646" spans="27:32" x14ac:dyDescent="0.3">
      <c r="AA646" s="3">
        <v>-5108.38</v>
      </c>
      <c r="AB646">
        <v>1E-4</v>
      </c>
      <c r="AC646">
        <v>9</v>
      </c>
      <c r="AD646" s="5">
        <v>5.0537669268255687</v>
      </c>
      <c r="AE646" s="5">
        <v>2.2268220239079417</v>
      </c>
      <c r="AF646">
        <v>1</v>
      </c>
    </row>
    <row r="647" spans="27:32" x14ac:dyDescent="0.3">
      <c r="AA647" s="3">
        <v>16480.07</v>
      </c>
      <c r="AB647">
        <v>1E-4</v>
      </c>
      <c r="AC647">
        <v>8</v>
      </c>
      <c r="AD647" s="5">
        <v>5.0743014367401571</v>
      </c>
      <c r="AE647" s="5">
        <v>2.2308329171267873</v>
      </c>
      <c r="AF647">
        <v>1</v>
      </c>
    </row>
    <row r="648" spans="27:32" x14ac:dyDescent="0.3">
      <c r="AA648" s="3">
        <v>66687.94</v>
      </c>
      <c r="AB648">
        <v>1E-4</v>
      </c>
      <c r="AC648">
        <v>6</v>
      </c>
      <c r="AD648" s="5">
        <v>5.0155565178890891</v>
      </c>
      <c r="AE648" s="5">
        <v>2.1404957893118763</v>
      </c>
      <c r="AF648">
        <v>1</v>
      </c>
    </row>
    <row r="649" spans="27:32" x14ac:dyDescent="0.3">
      <c r="AA649" s="3">
        <v>1306.55</v>
      </c>
      <c r="AB649">
        <v>1E-4</v>
      </c>
      <c r="AC649">
        <v>8</v>
      </c>
      <c r="AD649" s="5">
        <v>4.9350885369736446</v>
      </c>
      <c r="AE649" s="5">
        <v>2.238168871272106</v>
      </c>
      <c r="AF649">
        <v>1</v>
      </c>
    </row>
    <row r="650" spans="27:32" x14ac:dyDescent="0.3">
      <c r="AA650" s="3">
        <v>2528.67</v>
      </c>
      <c r="AB650">
        <v>1E-4</v>
      </c>
      <c r="AC650">
        <v>8</v>
      </c>
      <c r="AD650" s="5">
        <v>4.9623003055490242</v>
      </c>
      <c r="AE650" s="5">
        <v>2.1735850663402032</v>
      </c>
      <c r="AF650">
        <v>1</v>
      </c>
    </row>
    <row r="651" spans="27:32" x14ac:dyDescent="0.3">
      <c r="AA651" s="3">
        <v>17231.02</v>
      </c>
      <c r="AB651">
        <v>1E-4</v>
      </c>
      <c r="AC651">
        <v>8</v>
      </c>
      <c r="AD651" s="5">
        <v>5.0700071255180807</v>
      </c>
      <c r="AE651" s="5">
        <v>2.2307752927073001</v>
      </c>
      <c r="AF651">
        <v>1</v>
      </c>
    </row>
    <row r="652" spans="27:32" x14ac:dyDescent="0.3">
      <c r="AA652" s="3">
        <v>1629.14</v>
      </c>
      <c r="AB652">
        <v>1E-4</v>
      </c>
      <c r="AC652">
        <v>8</v>
      </c>
      <c r="AD652" s="5">
        <v>4.8031452056210675</v>
      </c>
      <c r="AE652" s="5">
        <v>2.1783596654512767</v>
      </c>
      <c r="AF652">
        <v>1</v>
      </c>
    </row>
    <row r="653" spans="27:32" x14ac:dyDescent="0.3">
      <c r="AA653" s="3">
        <v>8607.32</v>
      </c>
      <c r="AB653">
        <v>1E-4</v>
      </c>
      <c r="AC653">
        <v>8</v>
      </c>
      <c r="AD653" s="5">
        <v>5.0257251255519941</v>
      </c>
      <c r="AE653" s="5">
        <v>2.2166631836153687</v>
      </c>
      <c r="AF653">
        <v>1</v>
      </c>
    </row>
    <row r="654" spans="27:32" x14ac:dyDescent="0.3">
      <c r="AA654" s="3">
        <v>49629.97</v>
      </c>
      <c r="AB654">
        <v>1E-4</v>
      </c>
      <c r="AC654">
        <v>6</v>
      </c>
      <c r="AD654" s="5">
        <v>5.0924208623034817</v>
      </c>
      <c r="AE654" s="5">
        <v>2.0498390562025541</v>
      </c>
      <c r="AF654">
        <v>1</v>
      </c>
    </row>
    <row r="655" spans="27:32" x14ac:dyDescent="0.3">
      <c r="AA655" s="3">
        <v>5578.74</v>
      </c>
      <c r="AB655">
        <v>1E-4</v>
      </c>
      <c r="AC655">
        <v>8</v>
      </c>
      <c r="AD655" s="5">
        <v>5.0103633768075655</v>
      </c>
      <c r="AE655" s="5">
        <v>2.1965554547978745</v>
      </c>
      <c r="AF655">
        <v>1</v>
      </c>
    </row>
    <row r="656" spans="27:32" x14ac:dyDescent="0.3">
      <c r="AA656" s="3">
        <v>4260.4315138691618</v>
      </c>
      <c r="AB656">
        <v>1E-4</v>
      </c>
      <c r="AC656">
        <v>8</v>
      </c>
      <c r="AD656" s="5">
        <v>5.0194147682813313</v>
      </c>
      <c r="AE656" s="5">
        <v>2.1465787842929016</v>
      </c>
      <c r="AF656">
        <v>0</v>
      </c>
    </row>
    <row r="657" spans="27:32" x14ac:dyDescent="0.3">
      <c r="AA657" s="3">
        <v>21039.55</v>
      </c>
      <c r="AB657">
        <v>1E-4</v>
      </c>
      <c r="AC657">
        <v>8</v>
      </c>
      <c r="AD657" s="5">
        <v>4.9284409237499247</v>
      </c>
      <c r="AE657" s="5">
        <v>2.2129834394058667</v>
      </c>
      <c r="AF657">
        <v>1</v>
      </c>
    </row>
    <row r="658" spans="27:32" x14ac:dyDescent="0.3">
      <c r="AA658" s="3">
        <v>-6343.68</v>
      </c>
      <c r="AB658">
        <v>1E-4</v>
      </c>
      <c r="AC658">
        <v>9</v>
      </c>
      <c r="AD658" s="5">
        <v>4.8129868372770623</v>
      </c>
      <c r="AE658" s="5">
        <v>2.2180179760855507</v>
      </c>
      <c r="AF658">
        <v>1</v>
      </c>
    </row>
    <row r="659" spans="27:32" x14ac:dyDescent="0.3">
      <c r="AA659" s="3">
        <v>25633.51</v>
      </c>
      <c r="AB659">
        <v>1E-4</v>
      </c>
      <c r="AC659">
        <v>8</v>
      </c>
      <c r="AD659" s="5">
        <v>4.868923185496131</v>
      </c>
      <c r="AE659" s="5">
        <v>2.1589135414278036</v>
      </c>
      <c r="AF659">
        <v>1</v>
      </c>
    </row>
    <row r="660" spans="27:32" x14ac:dyDescent="0.3">
      <c r="AA660" s="3">
        <v>11185.43</v>
      </c>
      <c r="AB660">
        <v>1E-4</v>
      </c>
      <c r="AC660">
        <v>8</v>
      </c>
      <c r="AD660" s="5">
        <v>4.8132084444300274</v>
      </c>
      <c r="AE660" s="5">
        <v>2.120471243241925</v>
      </c>
      <c r="AF660">
        <v>1</v>
      </c>
    </row>
    <row r="661" spans="27:32" x14ac:dyDescent="0.3">
      <c r="AA661" s="3">
        <v>37795.79</v>
      </c>
      <c r="AB661">
        <v>1E-4</v>
      </c>
      <c r="AC661">
        <v>7</v>
      </c>
      <c r="AD661" s="5">
        <v>5.1643645010462293</v>
      </c>
      <c r="AE661" s="5">
        <v>2.2096234448225966</v>
      </c>
      <c r="AF661">
        <v>1</v>
      </c>
    </row>
    <row r="662" spans="27:32" x14ac:dyDescent="0.3">
      <c r="AA662" s="3">
        <v>11994.92</v>
      </c>
      <c r="AB662">
        <v>1E-4</v>
      </c>
      <c r="AC662">
        <v>8</v>
      </c>
      <c r="AD662" s="5">
        <v>5.0935843987635465</v>
      </c>
      <c r="AE662" s="5">
        <v>2.2292682553494489</v>
      </c>
      <c r="AF662">
        <v>1</v>
      </c>
    </row>
    <row r="663" spans="27:32" x14ac:dyDescent="0.3">
      <c r="AA663" s="3">
        <v>42947.96</v>
      </c>
      <c r="AB663">
        <v>1E-4</v>
      </c>
      <c r="AC663">
        <v>7</v>
      </c>
      <c r="AD663" s="5">
        <v>4.8810440662639198</v>
      </c>
      <c r="AE663" s="5">
        <v>2.1468554862303884</v>
      </c>
      <c r="AF663">
        <v>1</v>
      </c>
    </row>
    <row r="664" spans="27:32" x14ac:dyDescent="0.3">
      <c r="AA664" s="3">
        <v>25362.13</v>
      </c>
      <c r="AB664">
        <v>1E-4</v>
      </c>
      <c r="AC664">
        <v>8</v>
      </c>
      <c r="AD664" s="5">
        <v>4.9527644838938514</v>
      </c>
      <c r="AE664" s="5">
        <v>2.1321995509919569</v>
      </c>
      <c r="AF664">
        <v>1</v>
      </c>
    </row>
    <row r="665" spans="27:32" x14ac:dyDescent="0.3">
      <c r="AA665" s="3">
        <v>-14020.53</v>
      </c>
      <c r="AB665">
        <v>1E-4</v>
      </c>
      <c r="AC665">
        <v>9</v>
      </c>
      <c r="AD665" s="5">
        <v>5.0826769730258308</v>
      </c>
      <c r="AE665" s="5">
        <v>2.2347507937000297</v>
      </c>
      <c r="AF665">
        <v>1</v>
      </c>
    </row>
    <row r="666" spans="27:32" x14ac:dyDescent="0.3">
      <c r="AA666" s="3">
        <v>16796.34</v>
      </c>
      <c r="AB666">
        <v>1E-4</v>
      </c>
      <c r="AC666">
        <v>8</v>
      </c>
      <c r="AD666" s="5">
        <v>5.0401564233834586</v>
      </c>
      <c r="AE666" s="5">
        <v>2.2096106674282021</v>
      </c>
      <c r="AF666">
        <v>1</v>
      </c>
    </row>
    <row r="667" spans="27:32" x14ac:dyDescent="0.3">
      <c r="AA667" s="3">
        <v>23151.61</v>
      </c>
      <c r="AB667">
        <v>1E-4</v>
      </c>
      <c r="AC667">
        <v>8</v>
      </c>
      <c r="AD667" s="5">
        <v>4.9153751349090191</v>
      </c>
      <c r="AE667" s="5">
        <v>2.2610761182355632</v>
      </c>
      <c r="AF667">
        <v>1</v>
      </c>
    </row>
    <row r="668" spans="27:32" x14ac:dyDescent="0.3">
      <c r="AA668" s="3">
        <v>-12812.93</v>
      </c>
      <c r="AB668">
        <v>1E-4</v>
      </c>
      <c r="AC668">
        <v>9</v>
      </c>
      <c r="AD668" s="5">
        <v>4.8282273662415944</v>
      </c>
      <c r="AE668" s="5">
        <v>2.2744562544126938</v>
      </c>
      <c r="AF668">
        <v>1</v>
      </c>
    </row>
    <row r="669" spans="27:32" x14ac:dyDescent="0.3">
      <c r="AA669" s="3">
        <v>26375.279999999999</v>
      </c>
      <c r="AB669">
        <v>1E-4</v>
      </c>
      <c r="AC669">
        <v>8</v>
      </c>
      <c r="AD669" s="5">
        <v>4.9470722597208194</v>
      </c>
      <c r="AE669" s="5">
        <v>2.2100378137734347</v>
      </c>
      <c r="AF669">
        <v>1</v>
      </c>
    </row>
    <row r="670" spans="27:32" x14ac:dyDescent="0.3">
      <c r="AA670" s="3">
        <v>52512.26</v>
      </c>
      <c r="AB670">
        <v>1E-4</v>
      </c>
      <c r="AC670">
        <v>6</v>
      </c>
      <c r="AD670" s="5">
        <v>5.0358820163888716</v>
      </c>
      <c r="AE670" s="5">
        <v>2.1843813619447583</v>
      </c>
      <c r="AF670">
        <v>1</v>
      </c>
    </row>
    <row r="671" spans="27:32" x14ac:dyDescent="0.3">
      <c r="AA671" s="3">
        <v>-11863.25</v>
      </c>
      <c r="AB671">
        <v>1E-4</v>
      </c>
      <c r="AC671">
        <v>9</v>
      </c>
      <c r="AD671" s="5">
        <v>4.9593584766417171</v>
      </c>
      <c r="AE671" s="5">
        <v>2.2129164492581483</v>
      </c>
      <c r="AF671">
        <v>1</v>
      </c>
    </row>
    <row r="672" spans="27:32" x14ac:dyDescent="0.3">
      <c r="AA672" s="3">
        <v>-5406.26</v>
      </c>
      <c r="AB672">
        <v>1E-4</v>
      </c>
      <c r="AC672">
        <v>9</v>
      </c>
      <c r="AD672" s="5">
        <v>4.876640325772903</v>
      </c>
      <c r="AE672" s="5">
        <v>2.2012241625822941</v>
      </c>
      <c r="AF672">
        <v>1</v>
      </c>
    </row>
    <row r="673" spans="27:32" x14ac:dyDescent="0.3">
      <c r="AA673" s="3">
        <v>-1786.77</v>
      </c>
      <c r="AB673">
        <v>1E-4</v>
      </c>
      <c r="AC673">
        <v>9</v>
      </c>
      <c r="AD673" s="5">
        <v>4.8574134468230907</v>
      </c>
      <c r="AE673" s="5">
        <v>2.1484753179652616</v>
      </c>
      <c r="AF673">
        <v>1</v>
      </c>
    </row>
    <row r="674" spans="27:32" x14ac:dyDescent="0.3">
      <c r="AA674" s="3">
        <v>-448.36</v>
      </c>
      <c r="AB674">
        <v>1E-4</v>
      </c>
      <c r="AC674">
        <v>9</v>
      </c>
      <c r="AD674" s="5">
        <v>4.9123745928620348</v>
      </c>
      <c r="AE674" s="5">
        <v>2.1585150975092811</v>
      </c>
      <c r="AF674">
        <v>1</v>
      </c>
    </row>
    <row r="675" spans="27:32" x14ac:dyDescent="0.3">
      <c r="AA675" s="3">
        <v>-30325.564734402862</v>
      </c>
      <c r="AB675">
        <v>1E-4</v>
      </c>
      <c r="AC675">
        <v>9</v>
      </c>
      <c r="AD675" s="5">
        <v>5.1529444733400833</v>
      </c>
      <c r="AE675" s="5">
        <v>2.1440343149851122</v>
      </c>
      <c r="AF675">
        <v>0</v>
      </c>
    </row>
    <row r="676" spans="27:32" x14ac:dyDescent="0.3">
      <c r="AA676" s="3">
        <v>11656.9</v>
      </c>
      <c r="AB676">
        <v>1E-4</v>
      </c>
      <c r="AC676">
        <v>8</v>
      </c>
      <c r="AD676" s="5">
        <v>4.7626131493517407</v>
      </c>
      <c r="AE676" s="5">
        <v>2.1760471787020856</v>
      </c>
      <c r="AF676">
        <v>1</v>
      </c>
    </row>
    <row r="677" spans="27:32" x14ac:dyDescent="0.3">
      <c r="AA677" s="3">
        <v>-10130.26</v>
      </c>
      <c r="AB677">
        <v>1E-4</v>
      </c>
      <c r="AC677">
        <v>9</v>
      </c>
      <c r="AD677" s="5">
        <v>4.8766779666235909</v>
      </c>
      <c r="AE677" s="5">
        <v>2.1633230765382603</v>
      </c>
      <c r="AF677">
        <v>1</v>
      </c>
    </row>
    <row r="678" spans="27:32" x14ac:dyDescent="0.3">
      <c r="AA678" s="3">
        <v>19835.61</v>
      </c>
      <c r="AB678">
        <v>1E-4</v>
      </c>
      <c r="AC678">
        <v>8</v>
      </c>
      <c r="AD678" s="5">
        <v>4.9469112067171901</v>
      </c>
      <c r="AE678" s="5">
        <v>2.1489366083692394</v>
      </c>
      <c r="AF678">
        <v>1</v>
      </c>
    </row>
    <row r="679" spans="27:32" x14ac:dyDescent="0.3">
      <c r="AA679" s="3">
        <v>20879.29</v>
      </c>
      <c r="AB679">
        <v>1E-4</v>
      </c>
      <c r="AC679">
        <v>8</v>
      </c>
      <c r="AD679" s="5">
        <v>4.9924316082378279</v>
      </c>
      <c r="AE679" s="5">
        <v>2.1802871133608406</v>
      </c>
      <c r="AF679">
        <v>1</v>
      </c>
    </row>
    <row r="680" spans="27:32" x14ac:dyDescent="0.3">
      <c r="AA680" s="3">
        <v>14972.85</v>
      </c>
      <c r="AB680">
        <v>1E-4</v>
      </c>
      <c r="AC680">
        <v>8</v>
      </c>
      <c r="AD680" s="5">
        <v>4.9840657788845899</v>
      </c>
      <c r="AE680" s="5">
        <v>2.2164965684732403</v>
      </c>
      <c r="AF680">
        <v>1</v>
      </c>
    </row>
    <row r="681" spans="27:32" x14ac:dyDescent="0.3">
      <c r="AA681" s="3">
        <v>10525.67</v>
      </c>
      <c r="AB681">
        <v>1E-4</v>
      </c>
      <c r="AC681">
        <v>8</v>
      </c>
      <c r="AD681" s="5">
        <v>4.8803399370715299</v>
      </c>
      <c r="AE681" s="5">
        <v>2.1389794007194625</v>
      </c>
      <c r="AF681">
        <v>1</v>
      </c>
    </row>
    <row r="682" spans="27:32" x14ac:dyDescent="0.3">
      <c r="AA682" s="3">
        <v>17160.57</v>
      </c>
      <c r="AB682">
        <v>1E-4</v>
      </c>
      <c r="AC682">
        <v>8</v>
      </c>
      <c r="AD682" s="5">
        <v>5.1389510210989711</v>
      </c>
      <c r="AE682" s="5">
        <v>2.1282119097032317</v>
      </c>
      <c r="AF682">
        <v>1</v>
      </c>
    </row>
    <row r="683" spans="27:32" x14ac:dyDescent="0.3">
      <c r="AA683" s="3">
        <v>12044.48</v>
      </c>
      <c r="AB683">
        <v>1E-4</v>
      </c>
      <c r="AC683">
        <v>8</v>
      </c>
      <c r="AD683" s="5">
        <v>5.0183304956885699</v>
      </c>
      <c r="AE683" s="5">
        <v>2.2269927775373111</v>
      </c>
      <c r="AF683">
        <v>1</v>
      </c>
    </row>
    <row r="684" spans="27:32" x14ac:dyDescent="0.3">
      <c r="AA684" s="3">
        <v>27643.11</v>
      </c>
      <c r="AB684">
        <v>1E-4</v>
      </c>
      <c r="AC684">
        <v>8</v>
      </c>
      <c r="AD684" s="5">
        <v>4.9846737113608359</v>
      </c>
      <c r="AE684" s="5">
        <v>2.1406624563770462</v>
      </c>
      <c r="AF684">
        <v>1</v>
      </c>
    </row>
    <row r="685" spans="27:32" x14ac:dyDescent="0.3">
      <c r="AA685" s="3">
        <v>44899.66</v>
      </c>
      <c r="AB685">
        <v>1E-4</v>
      </c>
      <c r="AC685">
        <v>7</v>
      </c>
      <c r="AD685" s="5">
        <v>5.0751482623965218</v>
      </c>
      <c r="AE685" s="5">
        <v>2.2310296638944922</v>
      </c>
      <c r="AF685">
        <v>1</v>
      </c>
    </row>
    <row r="686" spans="27:32" x14ac:dyDescent="0.3">
      <c r="AA686" s="3">
        <v>17170.79</v>
      </c>
      <c r="AB686">
        <v>1E-4</v>
      </c>
      <c r="AC686">
        <v>8</v>
      </c>
      <c r="AD686" s="5">
        <v>4.9624492021339934</v>
      </c>
      <c r="AE686" s="5">
        <v>2.186961812382116</v>
      </c>
      <c r="AF686">
        <v>1</v>
      </c>
    </row>
    <row r="687" spans="27:32" x14ac:dyDescent="0.3">
      <c r="AA687" s="3">
        <v>-8280.7999999999993</v>
      </c>
      <c r="AB687">
        <v>1E-4</v>
      </c>
      <c r="AC687">
        <v>9</v>
      </c>
      <c r="AD687" s="5">
        <v>4.9191194375849712</v>
      </c>
      <c r="AE687" s="5">
        <v>2.2434392913847123</v>
      </c>
      <c r="AF687">
        <v>1</v>
      </c>
    </row>
    <row r="688" spans="27:32" x14ac:dyDescent="0.3">
      <c r="AA688" s="3">
        <v>19974.490000000002</v>
      </c>
      <c r="AB688">
        <v>1E-4</v>
      </c>
      <c r="AC688">
        <v>8</v>
      </c>
      <c r="AD688" s="5">
        <v>5.090227768444441</v>
      </c>
      <c r="AE688" s="5">
        <v>2.2379203042201588</v>
      </c>
      <c r="AF688">
        <v>1</v>
      </c>
    </row>
    <row r="689" spans="27:32" x14ac:dyDescent="0.3">
      <c r="AA689" s="3">
        <v>-6117.84</v>
      </c>
      <c r="AB689">
        <v>1E-4</v>
      </c>
      <c r="AC689">
        <v>9</v>
      </c>
      <c r="AD689" s="5">
        <v>5.1862060960135441</v>
      </c>
      <c r="AE689" s="5">
        <v>2.1822574797843894</v>
      </c>
      <c r="AF689">
        <v>1</v>
      </c>
    </row>
    <row r="690" spans="27:32" x14ac:dyDescent="0.3">
      <c r="AA690" s="3">
        <v>31851.79</v>
      </c>
      <c r="AB690">
        <v>1E-4</v>
      </c>
      <c r="AC690">
        <v>8</v>
      </c>
      <c r="AD690" s="5">
        <v>5.0780578084387269</v>
      </c>
      <c r="AE690" s="5">
        <v>2.2266768452129169</v>
      </c>
      <c r="AF690">
        <v>1</v>
      </c>
    </row>
    <row r="691" spans="27:32" x14ac:dyDescent="0.3">
      <c r="AA691" s="3">
        <v>4065.37</v>
      </c>
      <c r="AB691">
        <v>1E-4</v>
      </c>
      <c r="AC691">
        <v>8</v>
      </c>
      <c r="AD691" s="5">
        <v>4.8679994892124823</v>
      </c>
      <c r="AE691" s="5">
        <v>2.1971150076208832</v>
      </c>
      <c r="AF691">
        <v>1</v>
      </c>
    </row>
    <row r="692" spans="27:32" x14ac:dyDescent="0.3">
      <c r="AA692" s="3">
        <v>2424.71</v>
      </c>
      <c r="AB692">
        <v>1E-4</v>
      </c>
      <c r="AC692">
        <v>8</v>
      </c>
      <c r="AD692" s="5">
        <v>4.9895955694347194</v>
      </c>
      <c r="AE692" s="5">
        <v>2.2020578545998437</v>
      </c>
      <c r="AF692">
        <v>1</v>
      </c>
    </row>
    <row r="693" spans="27:32" x14ac:dyDescent="0.3">
      <c r="AA693" s="3">
        <v>37911.01</v>
      </c>
      <c r="AB693">
        <v>1E-4</v>
      </c>
      <c r="AC693">
        <v>7</v>
      </c>
      <c r="AD693" s="5">
        <v>4.9363629466431291</v>
      </c>
      <c r="AE693" s="5">
        <v>2.1917825326627192</v>
      </c>
      <c r="AF693">
        <v>1</v>
      </c>
    </row>
    <row r="694" spans="27:32" x14ac:dyDescent="0.3">
      <c r="AA694" s="3">
        <v>-3896.7</v>
      </c>
      <c r="AB694">
        <v>1E-4</v>
      </c>
      <c r="AC694">
        <v>9</v>
      </c>
      <c r="AD694" s="5">
        <v>4.8478094186616785</v>
      </c>
      <c r="AE694" s="5">
        <v>2.253197974048438</v>
      </c>
      <c r="AF694">
        <v>1</v>
      </c>
    </row>
    <row r="695" spans="27:32" x14ac:dyDescent="0.3">
      <c r="AA695" s="3">
        <v>-12844.98</v>
      </c>
      <c r="AB695">
        <v>1E-4</v>
      </c>
      <c r="AC695">
        <v>9</v>
      </c>
      <c r="AD695" s="5">
        <v>4.9077320223137191</v>
      </c>
      <c r="AE695" s="5">
        <v>2.1956269232167593</v>
      </c>
      <c r="AF695">
        <v>1</v>
      </c>
    </row>
    <row r="696" spans="27:32" x14ac:dyDescent="0.3">
      <c r="AA696" s="3">
        <v>1256.7</v>
      </c>
      <c r="AB696">
        <v>1E-4</v>
      </c>
      <c r="AC696">
        <v>8</v>
      </c>
      <c r="AD696" s="5">
        <v>4.8157126856016896</v>
      </c>
      <c r="AE696" s="5">
        <v>2.159695328865185</v>
      </c>
      <c r="AF696">
        <v>1</v>
      </c>
    </row>
    <row r="697" spans="27:32" x14ac:dyDescent="0.3">
      <c r="AA697" s="3">
        <v>46158.97</v>
      </c>
      <c r="AB697">
        <v>1E-4</v>
      </c>
      <c r="AC697">
        <v>7</v>
      </c>
      <c r="AD697" s="5">
        <v>4.9241894894394713</v>
      </c>
      <c r="AE697" s="5">
        <v>2.1523200054148619</v>
      </c>
      <c r="AF697">
        <v>1</v>
      </c>
    </row>
    <row r="698" spans="27:32" x14ac:dyDescent="0.3">
      <c r="AA698" s="3">
        <v>36177.21</v>
      </c>
      <c r="AB698">
        <v>1E-4</v>
      </c>
      <c r="AC698">
        <v>7</v>
      </c>
      <c r="AD698" s="5">
        <v>5.0825368618333178</v>
      </c>
      <c r="AE698" s="5">
        <v>2.1663431041239232</v>
      </c>
      <c r="AF698">
        <v>1</v>
      </c>
    </row>
    <row r="699" spans="27:32" x14ac:dyDescent="0.3">
      <c r="AA699" s="3">
        <v>18060.75</v>
      </c>
      <c r="AB699">
        <v>1E-4</v>
      </c>
      <c r="AC699">
        <v>8</v>
      </c>
      <c r="AD699" s="5">
        <v>4.8625042816519173</v>
      </c>
      <c r="AE699" s="5">
        <v>2.1762218756578098</v>
      </c>
      <c r="AF699">
        <v>1</v>
      </c>
    </row>
    <row r="700" spans="27:32" x14ac:dyDescent="0.3">
      <c r="AA700" s="3">
        <v>37452.629999999997</v>
      </c>
      <c r="AB700">
        <v>1E-4</v>
      </c>
      <c r="AC700">
        <v>7</v>
      </c>
      <c r="AD700" s="5">
        <v>5.0403019961322144</v>
      </c>
      <c r="AE700" s="5">
        <v>2.2112071974596232</v>
      </c>
      <c r="AF700">
        <v>1</v>
      </c>
    </row>
    <row r="701" spans="27:32" x14ac:dyDescent="0.3">
      <c r="AA701" s="3">
        <v>20368.740000000002</v>
      </c>
      <c r="AB701">
        <v>1E-4</v>
      </c>
      <c r="AC701">
        <v>8</v>
      </c>
      <c r="AD701" s="5">
        <v>4.9919465264098308</v>
      </c>
      <c r="AE701" s="5">
        <v>2.2287380666053576</v>
      </c>
      <c r="AF701">
        <v>1</v>
      </c>
    </row>
    <row r="702" spans="27:32" x14ac:dyDescent="0.3">
      <c r="AA702" s="3">
        <v>10233.73</v>
      </c>
      <c r="AB702">
        <v>1E-4</v>
      </c>
      <c r="AC702">
        <v>8</v>
      </c>
      <c r="AD702" s="5">
        <v>5.0863167137273342</v>
      </c>
      <c r="AE702" s="5">
        <v>2.2512965967604064</v>
      </c>
      <c r="AF702">
        <v>1</v>
      </c>
    </row>
    <row r="703" spans="27:32" x14ac:dyDescent="0.3">
      <c r="AA703" s="3">
        <v>-11511.1</v>
      </c>
      <c r="AB703">
        <v>1E-4</v>
      </c>
      <c r="AC703">
        <v>9</v>
      </c>
      <c r="AD703" s="5">
        <v>5.1542582823478886</v>
      </c>
      <c r="AE703" s="5">
        <v>2.1691631037007677</v>
      </c>
      <c r="AF703">
        <v>1</v>
      </c>
    </row>
    <row r="704" spans="27:32" x14ac:dyDescent="0.3">
      <c r="AA704" s="3">
        <v>29491.51</v>
      </c>
      <c r="AB704">
        <v>1E-4</v>
      </c>
      <c r="AC704">
        <v>7</v>
      </c>
      <c r="AD704" s="5">
        <v>4.8895948750349509</v>
      </c>
      <c r="AE704" s="5">
        <v>2.1601977487243089</v>
      </c>
      <c r="AF704">
        <v>1</v>
      </c>
    </row>
    <row r="705" spans="27:32" x14ac:dyDescent="0.3">
      <c r="AA705" s="3">
        <v>17249.87</v>
      </c>
      <c r="AB705">
        <v>1E-4</v>
      </c>
      <c r="AC705">
        <v>8</v>
      </c>
      <c r="AD705" s="5">
        <v>5.0937590750062496</v>
      </c>
      <c r="AE705" s="5">
        <v>2.1665071892729149</v>
      </c>
      <c r="AF705">
        <v>1</v>
      </c>
    </row>
    <row r="706" spans="27:32" x14ac:dyDescent="0.3">
      <c r="AA706" s="3">
        <v>56061.4</v>
      </c>
      <c r="AB706">
        <v>1E-4</v>
      </c>
      <c r="AC706">
        <v>6</v>
      </c>
      <c r="AD706" s="5">
        <v>4.9472625186224697</v>
      </c>
      <c r="AE706" s="5">
        <v>2.1355569035999085</v>
      </c>
      <c r="AF706">
        <v>1</v>
      </c>
    </row>
    <row r="707" spans="27:32" x14ac:dyDescent="0.3">
      <c r="AA707" s="3">
        <v>22625.03</v>
      </c>
      <c r="AB707">
        <v>1E-4</v>
      </c>
      <c r="AC707">
        <v>8</v>
      </c>
      <c r="AD707" s="5">
        <v>4.9781080755600771</v>
      </c>
      <c r="AE707" s="5">
        <v>2.1980299505479026</v>
      </c>
      <c r="AF707">
        <v>1</v>
      </c>
    </row>
    <row r="708" spans="27:32" x14ac:dyDescent="0.3">
      <c r="AA708" s="3">
        <v>1512.16</v>
      </c>
      <c r="AB708">
        <v>1E-4</v>
      </c>
      <c r="AC708">
        <v>8</v>
      </c>
      <c r="AD708" s="5">
        <v>5.0300686022057333</v>
      </c>
      <c r="AE708" s="5">
        <v>2.1970905491159423</v>
      </c>
      <c r="AF708">
        <v>1</v>
      </c>
    </row>
    <row r="709" spans="27:32" x14ac:dyDescent="0.3">
      <c r="AA709" s="3">
        <v>2064.9899999999998</v>
      </c>
      <c r="AB709">
        <v>1E-4</v>
      </c>
      <c r="AC709">
        <v>8</v>
      </c>
      <c r="AD709" s="5">
        <v>4.9962328928039019</v>
      </c>
      <c r="AE709" s="5">
        <v>2.2510953402978573</v>
      </c>
      <c r="AF709">
        <v>1</v>
      </c>
    </row>
    <row r="710" spans="27:32" x14ac:dyDescent="0.3">
      <c r="AA710" s="3">
        <v>15568.82</v>
      </c>
      <c r="AB710">
        <v>1E-4</v>
      </c>
      <c r="AC710">
        <v>8</v>
      </c>
      <c r="AD710" s="5">
        <v>5.027427573537409</v>
      </c>
      <c r="AE710" s="5">
        <v>2.1744067500857511</v>
      </c>
      <c r="AF710">
        <v>1</v>
      </c>
    </row>
    <row r="711" spans="27:32" x14ac:dyDescent="0.3">
      <c r="AA711" s="3">
        <v>12510.42</v>
      </c>
      <c r="AB711">
        <v>1E-4</v>
      </c>
      <c r="AC711">
        <v>8</v>
      </c>
      <c r="AD711" s="5">
        <v>5.0514124778182872</v>
      </c>
      <c r="AE711" s="5">
        <v>2.1605491841705056</v>
      </c>
      <c r="AF711">
        <v>1</v>
      </c>
    </row>
    <row r="712" spans="27:32" x14ac:dyDescent="0.3">
      <c r="AA712" s="3">
        <v>3484.59</v>
      </c>
      <c r="AB712">
        <v>1E-4</v>
      </c>
      <c r="AC712">
        <v>8</v>
      </c>
      <c r="AD712" s="5">
        <v>5.002409762472583</v>
      </c>
      <c r="AE712" s="5">
        <v>2.2139329909892651</v>
      </c>
      <c r="AF712">
        <v>1</v>
      </c>
    </row>
    <row r="713" spans="27:32" x14ac:dyDescent="0.3">
      <c r="AA713" s="3">
        <v>4651.01</v>
      </c>
      <c r="AB713">
        <v>1E-4</v>
      </c>
      <c r="AC713">
        <v>8</v>
      </c>
      <c r="AD713" s="5">
        <v>4.8239122785020419</v>
      </c>
      <c r="AE713" s="5">
        <v>2.0969924414775334</v>
      </c>
      <c r="AF713">
        <v>1</v>
      </c>
    </row>
    <row r="714" spans="27:32" x14ac:dyDescent="0.3">
      <c r="AA714" s="3">
        <v>11588.64</v>
      </c>
      <c r="AB714">
        <v>1E-4</v>
      </c>
      <c r="AC714">
        <v>8</v>
      </c>
      <c r="AD714" s="5">
        <v>4.8814596776167196</v>
      </c>
      <c r="AE714" s="5">
        <v>2.2378743990796535</v>
      </c>
      <c r="AF714">
        <v>1</v>
      </c>
    </row>
    <row r="715" spans="27:32" x14ac:dyDescent="0.3">
      <c r="AA715" s="3">
        <v>27531.59</v>
      </c>
      <c r="AB715">
        <v>1E-4</v>
      </c>
      <c r="AC715">
        <v>8</v>
      </c>
      <c r="AD715" s="5">
        <v>5.0979356021678832</v>
      </c>
      <c r="AE715" s="5">
        <v>2.1775294770124005</v>
      </c>
      <c r="AF715">
        <v>1</v>
      </c>
    </row>
    <row r="716" spans="27:32" x14ac:dyDescent="0.3">
      <c r="AA716" s="3">
        <v>21413.64</v>
      </c>
      <c r="AB716">
        <v>1E-4</v>
      </c>
      <c r="AC716">
        <v>8</v>
      </c>
      <c r="AD716" s="5">
        <v>5.0003424796586202</v>
      </c>
      <c r="AE716" s="5">
        <v>2.2449642974865478</v>
      </c>
      <c r="AF716">
        <v>1</v>
      </c>
    </row>
    <row r="717" spans="27:32" x14ac:dyDescent="0.3">
      <c r="AA717" s="3">
        <v>19266.77</v>
      </c>
      <c r="AB717">
        <v>1E-4</v>
      </c>
      <c r="AC717">
        <v>8</v>
      </c>
      <c r="AD717" s="5">
        <v>5.034343576977621</v>
      </c>
      <c r="AE717" s="5">
        <v>2.1842460516266762</v>
      </c>
      <c r="AF717">
        <v>1</v>
      </c>
    </row>
    <row r="718" spans="27:32" x14ac:dyDescent="0.3">
      <c r="AA718" s="3">
        <v>-14167.04</v>
      </c>
      <c r="AB718">
        <v>1E-4</v>
      </c>
      <c r="AC718">
        <v>9</v>
      </c>
      <c r="AD718" s="5">
        <v>4.957516417716465</v>
      </c>
      <c r="AE718" s="5">
        <v>2.177722521326332</v>
      </c>
      <c r="AF718">
        <v>1</v>
      </c>
    </row>
    <row r="719" spans="27:32" x14ac:dyDescent="0.3">
      <c r="AA719" s="3">
        <v>5615.82</v>
      </c>
      <c r="AB719">
        <v>1E-4</v>
      </c>
      <c r="AC719">
        <v>8</v>
      </c>
      <c r="AD719" s="5">
        <v>4.9475749949234897</v>
      </c>
      <c r="AE719" s="5">
        <v>2.2213382233388863</v>
      </c>
      <c r="AF719">
        <v>1</v>
      </c>
    </row>
    <row r="720" spans="27:32" x14ac:dyDescent="0.3">
      <c r="AA720" s="3">
        <v>15953.8</v>
      </c>
      <c r="AB720">
        <v>1E-4</v>
      </c>
      <c r="AC720">
        <v>8</v>
      </c>
      <c r="AD720" s="5">
        <v>4.9867657021990839</v>
      </c>
      <c r="AE720" s="5">
        <v>2.159389541869289</v>
      </c>
      <c r="AF720">
        <v>1</v>
      </c>
    </row>
    <row r="721" spans="27:32" x14ac:dyDescent="0.3">
      <c r="AA721" s="3">
        <v>12297.82</v>
      </c>
      <c r="AB721">
        <v>1E-4</v>
      </c>
      <c r="AC721">
        <v>8</v>
      </c>
      <c r="AD721" s="5">
        <v>5.1248471563764699</v>
      </c>
      <c r="AE721" s="5">
        <v>2.160560843291004</v>
      </c>
      <c r="AF721">
        <v>1</v>
      </c>
    </row>
    <row r="722" spans="27:32" x14ac:dyDescent="0.3">
      <c r="AA722" s="3">
        <v>10416.44</v>
      </c>
      <c r="AB722">
        <v>1E-4</v>
      </c>
      <c r="AC722">
        <v>8</v>
      </c>
      <c r="AD722" s="5">
        <v>5.0676943276646131</v>
      </c>
      <c r="AE722" s="5">
        <v>2.2343300984281509</v>
      </c>
      <c r="AF722">
        <v>1</v>
      </c>
    </row>
    <row r="723" spans="27:32" x14ac:dyDescent="0.3">
      <c r="AA723" s="3">
        <v>33301.46</v>
      </c>
      <c r="AB723">
        <v>1E-4</v>
      </c>
      <c r="AC723">
        <v>7</v>
      </c>
      <c r="AD723" s="5">
        <v>4.905608821239305</v>
      </c>
      <c r="AE723" s="5">
        <v>2.1752348424046679</v>
      </c>
      <c r="AF723">
        <v>1</v>
      </c>
    </row>
    <row r="724" spans="27:32" x14ac:dyDescent="0.3">
      <c r="AA724" s="3">
        <v>14480.29</v>
      </c>
      <c r="AB724">
        <v>1E-4</v>
      </c>
      <c r="AC724">
        <v>8</v>
      </c>
      <c r="AD724" s="5">
        <v>5.0809117037638583</v>
      </c>
      <c r="AE724" s="5">
        <v>2.1830521430289953</v>
      </c>
      <c r="AF724">
        <v>1</v>
      </c>
    </row>
    <row r="725" spans="27:32" x14ac:dyDescent="0.3">
      <c r="AA725" s="3">
        <v>-905.75</v>
      </c>
      <c r="AB725">
        <v>1E-4</v>
      </c>
      <c r="AC725">
        <v>9</v>
      </c>
      <c r="AD725" s="5">
        <v>5.0110866359697859</v>
      </c>
      <c r="AE725" s="5">
        <v>2.2167091681402908</v>
      </c>
      <c r="AF725">
        <v>1</v>
      </c>
    </row>
    <row r="726" spans="27:32" x14ac:dyDescent="0.3">
      <c r="AA726" s="3">
        <v>15853.31</v>
      </c>
      <c r="AB726">
        <v>1E-4</v>
      </c>
      <c r="AC726">
        <v>8</v>
      </c>
      <c r="AD726" s="5">
        <v>5.0289101358575827</v>
      </c>
      <c r="AE726" s="5">
        <v>2.2330865995081233</v>
      </c>
      <c r="AF726">
        <v>1</v>
      </c>
    </row>
    <row r="727" spans="27:32" x14ac:dyDescent="0.3">
      <c r="AA727" s="3">
        <v>-7581.61</v>
      </c>
      <c r="AB727">
        <v>1E-4</v>
      </c>
      <c r="AC727">
        <v>9</v>
      </c>
      <c r="AD727" s="5">
        <v>4.9315177780714814</v>
      </c>
      <c r="AE727" s="5">
        <v>2.1995175719141069</v>
      </c>
      <c r="AF727">
        <v>1</v>
      </c>
    </row>
    <row r="728" spans="27:32" x14ac:dyDescent="0.3">
      <c r="AA728" s="3">
        <v>50933.5</v>
      </c>
      <c r="AB728">
        <v>1E-4</v>
      </c>
      <c r="AC728">
        <v>6</v>
      </c>
      <c r="AD728" s="5">
        <v>4.9683998377178229</v>
      </c>
      <c r="AE728" s="5">
        <v>2.126997411804961</v>
      </c>
      <c r="AF728">
        <v>1</v>
      </c>
    </row>
    <row r="729" spans="27:32" x14ac:dyDescent="0.3">
      <c r="AA729" s="3">
        <v>-9337.49</v>
      </c>
      <c r="AB729">
        <v>1E-4</v>
      </c>
      <c r="AC729">
        <v>9</v>
      </c>
      <c r="AD729" s="5">
        <v>5.0060939563168132</v>
      </c>
      <c r="AE729" s="5">
        <v>2.156972038017456</v>
      </c>
      <c r="AF729">
        <v>1</v>
      </c>
    </row>
    <row r="730" spans="27:32" x14ac:dyDescent="0.3">
      <c r="AA730" s="3">
        <v>12638.23</v>
      </c>
      <c r="AB730">
        <v>1E-4</v>
      </c>
      <c r="AC730">
        <v>8</v>
      </c>
      <c r="AD730" s="5">
        <v>5.0077075319146278</v>
      </c>
      <c r="AE730" s="5">
        <v>2.151413385490029</v>
      </c>
      <c r="AF730">
        <v>1</v>
      </c>
    </row>
    <row r="731" spans="27:32" x14ac:dyDescent="0.3">
      <c r="AA731" s="3">
        <v>19515.73</v>
      </c>
      <c r="AB731">
        <v>1E-4</v>
      </c>
      <c r="AC731">
        <v>8</v>
      </c>
      <c r="AD731" s="5">
        <v>4.9697035848322511</v>
      </c>
      <c r="AE731" s="5">
        <v>2.2896526408019522</v>
      </c>
      <c r="AF731">
        <v>1</v>
      </c>
    </row>
    <row r="732" spans="27:32" x14ac:dyDescent="0.3">
      <c r="AA732" s="3">
        <v>20793.73</v>
      </c>
      <c r="AB732">
        <v>1E-4</v>
      </c>
      <c r="AC732">
        <v>8</v>
      </c>
      <c r="AD732" s="5">
        <v>5.0749784578175516</v>
      </c>
      <c r="AE732" s="5">
        <v>2.24938573664727</v>
      </c>
      <c r="AF732">
        <v>1</v>
      </c>
    </row>
    <row r="733" spans="27:32" x14ac:dyDescent="0.3">
      <c r="AA733" s="3">
        <v>657.33</v>
      </c>
      <c r="AB733">
        <v>1E-4</v>
      </c>
      <c r="AC733">
        <v>8</v>
      </c>
      <c r="AD733" s="5">
        <v>5.0187532229586527</v>
      </c>
      <c r="AE733" s="5">
        <v>2.2876763900789352</v>
      </c>
      <c r="AF733">
        <v>1</v>
      </c>
    </row>
    <row r="734" spans="27:32" x14ac:dyDescent="0.3">
      <c r="AA734" s="3">
        <v>19945.05</v>
      </c>
      <c r="AB734">
        <v>1E-4</v>
      </c>
      <c r="AC734">
        <v>8</v>
      </c>
      <c r="AD734" s="5">
        <v>4.8517532200123465</v>
      </c>
      <c r="AE734" s="5">
        <v>2.1625599673856111</v>
      </c>
      <c r="AF734">
        <v>1</v>
      </c>
    </row>
    <row r="735" spans="27:32" x14ac:dyDescent="0.3">
      <c r="AA735" s="3">
        <v>19067.39</v>
      </c>
      <c r="AB735">
        <v>1E-4</v>
      </c>
      <c r="AC735">
        <v>8</v>
      </c>
      <c r="AD735" s="5">
        <v>5.0138697118386126</v>
      </c>
      <c r="AE735" s="5">
        <v>2.1680285109970057</v>
      </c>
      <c r="AF735">
        <v>1</v>
      </c>
    </row>
    <row r="736" spans="27:32" x14ac:dyDescent="0.3">
      <c r="AA736" s="3">
        <v>-195.13</v>
      </c>
      <c r="AB736">
        <v>1E-4</v>
      </c>
      <c r="AC736">
        <v>9</v>
      </c>
      <c r="AD736" s="5">
        <v>4.911743556411313</v>
      </c>
      <c r="AE736" s="5">
        <v>2.2947679981269586</v>
      </c>
      <c r="AF736">
        <v>1</v>
      </c>
    </row>
    <row r="737" spans="27:32" x14ac:dyDescent="0.3">
      <c r="AA737" s="3">
        <v>-5078.87</v>
      </c>
      <c r="AB737">
        <v>1E-4</v>
      </c>
      <c r="AC737">
        <v>9</v>
      </c>
      <c r="AD737" s="5">
        <v>4.9095207227301607</v>
      </c>
      <c r="AE737" s="5">
        <v>2.2580834766782294</v>
      </c>
      <c r="AF737">
        <v>1</v>
      </c>
    </row>
    <row r="738" spans="27:32" x14ac:dyDescent="0.3">
      <c r="AA738" s="3">
        <v>24428.47</v>
      </c>
      <c r="AB738">
        <v>1E-4</v>
      </c>
      <c r="AC738">
        <v>8</v>
      </c>
      <c r="AD738" s="5">
        <v>4.9117937840458685</v>
      </c>
      <c r="AE738" s="5">
        <v>2.2092991633056065</v>
      </c>
      <c r="AF738">
        <v>1</v>
      </c>
    </row>
    <row r="739" spans="27:32" x14ac:dyDescent="0.3">
      <c r="AA739" s="3">
        <v>-3186.65</v>
      </c>
      <c r="AB739">
        <v>1E-4</v>
      </c>
      <c r="AC739">
        <v>9</v>
      </c>
      <c r="AD739" s="5">
        <v>5.0265465820593489</v>
      </c>
      <c r="AE739" s="5">
        <v>2.1706845539883961</v>
      </c>
      <c r="AF739">
        <v>1</v>
      </c>
    </row>
    <row r="740" spans="27:32" x14ac:dyDescent="0.3">
      <c r="AA740" s="3">
        <v>32516.19</v>
      </c>
      <c r="AB740">
        <v>1E-4</v>
      </c>
      <c r="AC740">
        <v>7</v>
      </c>
      <c r="AD740" s="5">
        <v>5.0079465644221761</v>
      </c>
      <c r="AE740" s="5">
        <v>2.1621377088794556</v>
      </c>
      <c r="AF740">
        <v>1</v>
      </c>
    </row>
    <row r="741" spans="27:32" x14ac:dyDescent="0.3">
      <c r="AA741" s="3">
        <v>22320.98</v>
      </c>
      <c r="AB741">
        <v>1E-4</v>
      </c>
      <c r="AC741">
        <v>8</v>
      </c>
      <c r="AD741" s="5">
        <v>4.9528739301267422</v>
      </c>
      <c r="AE741" s="5">
        <v>2.2383199847850936</v>
      </c>
      <c r="AF741">
        <v>1</v>
      </c>
    </row>
    <row r="742" spans="27:32" x14ac:dyDescent="0.3">
      <c r="AA742" s="3">
        <v>15718.43</v>
      </c>
      <c r="AB742">
        <v>1E-4</v>
      </c>
      <c r="AC742">
        <v>8</v>
      </c>
      <c r="AD742" s="5">
        <v>5.2602905207978967</v>
      </c>
      <c r="AE742" s="5">
        <v>2.1441889894502459</v>
      </c>
      <c r="AF742">
        <v>1</v>
      </c>
    </row>
    <row r="743" spans="27:32" x14ac:dyDescent="0.3">
      <c r="AA743" s="3">
        <v>3058.1</v>
      </c>
      <c r="AB743">
        <v>1E-4</v>
      </c>
      <c r="AC743">
        <v>8</v>
      </c>
      <c r="AD743" s="5">
        <v>4.9733539592386427</v>
      </c>
      <c r="AE743" s="5">
        <v>2.2258987806795858</v>
      </c>
      <c r="AF743">
        <v>1</v>
      </c>
    </row>
    <row r="744" spans="27:32" x14ac:dyDescent="0.3">
      <c r="AA744" s="3">
        <v>-2633.73</v>
      </c>
      <c r="AB744">
        <v>1E-4</v>
      </c>
      <c r="AC744">
        <v>9</v>
      </c>
      <c r="AD744" s="5">
        <v>5.0073801925925183</v>
      </c>
      <c r="AE744" s="5">
        <v>2.1882537202771766</v>
      </c>
      <c r="AF744">
        <v>1</v>
      </c>
    </row>
    <row r="745" spans="27:32" x14ac:dyDescent="0.3">
      <c r="AA745" s="3">
        <v>9974.43</v>
      </c>
      <c r="AB745">
        <v>1E-4</v>
      </c>
      <c r="AC745">
        <v>8</v>
      </c>
      <c r="AD745" s="5">
        <v>5.0084612869720617</v>
      </c>
      <c r="AE745" s="5">
        <v>2.221662349419137</v>
      </c>
      <c r="AF745">
        <v>1</v>
      </c>
    </row>
    <row r="746" spans="27:32" x14ac:dyDescent="0.3">
      <c r="AA746" s="3">
        <v>-167.64</v>
      </c>
      <c r="AB746">
        <v>1E-4</v>
      </c>
      <c r="AC746">
        <v>9</v>
      </c>
      <c r="AD746" s="5">
        <v>4.9616185409745679</v>
      </c>
      <c r="AE746" s="5">
        <v>2.1900885301369097</v>
      </c>
      <c r="AF746">
        <v>1</v>
      </c>
    </row>
    <row r="747" spans="27:32" x14ac:dyDescent="0.3">
      <c r="AA747" s="3">
        <v>29706.09</v>
      </c>
      <c r="AB747">
        <v>1E-4</v>
      </c>
      <c r="AC747">
        <v>8</v>
      </c>
      <c r="AD747" s="5">
        <v>5.1911962873196984</v>
      </c>
      <c r="AE747" s="5">
        <v>2.1947866759400521</v>
      </c>
      <c r="AF747">
        <v>1</v>
      </c>
    </row>
    <row r="748" spans="27:32" x14ac:dyDescent="0.3">
      <c r="AA748" s="3">
        <v>31620.83</v>
      </c>
      <c r="AB748">
        <v>1E-4</v>
      </c>
      <c r="AC748">
        <v>8</v>
      </c>
      <c r="AD748" s="5">
        <v>5.0278148969164134</v>
      </c>
      <c r="AE748" s="5">
        <v>2.1301556954035759</v>
      </c>
      <c r="AF748">
        <v>1</v>
      </c>
    </row>
    <row r="749" spans="27:32" x14ac:dyDescent="0.3">
      <c r="AA749" s="3">
        <v>25284.720000000001</v>
      </c>
      <c r="AB749">
        <v>1E-4</v>
      </c>
      <c r="AC749">
        <v>8</v>
      </c>
      <c r="AD749" s="5">
        <v>5.0895176217235107</v>
      </c>
      <c r="AE749" s="5">
        <v>2.2133815941684416</v>
      </c>
      <c r="AF749">
        <v>1</v>
      </c>
    </row>
    <row r="750" spans="27:32" x14ac:dyDescent="0.3">
      <c r="AA750" s="3">
        <v>17287.39</v>
      </c>
      <c r="AB750">
        <v>1E-4</v>
      </c>
      <c r="AC750">
        <v>8</v>
      </c>
      <c r="AD750" s="5">
        <v>4.9421288849148093</v>
      </c>
      <c r="AE750" s="5">
        <v>2.2030943496245516</v>
      </c>
      <c r="AF750">
        <v>1</v>
      </c>
    </row>
    <row r="751" spans="27:32" x14ac:dyDescent="0.3">
      <c r="AA751" s="3">
        <v>17770.740000000002</v>
      </c>
      <c r="AB751">
        <v>1E-4</v>
      </c>
      <c r="AC751">
        <v>8</v>
      </c>
      <c r="AD751" s="5">
        <v>5.1671356960481152</v>
      </c>
      <c r="AE751" s="5">
        <v>2.1439831021246643</v>
      </c>
      <c r="AF751">
        <v>1</v>
      </c>
    </row>
    <row r="752" spans="27:32" x14ac:dyDescent="0.3">
      <c r="AA752" s="3">
        <v>-1553.93</v>
      </c>
      <c r="AB752">
        <v>1E-4</v>
      </c>
      <c r="AC752">
        <v>9</v>
      </c>
      <c r="AD752" s="5">
        <v>5.2025363758558187</v>
      </c>
      <c r="AE752" s="5">
        <v>2.1357899092275217</v>
      </c>
      <c r="AF752">
        <v>1</v>
      </c>
    </row>
    <row r="753" spans="27:32" x14ac:dyDescent="0.3">
      <c r="AA753" s="3">
        <v>6324.34</v>
      </c>
      <c r="AB753">
        <v>1E-4</v>
      </c>
      <c r="AC753">
        <v>8</v>
      </c>
      <c r="AD753" s="5">
        <v>5.0775920558219241</v>
      </c>
      <c r="AE753" s="5">
        <v>2.2353987442938501</v>
      </c>
      <c r="AF753">
        <v>1</v>
      </c>
    </row>
    <row r="754" spans="27:32" x14ac:dyDescent="0.3">
      <c r="AA754" s="3">
        <v>40885.33</v>
      </c>
      <c r="AB754">
        <v>1E-4</v>
      </c>
      <c r="AC754">
        <v>7</v>
      </c>
      <c r="AD754" s="5">
        <v>4.95018359382086</v>
      </c>
      <c r="AE754" s="5">
        <v>2.2174851739717281</v>
      </c>
      <c r="AF754">
        <v>1</v>
      </c>
    </row>
    <row r="755" spans="27:32" x14ac:dyDescent="0.3">
      <c r="AA755" s="3">
        <v>17051.330000000002</v>
      </c>
      <c r="AB755">
        <v>1E-4</v>
      </c>
      <c r="AC755">
        <v>8</v>
      </c>
      <c r="AD755" s="5">
        <v>5.0373206007748088</v>
      </c>
      <c r="AE755" s="5">
        <v>2.1377235068909162</v>
      </c>
      <c r="AF755">
        <v>1</v>
      </c>
    </row>
    <row r="756" spans="27:32" x14ac:dyDescent="0.3">
      <c r="AA756" s="3">
        <v>-11561.82</v>
      </c>
      <c r="AB756">
        <v>1E-4</v>
      </c>
      <c r="AC756">
        <v>9</v>
      </c>
      <c r="AD756" s="5">
        <v>4.9751891102985537</v>
      </c>
      <c r="AE756" s="5">
        <v>2.2499039190884749</v>
      </c>
      <c r="AF756">
        <v>1</v>
      </c>
    </row>
    <row r="757" spans="27:32" x14ac:dyDescent="0.3">
      <c r="AA757" s="3">
        <v>47467.94</v>
      </c>
      <c r="AB757">
        <v>1E-4</v>
      </c>
      <c r="AC757">
        <v>7</v>
      </c>
      <c r="AD757" s="5">
        <v>5.0789774393525926</v>
      </c>
      <c r="AE757" s="5">
        <v>2.1852880061081192</v>
      </c>
      <c r="AF757">
        <v>1</v>
      </c>
    </row>
    <row r="758" spans="27:32" x14ac:dyDescent="0.3">
      <c r="AA758" s="3">
        <v>3267.05</v>
      </c>
      <c r="AB758">
        <v>1E-4</v>
      </c>
      <c r="AC758">
        <v>8</v>
      </c>
      <c r="AD758" s="5">
        <v>5.006550384927392</v>
      </c>
      <c r="AE758" s="5">
        <v>2.2134967480065351</v>
      </c>
      <c r="AF758">
        <v>1</v>
      </c>
    </row>
    <row r="759" spans="27:32" x14ac:dyDescent="0.3">
      <c r="AA759" s="3">
        <v>36618.83</v>
      </c>
      <c r="AB759">
        <v>1E-4</v>
      </c>
      <c r="AC759">
        <v>7</v>
      </c>
      <c r="AD759" s="5">
        <v>4.9811763266330411</v>
      </c>
      <c r="AE759" s="5">
        <v>2.1894017776729702</v>
      </c>
      <c r="AF759">
        <v>1</v>
      </c>
    </row>
    <row r="760" spans="27:32" x14ac:dyDescent="0.3">
      <c r="AA760" s="3">
        <v>11012.59</v>
      </c>
      <c r="AB760">
        <v>1E-4</v>
      </c>
      <c r="AC760">
        <v>8</v>
      </c>
      <c r="AD760" s="5">
        <v>4.9624969194520538</v>
      </c>
      <c r="AE760" s="5">
        <v>2.1790291481819577</v>
      </c>
      <c r="AF760">
        <v>1</v>
      </c>
    </row>
    <row r="761" spans="27:32" x14ac:dyDescent="0.3">
      <c r="AA761" s="3">
        <v>270.68</v>
      </c>
      <c r="AB761">
        <v>1E-4</v>
      </c>
      <c r="AC761">
        <v>8</v>
      </c>
      <c r="AD761" s="5">
        <v>4.9351154387298779</v>
      </c>
      <c r="AE761" s="5">
        <v>2.2172763881034623</v>
      </c>
      <c r="AF761">
        <v>1</v>
      </c>
    </row>
    <row r="762" spans="27:32" x14ac:dyDescent="0.3">
      <c r="AA762" s="3">
        <v>7502.81</v>
      </c>
      <c r="AB762">
        <v>1E-4</v>
      </c>
      <c r="AC762">
        <v>8</v>
      </c>
      <c r="AD762" s="5">
        <v>5.1986047594698741</v>
      </c>
      <c r="AE762" s="5">
        <v>2.1918525373166253</v>
      </c>
      <c r="AF762">
        <v>1</v>
      </c>
    </row>
    <row r="763" spans="27:32" x14ac:dyDescent="0.3">
      <c r="AA763" s="3">
        <v>9476.32</v>
      </c>
      <c r="AB763">
        <v>1E-4</v>
      </c>
      <c r="AC763">
        <v>8</v>
      </c>
      <c r="AD763" s="5">
        <v>4.9440663400648104</v>
      </c>
      <c r="AE763" s="5">
        <v>2.2206279095710912</v>
      </c>
      <c r="AF763">
        <v>1</v>
      </c>
    </row>
    <row r="764" spans="27:32" x14ac:dyDescent="0.3">
      <c r="AA764" s="3">
        <v>9817.25</v>
      </c>
      <c r="AB764">
        <v>1E-4</v>
      </c>
      <c r="AC764">
        <v>8</v>
      </c>
      <c r="AD764" s="5">
        <v>5.0251379914044731</v>
      </c>
      <c r="AE764" s="5">
        <v>2.2671263192503379</v>
      </c>
      <c r="AF764">
        <v>1</v>
      </c>
    </row>
    <row r="765" spans="27:32" x14ac:dyDescent="0.3">
      <c r="AA765" s="3">
        <v>13852.6</v>
      </c>
      <c r="AB765">
        <v>1E-4</v>
      </c>
      <c r="AC765">
        <v>8</v>
      </c>
      <c r="AD765" s="5">
        <v>5.0440884676322879</v>
      </c>
      <c r="AE765" s="5">
        <v>2.179246906058649</v>
      </c>
      <c r="AF765">
        <v>1</v>
      </c>
    </row>
    <row r="766" spans="27:32" x14ac:dyDescent="0.3">
      <c r="AA766" s="3">
        <v>11158.23</v>
      </c>
      <c r="AB766">
        <v>1E-4</v>
      </c>
      <c r="AC766">
        <v>8</v>
      </c>
      <c r="AD766" s="5">
        <v>5.1051274403059335</v>
      </c>
      <c r="AE766" s="5">
        <v>2.2120731317208464</v>
      </c>
      <c r="AF766">
        <v>1</v>
      </c>
    </row>
    <row r="767" spans="27:32" x14ac:dyDescent="0.3">
      <c r="AA767" s="3">
        <v>9089.0400000000009</v>
      </c>
      <c r="AB767">
        <v>1E-4</v>
      </c>
      <c r="AC767">
        <v>8</v>
      </c>
      <c r="AD767" s="5">
        <v>4.9663011545092361</v>
      </c>
      <c r="AE767" s="5">
        <v>2.2304058484032896</v>
      </c>
      <c r="AF767">
        <v>1</v>
      </c>
    </row>
    <row r="768" spans="27:32" x14ac:dyDescent="0.3">
      <c r="AA768" s="3">
        <v>12492.69</v>
      </c>
      <c r="AB768">
        <v>1E-4</v>
      </c>
      <c r="AC768">
        <v>8</v>
      </c>
      <c r="AD768" s="5">
        <v>4.9891208154107529</v>
      </c>
      <c r="AE768" s="5">
        <v>2.2412467706339374</v>
      </c>
      <c r="AF768">
        <v>1</v>
      </c>
    </row>
    <row r="769" spans="27:32" x14ac:dyDescent="0.3">
      <c r="AA769" s="3">
        <v>24621.78</v>
      </c>
      <c r="AB769">
        <v>1E-4</v>
      </c>
      <c r="AC769">
        <v>8</v>
      </c>
      <c r="AD769" s="5">
        <v>4.9830569007636285</v>
      </c>
      <c r="AE769" s="5">
        <v>2.260852691007178</v>
      </c>
      <c r="AF769">
        <v>1</v>
      </c>
    </row>
    <row r="770" spans="27:32" x14ac:dyDescent="0.3">
      <c r="AA770" s="3">
        <v>-25632.722044032758</v>
      </c>
      <c r="AB770">
        <v>1E-4</v>
      </c>
      <c r="AC770">
        <v>9</v>
      </c>
      <c r="AD770" s="5">
        <v>5.0201478073312433</v>
      </c>
      <c r="AE770" s="5">
        <v>2.1398816507024971</v>
      </c>
      <c r="AF770">
        <v>0</v>
      </c>
    </row>
    <row r="771" spans="27:32" x14ac:dyDescent="0.3">
      <c r="AA771" s="3">
        <v>-18314.849999999999</v>
      </c>
      <c r="AB771">
        <v>1E-4</v>
      </c>
      <c r="AC771">
        <v>9</v>
      </c>
      <c r="AD771" s="5">
        <v>4.8306401717811163</v>
      </c>
      <c r="AE771" s="5">
        <v>2.151759494906853</v>
      </c>
      <c r="AF771">
        <v>1</v>
      </c>
    </row>
    <row r="772" spans="27:32" x14ac:dyDescent="0.3">
      <c r="AA772" s="3">
        <v>34453.410000000003</v>
      </c>
      <c r="AB772">
        <v>1E-4</v>
      </c>
      <c r="AC772">
        <v>7</v>
      </c>
      <c r="AD772" s="5">
        <v>4.9813751598256806</v>
      </c>
      <c r="AE772" s="5">
        <v>2.1258190129028205</v>
      </c>
      <c r="AF772">
        <v>1</v>
      </c>
    </row>
    <row r="773" spans="27:32" x14ac:dyDescent="0.3">
      <c r="AA773" s="3">
        <v>16208.77</v>
      </c>
      <c r="AB773">
        <v>1E-4</v>
      </c>
      <c r="AC773">
        <v>8</v>
      </c>
      <c r="AD773" s="5">
        <v>5.1161098539401078</v>
      </c>
      <c r="AE773" s="5">
        <v>2.1904137064898697</v>
      </c>
      <c r="AF773">
        <v>1</v>
      </c>
    </row>
    <row r="774" spans="27:32" x14ac:dyDescent="0.3">
      <c r="AA774" s="3">
        <v>12497.48</v>
      </c>
      <c r="AB774">
        <v>1E-4</v>
      </c>
      <c r="AC774">
        <v>8</v>
      </c>
      <c r="AD774" s="5">
        <v>4.8730168992592446</v>
      </c>
      <c r="AE774" s="5">
        <v>2.2293943638184035</v>
      </c>
      <c r="AF774">
        <v>1</v>
      </c>
    </row>
    <row r="775" spans="27:32" x14ac:dyDescent="0.3">
      <c r="AA775" s="3">
        <v>23001.13</v>
      </c>
      <c r="AB775">
        <v>1E-4</v>
      </c>
      <c r="AC775">
        <v>8</v>
      </c>
      <c r="AD775" s="5">
        <v>4.9522641776661818</v>
      </c>
      <c r="AE775" s="5">
        <v>2.1846218446311796</v>
      </c>
      <c r="AF775">
        <v>1</v>
      </c>
    </row>
    <row r="776" spans="27:32" x14ac:dyDescent="0.3">
      <c r="AA776" s="3">
        <v>-9125.73</v>
      </c>
      <c r="AB776">
        <v>1E-4</v>
      </c>
      <c r="AC776">
        <v>9</v>
      </c>
      <c r="AD776" s="5">
        <v>4.8637305417087964</v>
      </c>
      <c r="AE776" s="5">
        <v>2.2159561546103341</v>
      </c>
      <c r="AF776">
        <v>1</v>
      </c>
    </row>
    <row r="777" spans="27:32" x14ac:dyDescent="0.3">
      <c r="AA777" s="3">
        <v>12370.94</v>
      </c>
      <c r="AB777">
        <v>1E-4</v>
      </c>
      <c r="AC777">
        <v>8</v>
      </c>
      <c r="AD777" s="5">
        <v>4.8944348733836538</v>
      </c>
      <c r="AE777" s="5">
        <v>2.2571908033421866</v>
      </c>
      <c r="AF777">
        <v>1</v>
      </c>
    </row>
    <row r="778" spans="27:32" x14ac:dyDescent="0.3">
      <c r="AA778" s="3">
        <v>7507.06</v>
      </c>
      <c r="AB778">
        <v>1E-4</v>
      </c>
      <c r="AC778">
        <v>8</v>
      </c>
      <c r="AD778" s="5">
        <v>4.9092796878530667</v>
      </c>
      <c r="AE778" s="5">
        <v>2.2041773162547691</v>
      </c>
      <c r="AF778">
        <v>1</v>
      </c>
    </row>
    <row r="779" spans="27:32" x14ac:dyDescent="0.3">
      <c r="AA779" s="3">
        <v>-12286.9</v>
      </c>
      <c r="AB779">
        <v>1E-4</v>
      </c>
      <c r="AC779">
        <v>9</v>
      </c>
      <c r="AD779" s="5">
        <v>5.1145140830885145</v>
      </c>
      <c r="AE779" s="5">
        <v>2.2521267982917452</v>
      </c>
      <c r="AF779">
        <v>1</v>
      </c>
    </row>
    <row r="780" spans="27:32" x14ac:dyDescent="0.3">
      <c r="AA780" s="3">
        <v>9500.85</v>
      </c>
      <c r="AB780">
        <v>1E-4</v>
      </c>
      <c r="AC780">
        <v>8</v>
      </c>
      <c r="AD780" s="5">
        <v>4.9235424608687701</v>
      </c>
      <c r="AE780" s="5">
        <v>2.2223349976800835</v>
      </c>
      <c r="AF780">
        <v>1</v>
      </c>
    </row>
    <row r="781" spans="27:32" x14ac:dyDescent="0.3">
      <c r="AA781" s="3">
        <v>43376.83</v>
      </c>
      <c r="AB781">
        <v>1E-4</v>
      </c>
      <c r="AC781">
        <v>7</v>
      </c>
      <c r="AD781" s="5">
        <v>4.9520771802349417</v>
      </c>
      <c r="AE781" s="5">
        <v>2.219461341697337</v>
      </c>
      <c r="AF781">
        <v>1</v>
      </c>
    </row>
    <row r="782" spans="27:32" x14ac:dyDescent="0.3">
      <c r="AA782" s="3">
        <v>27715.8</v>
      </c>
      <c r="AB782">
        <v>1E-4</v>
      </c>
      <c r="AC782">
        <v>8</v>
      </c>
      <c r="AD782" s="5">
        <v>4.7990280395815095</v>
      </c>
      <c r="AE782" s="5">
        <v>2.0927760710877776</v>
      </c>
      <c r="AF782">
        <v>1</v>
      </c>
    </row>
    <row r="783" spans="27:32" x14ac:dyDescent="0.3">
      <c r="AA783" s="3">
        <v>26823.63</v>
      </c>
      <c r="AB783">
        <v>1E-4</v>
      </c>
      <c r="AC783">
        <v>8</v>
      </c>
      <c r="AD783" s="5">
        <v>5.0731005193947505</v>
      </c>
      <c r="AE783" s="5">
        <v>2.2498264149465497</v>
      </c>
      <c r="AF783">
        <v>1</v>
      </c>
    </row>
    <row r="784" spans="27:32" x14ac:dyDescent="0.3">
      <c r="AA784" s="3">
        <v>-8244.81</v>
      </c>
      <c r="AB784">
        <v>1E-4</v>
      </c>
      <c r="AC784">
        <v>9</v>
      </c>
      <c r="AD784" s="5">
        <v>4.812882243638632</v>
      </c>
      <c r="AE784" s="5">
        <v>2.2191727889445239</v>
      </c>
      <c r="AF784">
        <v>1</v>
      </c>
    </row>
    <row r="785" spans="27:32" x14ac:dyDescent="0.3">
      <c r="AA785" s="3">
        <v>-5033.9799999999996</v>
      </c>
      <c r="AB785">
        <v>1E-4</v>
      </c>
      <c r="AC785">
        <v>9</v>
      </c>
      <c r="AD785" s="5">
        <v>5.0481342141231353</v>
      </c>
      <c r="AE785" s="5">
        <v>2.2496413083814262</v>
      </c>
      <c r="AF785">
        <v>1</v>
      </c>
    </row>
    <row r="786" spans="27:32" x14ac:dyDescent="0.3">
      <c r="AA786" s="3">
        <v>11309.84</v>
      </c>
      <c r="AB786">
        <v>1E-4</v>
      </c>
      <c r="AC786">
        <v>8</v>
      </c>
      <c r="AD786" s="5">
        <v>5.013022848926366</v>
      </c>
      <c r="AE786" s="5">
        <v>2.2443846064551662</v>
      </c>
      <c r="AF786">
        <v>1</v>
      </c>
    </row>
    <row r="787" spans="27:32" x14ac:dyDescent="0.3">
      <c r="AA787" s="3">
        <v>31319</v>
      </c>
      <c r="AB787">
        <v>1E-4</v>
      </c>
      <c r="AC787">
        <v>7</v>
      </c>
      <c r="AD787" s="5">
        <v>4.9786477044533513</v>
      </c>
      <c r="AE787" s="5">
        <v>2.2283093049956681</v>
      </c>
      <c r="AF787">
        <v>1</v>
      </c>
    </row>
    <row r="788" spans="27:32" x14ac:dyDescent="0.3">
      <c r="AA788" s="3">
        <v>-10897.41</v>
      </c>
      <c r="AB788">
        <v>1E-4</v>
      </c>
      <c r="AC788">
        <v>9</v>
      </c>
      <c r="AD788" s="5">
        <v>4.882542995713643</v>
      </c>
      <c r="AE788" s="5">
        <v>2.1953358860404162</v>
      </c>
      <c r="AF788">
        <v>1</v>
      </c>
    </row>
    <row r="789" spans="27:32" x14ac:dyDescent="0.3">
      <c r="AA789" s="3">
        <v>-2955.37</v>
      </c>
      <c r="AB789">
        <v>1E-4</v>
      </c>
      <c r="AC789">
        <v>9</v>
      </c>
      <c r="AD789" s="5">
        <v>4.9362108543405032</v>
      </c>
      <c r="AE789" s="5">
        <v>2.1295232794571395</v>
      </c>
      <c r="AF789">
        <v>1</v>
      </c>
    </row>
    <row r="790" spans="27:32" x14ac:dyDescent="0.3">
      <c r="AA790" s="3">
        <v>3055.71</v>
      </c>
      <c r="AB790">
        <v>1E-4</v>
      </c>
      <c r="AC790">
        <v>8</v>
      </c>
      <c r="AD790" s="5">
        <v>4.9782941005830352</v>
      </c>
      <c r="AE790" s="5">
        <v>2.1809475891255929</v>
      </c>
      <c r="AF790">
        <v>1</v>
      </c>
    </row>
    <row r="791" spans="27:32" x14ac:dyDescent="0.3">
      <c r="AA791" s="3">
        <v>16029.43</v>
      </c>
      <c r="AB791">
        <v>1E-4</v>
      </c>
      <c r="AC791">
        <v>8</v>
      </c>
      <c r="AD791" s="5">
        <v>4.9443898972693328</v>
      </c>
      <c r="AE791" s="5">
        <v>2.2519486657858607</v>
      </c>
      <c r="AF791">
        <v>1</v>
      </c>
    </row>
    <row r="792" spans="27:32" x14ac:dyDescent="0.3">
      <c r="AA792" s="3">
        <v>8466.09</v>
      </c>
      <c r="AB792">
        <v>1E-4</v>
      </c>
      <c r="AC792">
        <v>8</v>
      </c>
      <c r="AD792" s="5">
        <v>5.1229529181305598</v>
      </c>
      <c r="AE792" s="5">
        <v>2.1489158019949377</v>
      </c>
      <c r="AF792">
        <v>1</v>
      </c>
    </row>
    <row r="793" spans="27:32" x14ac:dyDescent="0.3">
      <c r="AA793" s="3">
        <v>35024.949999999997</v>
      </c>
      <c r="AB793">
        <v>1E-4</v>
      </c>
      <c r="AC793">
        <v>7</v>
      </c>
      <c r="AD793" s="5">
        <v>5.031767022655826</v>
      </c>
      <c r="AE793" s="5">
        <v>2.200518243903467</v>
      </c>
      <c r="AF793">
        <v>1</v>
      </c>
    </row>
    <row r="794" spans="27:32" x14ac:dyDescent="0.3">
      <c r="AA794" s="3">
        <v>-3994.96</v>
      </c>
      <c r="AB794">
        <v>1E-4</v>
      </c>
      <c r="AC794">
        <v>9</v>
      </c>
      <c r="AD794" s="5">
        <v>4.937117837504724</v>
      </c>
      <c r="AE794" s="5">
        <v>2.185715849699279</v>
      </c>
      <c r="AF794">
        <v>1</v>
      </c>
    </row>
    <row r="795" spans="27:32" x14ac:dyDescent="0.3">
      <c r="AA795" s="3">
        <v>34155.5</v>
      </c>
      <c r="AB795">
        <v>1E-4</v>
      </c>
      <c r="AC795">
        <v>7</v>
      </c>
      <c r="AD795" s="5">
        <v>5.0883291609375316</v>
      </c>
      <c r="AE795" s="5">
        <v>2.1456508666873924</v>
      </c>
      <c r="AF795">
        <v>1</v>
      </c>
    </row>
    <row r="796" spans="27:32" x14ac:dyDescent="0.3">
      <c r="AA796" s="3">
        <v>17196.07</v>
      </c>
      <c r="AB796">
        <v>1E-4</v>
      </c>
      <c r="AC796">
        <v>8</v>
      </c>
      <c r="AD796" s="5">
        <v>5.1057642230999472</v>
      </c>
      <c r="AE796" s="5">
        <v>2.2058147991333859</v>
      </c>
      <c r="AF796">
        <v>1</v>
      </c>
    </row>
    <row r="797" spans="27:32" x14ac:dyDescent="0.3">
      <c r="AA797" s="3">
        <v>-9558.24</v>
      </c>
      <c r="AB797">
        <v>1E-4</v>
      </c>
      <c r="AC797">
        <v>9</v>
      </c>
      <c r="AD797" s="5">
        <v>4.8930591099018894</v>
      </c>
      <c r="AE797" s="5">
        <v>2.2233453840157416</v>
      </c>
      <c r="AF797">
        <v>1</v>
      </c>
    </row>
    <row r="798" spans="27:32" x14ac:dyDescent="0.3">
      <c r="AA798" s="3">
        <v>35844.699999999997</v>
      </c>
      <c r="AB798">
        <v>1E-4</v>
      </c>
      <c r="AC798">
        <v>7</v>
      </c>
      <c r="AD798" s="5">
        <v>4.9070760159861226</v>
      </c>
      <c r="AE798" s="5">
        <v>2.1223329585773265</v>
      </c>
      <c r="AF798">
        <v>1</v>
      </c>
    </row>
    <row r="799" spans="27:32" x14ac:dyDescent="0.3">
      <c r="AA799" s="3">
        <v>1104.0999999999999</v>
      </c>
      <c r="AB799">
        <v>1E-4</v>
      </c>
      <c r="AC799">
        <v>8</v>
      </c>
      <c r="AD799" s="5">
        <v>5.1053499074840012</v>
      </c>
      <c r="AE799" s="5">
        <v>2.1651608542838181</v>
      </c>
      <c r="AF799">
        <v>1</v>
      </c>
    </row>
    <row r="800" spans="27:32" x14ac:dyDescent="0.3">
      <c r="AA800" s="3">
        <v>21365.439999999999</v>
      </c>
      <c r="AB800">
        <v>1E-4</v>
      </c>
      <c r="AC800">
        <v>8</v>
      </c>
      <c r="AD800" s="5">
        <v>5.0304410475485595</v>
      </c>
      <c r="AE800" s="5">
        <v>2.2269203943164939</v>
      </c>
      <c r="AF800">
        <v>1</v>
      </c>
    </row>
    <row r="801" spans="27:32" x14ac:dyDescent="0.3">
      <c r="AA801" s="3">
        <v>30295.31</v>
      </c>
      <c r="AB801">
        <v>1E-4</v>
      </c>
      <c r="AC801">
        <v>7</v>
      </c>
      <c r="AD801" s="5">
        <v>5.0604882456332341</v>
      </c>
      <c r="AE801" s="5">
        <v>2.2103936978362535</v>
      </c>
      <c r="AF801">
        <v>1</v>
      </c>
    </row>
    <row r="802" spans="27:32" x14ac:dyDescent="0.3">
      <c r="AA802" s="3">
        <v>-13008.51</v>
      </c>
      <c r="AB802">
        <v>1E-4</v>
      </c>
      <c r="AC802">
        <v>9</v>
      </c>
      <c r="AD802" s="5">
        <v>4.9372645068597798</v>
      </c>
      <c r="AE802" s="5">
        <v>2.1159131717055986</v>
      </c>
      <c r="AF802">
        <v>1</v>
      </c>
    </row>
    <row r="803" spans="27:32" x14ac:dyDescent="0.3">
      <c r="AA803" s="3">
        <v>8419.1299999999992</v>
      </c>
      <c r="AB803">
        <v>1E-4</v>
      </c>
      <c r="AC803">
        <v>8</v>
      </c>
      <c r="AD803" s="5">
        <v>5.1609061892301771</v>
      </c>
      <c r="AE803" s="5">
        <v>2.1626668491790335</v>
      </c>
      <c r="AF803">
        <v>1</v>
      </c>
    </row>
    <row r="804" spans="27:32" x14ac:dyDescent="0.3">
      <c r="AA804" s="3">
        <v>18481.27</v>
      </c>
      <c r="AB804">
        <v>1E-4</v>
      </c>
      <c r="AC804">
        <v>8</v>
      </c>
      <c r="AD804" s="5">
        <v>4.9777076240229681</v>
      </c>
      <c r="AE804" s="5">
        <v>2.2219402428525026</v>
      </c>
      <c r="AF804">
        <v>1</v>
      </c>
    </row>
    <row r="805" spans="27:32" x14ac:dyDescent="0.3">
      <c r="AA805" s="3">
        <v>13900.6</v>
      </c>
      <c r="AB805">
        <v>1E-4</v>
      </c>
      <c r="AC805">
        <v>8</v>
      </c>
      <c r="AD805" s="5">
        <v>4.9641474457283143</v>
      </c>
      <c r="AE805" s="5">
        <v>2.1880588681251933</v>
      </c>
      <c r="AF805">
        <v>1</v>
      </c>
    </row>
    <row r="806" spans="27:32" x14ac:dyDescent="0.3">
      <c r="AA806" s="3">
        <v>15283.41</v>
      </c>
      <c r="AB806">
        <v>1E-4</v>
      </c>
      <c r="AC806">
        <v>8</v>
      </c>
      <c r="AD806" s="5">
        <v>5.1186629688583754</v>
      </c>
      <c r="AE806" s="5">
        <v>2.234279736393435</v>
      </c>
      <c r="AF806">
        <v>1</v>
      </c>
    </row>
    <row r="807" spans="27:32" x14ac:dyDescent="0.3">
      <c r="AA807" s="3">
        <v>31745.8</v>
      </c>
      <c r="AB807">
        <v>1E-4</v>
      </c>
      <c r="AC807">
        <v>7</v>
      </c>
      <c r="AD807" s="5">
        <v>4.9785150710489239</v>
      </c>
      <c r="AE807" s="5">
        <v>2.1769779677602079</v>
      </c>
      <c r="AF807">
        <v>1</v>
      </c>
    </row>
    <row r="808" spans="27:32" x14ac:dyDescent="0.3">
      <c r="AA808" s="3">
        <v>16733.32</v>
      </c>
      <c r="AB808">
        <v>1E-4</v>
      </c>
      <c r="AC808">
        <v>8</v>
      </c>
      <c r="AD808" s="5">
        <v>4.9923149899519181</v>
      </c>
      <c r="AE808" s="5">
        <v>2.1759007760226714</v>
      </c>
      <c r="AF808">
        <v>1</v>
      </c>
    </row>
    <row r="809" spans="27:32" x14ac:dyDescent="0.3">
      <c r="AA809" s="3">
        <v>10949.71</v>
      </c>
      <c r="AB809">
        <v>1E-4</v>
      </c>
      <c r="AC809">
        <v>8</v>
      </c>
      <c r="AD809" s="5">
        <v>4.9456014324314364</v>
      </c>
      <c r="AE809" s="5">
        <v>2.2005813946830277</v>
      </c>
      <c r="AF809">
        <v>1</v>
      </c>
    </row>
    <row r="810" spans="27:32" x14ac:dyDescent="0.3">
      <c r="AA810" s="3">
        <v>4756.6899999999996</v>
      </c>
      <c r="AB810">
        <v>1E-4</v>
      </c>
      <c r="AC810">
        <v>8</v>
      </c>
      <c r="AD810" s="5">
        <v>4.9332503056716259</v>
      </c>
      <c r="AE810" s="5">
        <v>2.2318449061759367</v>
      </c>
      <c r="AF810">
        <v>1</v>
      </c>
    </row>
    <row r="811" spans="27:32" x14ac:dyDescent="0.3">
      <c r="AA811" s="3">
        <v>1929.49</v>
      </c>
      <c r="AB811">
        <v>1E-4</v>
      </c>
      <c r="AC811">
        <v>8</v>
      </c>
      <c r="AD811" s="5">
        <v>4.8647176992344638</v>
      </c>
      <c r="AE811" s="5">
        <v>2.2327530889454175</v>
      </c>
      <c r="AF811">
        <v>1</v>
      </c>
    </row>
    <row r="812" spans="27:32" x14ac:dyDescent="0.3">
      <c r="AA812" s="3">
        <v>19195.21</v>
      </c>
      <c r="AB812">
        <v>1E-4</v>
      </c>
      <c r="AC812">
        <v>8</v>
      </c>
      <c r="AD812" s="5">
        <v>4.9221889702935702</v>
      </c>
      <c r="AE812" s="5">
        <v>2.0997992956119305</v>
      </c>
      <c r="AF812">
        <v>1</v>
      </c>
    </row>
    <row r="813" spans="27:32" x14ac:dyDescent="0.3">
      <c r="AA813" s="3">
        <v>8707.73</v>
      </c>
      <c r="AB813">
        <v>1E-4</v>
      </c>
      <c r="AC813">
        <v>8</v>
      </c>
      <c r="AD813" s="5">
        <v>4.9378426960533446</v>
      </c>
      <c r="AE813" s="5">
        <v>2.2981071414285585</v>
      </c>
      <c r="AF813">
        <v>1</v>
      </c>
    </row>
    <row r="814" spans="27:32" x14ac:dyDescent="0.3">
      <c r="AA814" s="3">
        <v>11795.25</v>
      </c>
      <c r="AB814">
        <v>1E-4</v>
      </c>
      <c r="AC814">
        <v>8</v>
      </c>
      <c r="AD814" s="5">
        <v>5.0356639410712694</v>
      </c>
      <c r="AE814" s="5">
        <v>2.1994411495491004</v>
      </c>
      <c r="AF814">
        <v>1</v>
      </c>
    </row>
    <row r="815" spans="27:32" x14ac:dyDescent="0.3">
      <c r="AA815" s="3">
        <v>8261.66</v>
      </c>
      <c r="AB815">
        <v>1E-4</v>
      </c>
      <c r="AC815">
        <v>8</v>
      </c>
      <c r="AD815" s="5">
        <v>5.0523304639974604</v>
      </c>
      <c r="AE815" s="5">
        <v>2.2431089073780432</v>
      </c>
      <c r="AF815">
        <v>1</v>
      </c>
    </row>
    <row r="816" spans="27:32" x14ac:dyDescent="0.3">
      <c r="AA816" s="3">
        <v>5061.58</v>
      </c>
      <c r="AB816">
        <v>1E-4</v>
      </c>
      <c r="AC816">
        <v>8</v>
      </c>
      <c r="AD816" s="5">
        <v>4.9821595186572276</v>
      </c>
      <c r="AE816" s="5">
        <v>2.17148910821142</v>
      </c>
      <c r="AF816">
        <v>1</v>
      </c>
    </row>
    <row r="817" spans="27:32" x14ac:dyDescent="0.3">
      <c r="AA817" s="3">
        <v>26885.43</v>
      </c>
      <c r="AB817">
        <v>1E-4</v>
      </c>
      <c r="AC817">
        <v>8</v>
      </c>
      <c r="AD817" s="5">
        <v>5.2714926016571066</v>
      </c>
      <c r="AE817" s="5">
        <v>2.214071221223779</v>
      </c>
      <c r="AF817">
        <v>1</v>
      </c>
    </row>
    <row r="818" spans="27:32" x14ac:dyDescent="0.3">
      <c r="AA818" s="3">
        <v>16937.580000000002</v>
      </c>
      <c r="AB818">
        <v>1E-4</v>
      </c>
      <c r="AC818">
        <v>8</v>
      </c>
      <c r="AD818" s="5">
        <v>4.984770539870321</v>
      </c>
      <c r="AE818" s="5">
        <v>2.1522838150590862</v>
      </c>
      <c r="AF818">
        <v>1</v>
      </c>
    </row>
    <row r="819" spans="27:32" x14ac:dyDescent="0.3">
      <c r="AA819" s="3">
        <v>15058.5</v>
      </c>
      <c r="AB819">
        <v>1E-4</v>
      </c>
      <c r="AC819">
        <v>8</v>
      </c>
      <c r="AD819" s="5">
        <v>5.1546724206924823</v>
      </c>
      <c r="AE819" s="5">
        <v>2.2516984154153579</v>
      </c>
      <c r="AF819">
        <v>1</v>
      </c>
    </row>
    <row r="820" spans="27:32" x14ac:dyDescent="0.3">
      <c r="AA820" s="3">
        <v>12960.93</v>
      </c>
      <c r="AB820">
        <v>1E-4</v>
      </c>
      <c r="AC820">
        <v>8</v>
      </c>
      <c r="AD820" s="5">
        <v>4.9521468846993715</v>
      </c>
      <c r="AE820" s="5">
        <v>2.1970553880965418</v>
      </c>
      <c r="AF820">
        <v>1</v>
      </c>
    </row>
    <row r="821" spans="27:32" x14ac:dyDescent="0.3">
      <c r="AA821" s="3">
        <v>22153.23</v>
      </c>
      <c r="AB821">
        <v>1E-4</v>
      </c>
      <c r="AC821">
        <v>8</v>
      </c>
      <c r="AD821" s="5">
        <v>4.8636311829445225</v>
      </c>
      <c r="AE821" s="5">
        <v>2.0960232948220812</v>
      </c>
      <c r="AF821">
        <v>1</v>
      </c>
    </row>
    <row r="822" spans="27:32" x14ac:dyDescent="0.3">
      <c r="AA822" s="3">
        <v>-18398.93</v>
      </c>
      <c r="AB822">
        <v>1E-4</v>
      </c>
      <c r="AC822">
        <v>9</v>
      </c>
      <c r="AD822" s="5">
        <v>4.8561828584118309</v>
      </c>
      <c r="AE822" s="5">
        <v>2.2673955645313857</v>
      </c>
      <c r="AF822">
        <v>1</v>
      </c>
    </row>
    <row r="823" spans="27:32" x14ac:dyDescent="0.3">
      <c r="AA823" s="3">
        <v>6822.44</v>
      </c>
      <c r="AB823">
        <v>1E-4</v>
      </c>
      <c r="AC823">
        <v>8</v>
      </c>
      <c r="AD823" s="5">
        <v>5.1783512935065579</v>
      </c>
      <c r="AE823" s="5">
        <v>2.2453845295087063</v>
      </c>
      <c r="AF823">
        <v>1</v>
      </c>
    </row>
    <row r="824" spans="27:32" x14ac:dyDescent="0.3">
      <c r="AA824" s="3">
        <v>-8432.16</v>
      </c>
      <c r="AB824">
        <v>1E-4</v>
      </c>
      <c r="AC824">
        <v>9</v>
      </c>
      <c r="AD824" s="5">
        <v>4.7944165448225693</v>
      </c>
      <c r="AE824" s="5">
        <v>2.244544889989446</v>
      </c>
      <c r="AF824">
        <v>1</v>
      </c>
    </row>
    <row r="825" spans="27:32" x14ac:dyDescent="0.3">
      <c r="AA825" s="3">
        <v>18932.82</v>
      </c>
      <c r="AB825">
        <v>1E-4</v>
      </c>
      <c r="AC825">
        <v>8</v>
      </c>
      <c r="AD825" s="5">
        <v>5.004443905411482</v>
      </c>
      <c r="AE825" s="5">
        <v>2.1137392160781228</v>
      </c>
      <c r="AF825">
        <v>1</v>
      </c>
    </row>
    <row r="826" spans="27:32" x14ac:dyDescent="0.3">
      <c r="AA826" s="3">
        <v>18703.060000000001</v>
      </c>
      <c r="AB826">
        <v>1E-4</v>
      </c>
      <c r="AC826">
        <v>8</v>
      </c>
      <c r="AD826" s="5">
        <v>4.9692907040244547</v>
      </c>
      <c r="AE826" s="5">
        <v>2.1352500887138652</v>
      </c>
      <c r="AF826">
        <v>1</v>
      </c>
    </row>
    <row r="827" spans="27:32" x14ac:dyDescent="0.3">
      <c r="AA827" s="3">
        <v>-1601.46</v>
      </c>
      <c r="AB827">
        <v>1E-4</v>
      </c>
      <c r="AC827">
        <v>9</v>
      </c>
      <c r="AD827" s="5">
        <v>4.9517630769248591</v>
      </c>
      <c r="AE827" s="5">
        <v>2.1967997719550505</v>
      </c>
      <c r="AF827">
        <v>1</v>
      </c>
    </row>
    <row r="828" spans="27:32" x14ac:dyDescent="0.3">
      <c r="AA828" s="3">
        <v>8593.31</v>
      </c>
      <c r="AB828">
        <v>1E-4</v>
      </c>
      <c r="AC828">
        <v>8</v>
      </c>
      <c r="AD828" s="5">
        <v>5.0588210736380068</v>
      </c>
      <c r="AE828" s="5">
        <v>2.1916587498656783</v>
      </c>
      <c r="AF828">
        <v>1</v>
      </c>
    </row>
    <row r="829" spans="27:32" x14ac:dyDescent="0.3">
      <c r="AA829" s="3">
        <v>10959.73</v>
      </c>
      <c r="AB829">
        <v>1E-4</v>
      </c>
      <c r="AC829">
        <v>8</v>
      </c>
      <c r="AD829" s="5">
        <v>4.9581029329309141</v>
      </c>
      <c r="AE829" s="5">
        <v>2.2277204595958144</v>
      </c>
      <c r="AF829">
        <v>1</v>
      </c>
    </row>
    <row r="830" spans="27:32" x14ac:dyDescent="0.3">
      <c r="AA830" s="3">
        <v>15208.1</v>
      </c>
      <c r="AB830">
        <v>1E-4</v>
      </c>
      <c r="AC830">
        <v>8</v>
      </c>
      <c r="AD830" s="5">
        <v>4.798813859758436</v>
      </c>
      <c r="AE830" s="5">
        <v>2.2155771654932055</v>
      </c>
      <c r="AF830">
        <v>1</v>
      </c>
    </row>
    <row r="831" spans="27:32" x14ac:dyDescent="0.3">
      <c r="AA831" s="3">
        <v>28992.77</v>
      </c>
      <c r="AB831">
        <v>1E-4</v>
      </c>
      <c r="AC831">
        <v>8</v>
      </c>
      <c r="AD831" s="5">
        <v>4.9971287900581762</v>
      </c>
      <c r="AE831" s="5">
        <v>2.1436562266486936</v>
      </c>
      <c r="AF831">
        <v>1</v>
      </c>
    </row>
    <row r="832" spans="27:32" x14ac:dyDescent="0.3">
      <c r="AA832" s="3">
        <v>4754.8500000000004</v>
      </c>
      <c r="AB832">
        <v>1E-4</v>
      </c>
      <c r="AC832">
        <v>8</v>
      </c>
      <c r="AD832" s="5">
        <v>4.9934313409343245</v>
      </c>
      <c r="AE832" s="5">
        <v>2.231302906028291</v>
      </c>
      <c r="AF832">
        <v>1</v>
      </c>
    </row>
    <row r="833" spans="27:32" x14ac:dyDescent="0.3">
      <c r="AA833" s="3">
        <v>-21779.58</v>
      </c>
      <c r="AB833">
        <v>1E-4</v>
      </c>
      <c r="AC833">
        <v>9</v>
      </c>
      <c r="AD833" s="5">
        <v>5.0075786852314623</v>
      </c>
      <c r="AE833" s="5">
        <v>2.2311240568995268</v>
      </c>
      <c r="AF833">
        <v>1</v>
      </c>
    </row>
    <row r="834" spans="27:32" x14ac:dyDescent="0.3">
      <c r="AA834" s="3">
        <v>-2740.36</v>
      </c>
      <c r="AB834">
        <v>1E-4</v>
      </c>
      <c r="AC834">
        <v>9</v>
      </c>
      <c r="AD834" s="5">
        <v>5.0309546880692357</v>
      </c>
      <c r="AE834" s="5">
        <v>2.172761491387182</v>
      </c>
      <c r="AF834">
        <v>1</v>
      </c>
    </row>
    <row r="835" spans="27:32" x14ac:dyDescent="0.3">
      <c r="AA835" s="3">
        <v>47473.1</v>
      </c>
      <c r="AB835">
        <v>1E-4</v>
      </c>
      <c r="AC835">
        <v>6</v>
      </c>
      <c r="AD835" s="5">
        <v>5.0572230940926985</v>
      </c>
      <c r="AE835" s="5">
        <v>2.1811844214279601</v>
      </c>
      <c r="AF835">
        <v>1</v>
      </c>
    </row>
    <row r="836" spans="27:32" x14ac:dyDescent="0.3">
      <c r="AA836" s="3">
        <v>8962.14</v>
      </c>
      <c r="AB836">
        <v>1E-4</v>
      </c>
      <c r="AC836">
        <v>8</v>
      </c>
      <c r="AD836" s="5">
        <v>4.9501595668573311</v>
      </c>
      <c r="AE836" s="5">
        <v>2.2234750126439042</v>
      </c>
      <c r="AF836">
        <v>1</v>
      </c>
    </row>
    <row r="837" spans="27:32" x14ac:dyDescent="0.3">
      <c r="AA837" s="3">
        <v>2304.77</v>
      </c>
      <c r="AB837">
        <v>1E-4</v>
      </c>
      <c r="AC837">
        <v>8</v>
      </c>
      <c r="AD837" s="5">
        <v>4.8227732318368099</v>
      </c>
      <c r="AE837" s="5">
        <v>2.2026539927409177</v>
      </c>
      <c r="AF837">
        <v>1</v>
      </c>
    </row>
    <row r="838" spans="27:32" x14ac:dyDescent="0.3">
      <c r="AA838" s="3">
        <v>14764.37</v>
      </c>
      <c r="AB838">
        <v>1E-4</v>
      </c>
      <c r="AC838">
        <v>8</v>
      </c>
      <c r="AD838" s="5">
        <v>4.9294891754149326</v>
      </c>
      <c r="AE838" s="5">
        <v>2.248326662792814</v>
      </c>
      <c r="AF838">
        <v>1</v>
      </c>
    </row>
    <row r="839" spans="27:32" x14ac:dyDescent="0.3">
      <c r="AA839" s="3">
        <v>-26483.05</v>
      </c>
      <c r="AB839">
        <v>1E-4</v>
      </c>
      <c r="AC839">
        <v>9</v>
      </c>
      <c r="AD839" s="5">
        <v>4.8668566048526989</v>
      </c>
      <c r="AE839" s="5">
        <v>2.2267662304647371</v>
      </c>
      <c r="AF839">
        <v>1</v>
      </c>
    </row>
    <row r="840" spans="27:32" x14ac:dyDescent="0.3">
      <c r="AA840" s="3">
        <v>39.4</v>
      </c>
      <c r="AB840">
        <v>1E-4</v>
      </c>
      <c r="AC840">
        <v>8</v>
      </c>
      <c r="AD840" s="5">
        <v>4.8497306332061889</v>
      </c>
      <c r="AE840" s="5">
        <v>2.1741178692271497</v>
      </c>
      <c r="AF840">
        <v>1</v>
      </c>
    </row>
    <row r="841" spans="27:32" x14ac:dyDescent="0.3">
      <c r="AA841" s="3">
        <v>11469.84</v>
      </c>
      <c r="AB841">
        <v>1E-4</v>
      </c>
      <c r="AC841">
        <v>8</v>
      </c>
      <c r="AD841" s="5">
        <v>4.9537656662901588</v>
      </c>
      <c r="AE841" s="5">
        <v>2.2861212481391675</v>
      </c>
      <c r="AF841">
        <v>1</v>
      </c>
    </row>
    <row r="842" spans="27:32" x14ac:dyDescent="0.3">
      <c r="AA842" s="3">
        <v>21285.47</v>
      </c>
      <c r="AB842">
        <v>1E-4</v>
      </c>
      <c r="AC842">
        <v>8</v>
      </c>
      <c r="AD842" s="5">
        <v>4.9249478495897625</v>
      </c>
      <c r="AE842" s="5">
        <v>2.189030503782933</v>
      </c>
      <c r="AF842">
        <v>1</v>
      </c>
    </row>
    <row r="843" spans="27:32" x14ac:dyDescent="0.3">
      <c r="AA843" s="3">
        <v>10198.950000000001</v>
      </c>
      <c r="AB843">
        <v>1E-4</v>
      </c>
      <c r="AC843">
        <v>8</v>
      </c>
      <c r="AD843" s="5">
        <v>5.2076282781349983</v>
      </c>
      <c r="AE843" s="5">
        <v>2.2238815804072827</v>
      </c>
      <c r="AF843">
        <v>1</v>
      </c>
    </row>
    <row r="844" spans="27:32" x14ac:dyDescent="0.3">
      <c r="AA844" s="3">
        <v>36809.17</v>
      </c>
      <c r="AB844">
        <v>1E-4</v>
      </c>
      <c r="AC844">
        <v>7</v>
      </c>
      <c r="AD844" s="5">
        <v>5.0336141491135251</v>
      </c>
      <c r="AE844" s="5">
        <v>2.2043887096073331</v>
      </c>
      <c r="AF844">
        <v>1</v>
      </c>
    </row>
    <row r="845" spans="27:32" x14ac:dyDescent="0.3">
      <c r="AA845" s="3">
        <v>17508.45</v>
      </c>
      <c r="AB845">
        <v>1E-4</v>
      </c>
      <c r="AC845">
        <v>8</v>
      </c>
      <c r="AD845" s="5">
        <v>5.1405989433076735</v>
      </c>
      <c r="AE845" s="5">
        <v>2.1586496577119223</v>
      </c>
      <c r="AF845">
        <v>1</v>
      </c>
    </row>
    <row r="846" spans="27:32" x14ac:dyDescent="0.3">
      <c r="AA846" s="3">
        <v>18947.93</v>
      </c>
      <c r="AB846">
        <v>1E-4</v>
      </c>
      <c r="AC846">
        <v>8</v>
      </c>
      <c r="AD846" s="5">
        <v>5.0182604116047678</v>
      </c>
      <c r="AE846" s="5">
        <v>2.2252658825740617</v>
      </c>
      <c r="AF846">
        <v>1</v>
      </c>
    </row>
    <row r="847" spans="27:32" x14ac:dyDescent="0.3">
      <c r="AA847" s="3">
        <v>29493.94</v>
      </c>
      <c r="AB847">
        <v>1E-4</v>
      </c>
      <c r="AC847">
        <v>8</v>
      </c>
      <c r="AD847" s="5">
        <v>5.071329286746459</v>
      </c>
      <c r="AE847" s="5">
        <v>2.1984505660771823</v>
      </c>
      <c r="AF847">
        <v>1</v>
      </c>
    </row>
    <row r="848" spans="27:32" x14ac:dyDescent="0.3">
      <c r="AA848" s="3">
        <v>28073.57</v>
      </c>
      <c r="AB848">
        <v>1E-4</v>
      </c>
      <c r="AC848">
        <v>7</v>
      </c>
      <c r="AD848" s="5">
        <v>4.9902783477532831</v>
      </c>
      <c r="AE848" s="5">
        <v>2.2051770216737689</v>
      </c>
      <c r="AF848">
        <v>1</v>
      </c>
    </row>
    <row r="849" spans="27:32" x14ac:dyDescent="0.3">
      <c r="AA849" s="3">
        <v>4829.91</v>
      </c>
      <c r="AB849">
        <v>1E-4</v>
      </c>
      <c r="AC849">
        <v>8</v>
      </c>
      <c r="AD849" s="5">
        <v>4.9177334073637189</v>
      </c>
      <c r="AE849" s="5">
        <v>2.315309310789341</v>
      </c>
      <c r="AF849">
        <v>1</v>
      </c>
    </row>
    <row r="850" spans="27:32" x14ac:dyDescent="0.3">
      <c r="AA850" s="3">
        <v>11249.54</v>
      </c>
      <c r="AB850">
        <v>1E-4</v>
      </c>
      <c r="AC850">
        <v>8</v>
      </c>
      <c r="AD850" s="5">
        <v>4.9847053190227788</v>
      </c>
      <c r="AE850" s="5">
        <v>2.2142239977399192</v>
      </c>
      <c r="AF850">
        <v>1</v>
      </c>
    </row>
    <row r="851" spans="27:32" x14ac:dyDescent="0.3">
      <c r="AA851" s="3">
        <v>11878.16</v>
      </c>
      <c r="AB851">
        <v>1E-4</v>
      </c>
      <c r="AC851">
        <v>8</v>
      </c>
      <c r="AD851" s="5">
        <v>5.0450207752098626</v>
      </c>
      <c r="AE851" s="5">
        <v>2.2583360516824857</v>
      </c>
      <c r="AF851">
        <v>1</v>
      </c>
    </row>
    <row r="852" spans="27:32" x14ac:dyDescent="0.3">
      <c r="AA852" s="3">
        <v>18150.38</v>
      </c>
      <c r="AB852">
        <v>1E-4</v>
      </c>
      <c r="AC852">
        <v>8</v>
      </c>
      <c r="AD852" s="5">
        <v>4.8412280525540954</v>
      </c>
      <c r="AE852" s="5">
        <v>2.1925396587638395</v>
      </c>
      <c r="AF852">
        <v>1</v>
      </c>
    </row>
    <row r="853" spans="27:32" x14ac:dyDescent="0.3">
      <c r="AA853" s="3">
        <v>4454.0200000000004</v>
      </c>
      <c r="AB853">
        <v>1E-4</v>
      </c>
      <c r="AC853">
        <v>8</v>
      </c>
      <c r="AD853" s="5">
        <v>4.9865127196547716</v>
      </c>
      <c r="AE853" s="5">
        <v>2.2114228433172345</v>
      </c>
      <c r="AF853">
        <v>1</v>
      </c>
    </row>
    <row r="854" spans="27:32" x14ac:dyDescent="0.3">
      <c r="AA854" s="3">
        <v>54858.37</v>
      </c>
      <c r="AB854">
        <v>1E-4</v>
      </c>
      <c r="AC854">
        <v>6</v>
      </c>
      <c r="AD854" s="5">
        <v>4.9721659540764742</v>
      </c>
      <c r="AE854" s="5">
        <v>2.17300414525327</v>
      </c>
      <c r="AF854">
        <v>1</v>
      </c>
    </row>
    <row r="855" spans="27:32" x14ac:dyDescent="0.3">
      <c r="AA855" s="3">
        <v>20559.37</v>
      </c>
      <c r="AB855">
        <v>1E-4</v>
      </c>
      <c r="AC855">
        <v>8</v>
      </c>
      <c r="AD855" s="5">
        <v>5.0151161150992563</v>
      </c>
      <c r="AE855" s="5">
        <v>2.1641993971848539</v>
      </c>
      <c r="AF855">
        <v>1</v>
      </c>
    </row>
    <row r="856" spans="27:32" x14ac:dyDescent="0.3">
      <c r="AA856" s="3">
        <v>12033.6</v>
      </c>
      <c r="AB856">
        <v>1E-4</v>
      </c>
      <c r="AC856">
        <v>8</v>
      </c>
      <c r="AD856" s="5">
        <v>5.067291845777576</v>
      </c>
      <c r="AE856" s="5">
        <v>2.2097541373471556</v>
      </c>
      <c r="AF856">
        <v>1</v>
      </c>
    </row>
    <row r="857" spans="27:32" x14ac:dyDescent="0.3">
      <c r="AA857" s="3">
        <v>22090.83</v>
      </c>
      <c r="AB857">
        <v>1E-4</v>
      </c>
      <c r="AC857">
        <v>8</v>
      </c>
      <c r="AD857" s="5">
        <v>4.9082052150714652</v>
      </c>
      <c r="AE857" s="5">
        <v>2.1812490257822548</v>
      </c>
      <c r="AF857">
        <v>1</v>
      </c>
    </row>
    <row r="858" spans="27:32" x14ac:dyDescent="0.3">
      <c r="AA858" s="3">
        <v>31924.84</v>
      </c>
      <c r="AB858">
        <v>1E-4</v>
      </c>
      <c r="AC858">
        <v>7</v>
      </c>
      <c r="AD858" s="5">
        <v>4.8596376245903077</v>
      </c>
      <c r="AE858" s="5">
        <v>2.0746513250251826</v>
      </c>
      <c r="AF858">
        <v>1</v>
      </c>
    </row>
    <row r="859" spans="27:32" x14ac:dyDescent="0.3">
      <c r="AA859" s="3">
        <v>-4966.38</v>
      </c>
      <c r="AB859">
        <v>1E-4</v>
      </c>
      <c r="AC859">
        <v>9</v>
      </c>
      <c r="AD859" s="5">
        <v>4.835357188675693</v>
      </c>
      <c r="AE859" s="5">
        <v>2.1829061045352085</v>
      </c>
      <c r="AF859">
        <v>1</v>
      </c>
    </row>
    <row r="860" spans="27:32" x14ac:dyDescent="0.3">
      <c r="AA860" s="3">
        <v>19644.87</v>
      </c>
      <c r="AB860">
        <v>1E-4</v>
      </c>
      <c r="AC860">
        <v>8</v>
      </c>
      <c r="AD860" s="5">
        <v>4.8828148231283128</v>
      </c>
      <c r="AE860" s="5">
        <v>2.1673636180921796</v>
      </c>
      <c r="AF860">
        <v>1</v>
      </c>
    </row>
    <row r="861" spans="27:32" x14ac:dyDescent="0.3">
      <c r="AA861" s="3">
        <v>25340.77</v>
      </c>
      <c r="AB861">
        <v>1E-4</v>
      </c>
      <c r="AC861">
        <v>8</v>
      </c>
      <c r="AD861" s="5">
        <v>5.1847838974120588</v>
      </c>
      <c r="AE861" s="5">
        <v>2.2516527408286682</v>
      </c>
      <c r="AF861">
        <v>1</v>
      </c>
    </row>
    <row r="862" spans="27:32" x14ac:dyDescent="0.3">
      <c r="AA862" s="3">
        <v>18575.68</v>
      </c>
      <c r="AB862">
        <v>1E-4</v>
      </c>
      <c r="AC862">
        <v>8</v>
      </c>
      <c r="AD862" s="5">
        <v>4.950785201307708</v>
      </c>
      <c r="AE862" s="5">
        <v>2.1138687485280299</v>
      </c>
      <c r="AF862">
        <v>1</v>
      </c>
    </row>
    <row r="863" spans="27:32" x14ac:dyDescent="0.3">
      <c r="AA863" s="3">
        <v>-1033.25</v>
      </c>
      <c r="AB863">
        <v>1E-4</v>
      </c>
      <c r="AC863">
        <v>9</v>
      </c>
      <c r="AD863" s="5">
        <v>4.9488710957075401</v>
      </c>
      <c r="AE863" s="5">
        <v>2.1775025825189482</v>
      </c>
      <c r="AF863">
        <v>1</v>
      </c>
    </row>
    <row r="864" spans="27:32" x14ac:dyDescent="0.3">
      <c r="AA864" s="3">
        <v>44922.32</v>
      </c>
      <c r="AB864">
        <v>1E-4</v>
      </c>
      <c r="AC864">
        <v>7</v>
      </c>
      <c r="AD864" s="5">
        <v>5.2257245620440962</v>
      </c>
      <c r="AE864" s="5">
        <v>2.1822279010020473</v>
      </c>
      <c r="AF864">
        <v>1</v>
      </c>
    </row>
    <row r="865" spans="27:32" x14ac:dyDescent="0.3">
      <c r="AA865" s="3">
        <v>6253.92</v>
      </c>
      <c r="AB865">
        <v>1E-4</v>
      </c>
      <c r="AC865">
        <v>8</v>
      </c>
      <c r="AD865" s="5">
        <v>4.8872556441588015</v>
      </c>
      <c r="AE865" s="5">
        <v>2.1586797038751651</v>
      </c>
      <c r="AF865">
        <v>1</v>
      </c>
    </row>
    <row r="866" spans="27:32" x14ac:dyDescent="0.3">
      <c r="AA866" s="3">
        <v>19934.71</v>
      </c>
      <c r="AB866">
        <v>1E-4</v>
      </c>
      <c r="AC866">
        <v>8</v>
      </c>
      <c r="AD866" s="5">
        <v>5.1281968551872064</v>
      </c>
      <c r="AE866" s="5">
        <v>2.1957503015209121</v>
      </c>
      <c r="AF866">
        <v>1</v>
      </c>
    </row>
    <row r="867" spans="27:32" x14ac:dyDescent="0.3">
      <c r="AA867" s="3">
        <v>-6897.4</v>
      </c>
      <c r="AB867">
        <v>1E-4</v>
      </c>
      <c r="AC867">
        <v>9</v>
      </c>
      <c r="AD867" s="5">
        <v>4.848758696639127</v>
      </c>
      <c r="AE867" s="5">
        <v>2.1825376210167544</v>
      </c>
      <c r="AF867">
        <v>1</v>
      </c>
    </row>
    <row r="868" spans="27:32" x14ac:dyDescent="0.3">
      <c r="AA868" s="3">
        <v>22769.75</v>
      </c>
      <c r="AB868">
        <v>1E-4</v>
      </c>
      <c r="AC868">
        <v>8</v>
      </c>
      <c r="AD868" s="5">
        <v>4.8259659372140025</v>
      </c>
      <c r="AE868" s="5">
        <v>2.2039051137784096</v>
      </c>
      <c r="AF868">
        <v>1</v>
      </c>
    </row>
    <row r="869" spans="27:32" x14ac:dyDescent="0.3">
      <c r="AA869" s="3">
        <v>30631.41</v>
      </c>
      <c r="AB869">
        <v>1E-4</v>
      </c>
      <c r="AC869">
        <v>7</v>
      </c>
      <c r="AD869" s="5">
        <v>5.1766843617866689</v>
      </c>
      <c r="AE869" s="5">
        <v>2.2614153673210549</v>
      </c>
      <c r="AF869">
        <v>1</v>
      </c>
    </row>
    <row r="870" spans="27:32" x14ac:dyDescent="0.3">
      <c r="AA870" s="3">
        <v>17754.16</v>
      </c>
      <c r="AB870">
        <v>1E-4</v>
      </c>
      <c r="AC870">
        <v>8</v>
      </c>
      <c r="AD870" s="5">
        <v>5.0012445425948764</v>
      </c>
      <c r="AE870" s="5">
        <v>2.1868782758104093</v>
      </c>
      <c r="AF870">
        <v>1</v>
      </c>
    </row>
    <row r="871" spans="27:32" x14ac:dyDescent="0.3">
      <c r="AA871" s="3">
        <v>19373.28</v>
      </c>
      <c r="AB871">
        <v>1E-4</v>
      </c>
      <c r="AC871">
        <v>8</v>
      </c>
      <c r="AD871" s="5">
        <v>4.9513595540074355</v>
      </c>
      <c r="AE871" s="5">
        <v>2.1548185458626521</v>
      </c>
      <c r="AF871">
        <v>1</v>
      </c>
    </row>
    <row r="872" spans="27:32" x14ac:dyDescent="0.3">
      <c r="AA872" s="3">
        <v>12738.06</v>
      </c>
      <c r="AB872">
        <v>1E-4</v>
      </c>
      <c r="AC872">
        <v>8</v>
      </c>
      <c r="AD872" s="5">
        <v>4.99802382009283</v>
      </c>
      <c r="AE872" s="5">
        <v>2.1483588454732132</v>
      </c>
      <c r="AF872">
        <v>1</v>
      </c>
    </row>
    <row r="873" spans="27:32" x14ac:dyDescent="0.3">
      <c r="AA873" s="3">
        <v>19468.009999999998</v>
      </c>
      <c r="AB873">
        <v>1E-4</v>
      </c>
      <c r="AC873">
        <v>8</v>
      </c>
      <c r="AD873" s="5">
        <v>4.9678237882594827</v>
      </c>
      <c r="AE873" s="5">
        <v>2.2003419809311251</v>
      </c>
      <c r="AF873">
        <v>1</v>
      </c>
    </row>
    <row r="874" spans="27:32" x14ac:dyDescent="0.3">
      <c r="AA874" s="3">
        <v>14809.15</v>
      </c>
      <c r="AB874">
        <v>1E-4</v>
      </c>
      <c r="AC874">
        <v>8</v>
      </c>
      <c r="AD874" s="5">
        <v>4.9870395221476507</v>
      </c>
      <c r="AE874" s="5">
        <v>2.1807503985119507</v>
      </c>
      <c r="AF874">
        <v>1</v>
      </c>
    </row>
    <row r="875" spans="27:32" x14ac:dyDescent="0.3">
      <c r="AA875" s="3">
        <v>45193.56</v>
      </c>
      <c r="AB875">
        <v>1E-4</v>
      </c>
      <c r="AC875">
        <v>6</v>
      </c>
      <c r="AD875" s="5">
        <v>4.9477749166761065</v>
      </c>
      <c r="AE875" s="5">
        <v>2.154969813993179</v>
      </c>
      <c r="AF875">
        <v>1</v>
      </c>
    </row>
    <row r="876" spans="27:32" x14ac:dyDescent="0.3">
      <c r="AA876" s="3">
        <v>8277.23</v>
      </c>
      <c r="AB876">
        <v>1E-4</v>
      </c>
      <c r="AC876">
        <v>8</v>
      </c>
      <c r="AD876" s="5">
        <v>4.9617995479737038</v>
      </c>
      <c r="AE876" s="5">
        <v>2.1771944310092795</v>
      </c>
      <c r="AF876">
        <v>1</v>
      </c>
    </row>
    <row r="877" spans="27:32" x14ac:dyDescent="0.3">
      <c r="AA877" s="3">
        <v>5905.31</v>
      </c>
      <c r="AB877">
        <v>1E-4</v>
      </c>
      <c r="AC877">
        <v>8</v>
      </c>
      <c r="AD877" s="5">
        <v>4.8895437793388528</v>
      </c>
      <c r="AE877" s="5">
        <v>2.3190246111491781</v>
      </c>
      <c r="AF877">
        <v>1</v>
      </c>
    </row>
    <row r="878" spans="27:32" x14ac:dyDescent="0.3">
      <c r="AA878" s="3">
        <v>34865.800000000003</v>
      </c>
      <c r="AB878">
        <v>1E-4</v>
      </c>
      <c r="AC878">
        <v>7</v>
      </c>
      <c r="AD878" s="5">
        <v>5.1070045220329119</v>
      </c>
      <c r="AE878" s="5">
        <v>2.1726806914327015</v>
      </c>
      <c r="AF878">
        <v>1</v>
      </c>
    </row>
    <row r="879" spans="27:32" x14ac:dyDescent="0.3">
      <c r="AA879" s="3">
        <v>39584.85</v>
      </c>
      <c r="AB879">
        <v>1E-4</v>
      </c>
      <c r="AC879">
        <v>7</v>
      </c>
      <c r="AD879" s="5">
        <v>5.0058105438592104</v>
      </c>
      <c r="AE879" s="5">
        <v>2.215336334731806</v>
      </c>
      <c r="AF879">
        <v>1</v>
      </c>
    </row>
    <row r="880" spans="27:32" x14ac:dyDescent="0.3">
      <c r="AA880" s="3">
        <v>32302.22</v>
      </c>
      <c r="AB880">
        <v>1E-4</v>
      </c>
      <c r="AC880">
        <v>7</v>
      </c>
      <c r="AD880" s="5">
        <v>5.0258832457951153</v>
      </c>
      <c r="AE880" s="5">
        <v>2.1845681079100419</v>
      </c>
      <c r="AF880">
        <v>1</v>
      </c>
    </row>
    <row r="881" spans="27:32" x14ac:dyDescent="0.3">
      <c r="AA881" s="3">
        <v>19074.78</v>
      </c>
      <c r="AB881">
        <v>1E-4</v>
      </c>
      <c r="AC881">
        <v>8</v>
      </c>
      <c r="AD881" s="5">
        <v>4.9137359843983202</v>
      </c>
      <c r="AE881" s="5">
        <v>2.1109387010238758</v>
      </c>
      <c r="AF881">
        <v>1</v>
      </c>
    </row>
    <row r="882" spans="27:32" x14ac:dyDescent="0.3">
      <c r="AA882" s="3">
        <v>8713.5499999999993</v>
      </c>
      <c r="AB882">
        <v>1E-4</v>
      </c>
      <c r="AC882">
        <v>8</v>
      </c>
      <c r="AD882" s="5">
        <v>4.9254798113123384</v>
      </c>
      <c r="AE882" s="5">
        <v>2.2797378608657746</v>
      </c>
      <c r="AF882">
        <v>1</v>
      </c>
    </row>
    <row r="883" spans="27:32" x14ac:dyDescent="0.3">
      <c r="AA883" s="3">
        <v>40490.32</v>
      </c>
      <c r="AB883">
        <v>1E-4</v>
      </c>
      <c r="AC883">
        <v>7</v>
      </c>
      <c r="AD883" s="5">
        <v>5.0357442585302667</v>
      </c>
      <c r="AE883" s="5">
        <v>2.1649538759305171</v>
      </c>
      <c r="AF883">
        <v>1</v>
      </c>
    </row>
    <row r="884" spans="27:32" x14ac:dyDescent="0.3">
      <c r="AA884" s="3">
        <v>6515.53</v>
      </c>
      <c r="AB884">
        <v>1E-4</v>
      </c>
      <c r="AC884">
        <v>8</v>
      </c>
      <c r="AD884" s="5">
        <v>4.9391226916121997</v>
      </c>
      <c r="AE884" s="5">
        <v>2.2173090392861727</v>
      </c>
      <c r="AF884">
        <v>1</v>
      </c>
    </row>
    <row r="885" spans="27:32" x14ac:dyDescent="0.3">
      <c r="AA885" s="3">
        <v>20933.04</v>
      </c>
      <c r="AB885">
        <v>1E-4</v>
      </c>
      <c r="AC885">
        <v>8</v>
      </c>
      <c r="AD885" s="5">
        <v>5.1461286295847115</v>
      </c>
      <c r="AE885" s="5">
        <v>2.1810154463659281</v>
      </c>
      <c r="AF885">
        <v>1</v>
      </c>
    </row>
    <row r="886" spans="27:32" x14ac:dyDescent="0.3">
      <c r="AA886" s="3">
        <v>18255.43</v>
      </c>
      <c r="AB886">
        <v>1E-4</v>
      </c>
      <c r="AC886">
        <v>8</v>
      </c>
      <c r="AD886" s="5">
        <v>5.0295308766795959</v>
      </c>
      <c r="AE886" s="5">
        <v>2.2065352741117779</v>
      </c>
      <c r="AF886">
        <v>1</v>
      </c>
    </row>
    <row r="887" spans="27:32" x14ac:dyDescent="0.3">
      <c r="AA887" s="3">
        <v>24641.02</v>
      </c>
      <c r="AB887">
        <v>1E-4</v>
      </c>
      <c r="AC887">
        <v>8</v>
      </c>
      <c r="AD887" s="5">
        <v>5.0162822682737751</v>
      </c>
      <c r="AE887" s="5">
        <v>2.1963479893934998</v>
      </c>
      <c r="AF887">
        <v>1</v>
      </c>
    </row>
    <row r="888" spans="27:32" x14ac:dyDescent="0.3">
      <c r="AA888" s="3">
        <v>31091.24</v>
      </c>
      <c r="AB888">
        <v>1E-4</v>
      </c>
      <c r="AC888">
        <v>7</v>
      </c>
      <c r="AD888" s="5">
        <v>5.0943076201742619</v>
      </c>
      <c r="AE888" s="5">
        <v>2.1636276436612265</v>
      </c>
      <c r="AF888">
        <v>1</v>
      </c>
    </row>
    <row r="889" spans="27:32" x14ac:dyDescent="0.3">
      <c r="AA889" s="3">
        <v>11523.78</v>
      </c>
      <c r="AB889">
        <v>1E-4</v>
      </c>
      <c r="AC889">
        <v>8</v>
      </c>
      <c r="AD889" s="5">
        <v>5.040585235032661</v>
      </c>
      <c r="AE889" s="5">
        <v>2.2053902986084757</v>
      </c>
      <c r="AF889">
        <v>1</v>
      </c>
    </row>
    <row r="890" spans="27:32" x14ac:dyDescent="0.3">
      <c r="AA890" s="3">
        <v>14963.59</v>
      </c>
      <c r="AB890">
        <v>1E-4</v>
      </c>
      <c r="AC890">
        <v>8</v>
      </c>
      <c r="AD890" s="5">
        <v>5.1702443205364244</v>
      </c>
      <c r="AE890" s="5">
        <v>2.0820653668878908</v>
      </c>
      <c r="AF890">
        <v>1</v>
      </c>
    </row>
    <row r="891" spans="27:32" x14ac:dyDescent="0.3">
      <c r="AA891" s="3">
        <v>23868.26</v>
      </c>
      <c r="AB891">
        <v>1E-4</v>
      </c>
      <c r="AC891">
        <v>8</v>
      </c>
      <c r="AD891" s="5">
        <v>5.0900375986415192</v>
      </c>
      <c r="AE891" s="5">
        <v>2.214417853707292</v>
      </c>
      <c r="AF891">
        <v>1</v>
      </c>
    </row>
    <row r="892" spans="27:32" x14ac:dyDescent="0.3">
      <c r="AA892" s="3">
        <v>-7514.8</v>
      </c>
      <c r="AB892">
        <v>1E-4</v>
      </c>
      <c r="AC892">
        <v>9</v>
      </c>
      <c r="AD892" s="5">
        <v>4.941112693548896</v>
      </c>
      <c r="AE892" s="5">
        <v>2.1472463462304447</v>
      </c>
      <c r="AF892">
        <v>1</v>
      </c>
    </row>
    <row r="893" spans="27:32" x14ac:dyDescent="0.3">
      <c r="AA893" s="3">
        <v>42554.81</v>
      </c>
      <c r="AB893">
        <v>1E-4</v>
      </c>
      <c r="AC893">
        <v>7</v>
      </c>
      <c r="AD893" s="5">
        <v>5.1442175988390151</v>
      </c>
      <c r="AE893" s="5">
        <v>2.1715901210777666</v>
      </c>
      <c r="AF893">
        <v>1</v>
      </c>
    </row>
    <row r="894" spans="27:32" x14ac:dyDescent="0.3">
      <c r="AA894" s="3">
        <v>1689.61</v>
      </c>
      <c r="AB894">
        <v>1E-4</v>
      </c>
      <c r="AC894">
        <v>8</v>
      </c>
      <c r="AD894" s="5">
        <v>4.9732092530798582</v>
      </c>
      <c r="AE894" s="5">
        <v>2.2794820241308198</v>
      </c>
      <c r="AF894">
        <v>1</v>
      </c>
    </row>
    <row r="895" spans="27:32" x14ac:dyDescent="0.3">
      <c r="AA895" s="3">
        <v>36761.379999999997</v>
      </c>
      <c r="AB895">
        <v>1E-4</v>
      </c>
      <c r="AC895">
        <v>7</v>
      </c>
      <c r="AD895" s="5">
        <v>5.1367544235216647</v>
      </c>
      <c r="AE895" s="5">
        <v>2.2040813611473502</v>
      </c>
      <c r="AF895">
        <v>1</v>
      </c>
    </row>
    <row r="896" spans="27:32" x14ac:dyDescent="0.3">
      <c r="AA896" s="3">
        <v>-7398.16</v>
      </c>
      <c r="AB896">
        <v>1E-4</v>
      </c>
      <c r="AC896">
        <v>9</v>
      </c>
      <c r="AD896" s="5">
        <v>4.8539330469679562</v>
      </c>
      <c r="AE896" s="5">
        <v>2.1911538726009456</v>
      </c>
      <c r="AF896">
        <v>1</v>
      </c>
    </row>
    <row r="897" spans="27:32" x14ac:dyDescent="0.3">
      <c r="AA897" s="3">
        <v>13925.09</v>
      </c>
      <c r="AB897">
        <v>1E-4</v>
      </c>
      <c r="AC897">
        <v>8</v>
      </c>
      <c r="AD897" s="5">
        <v>4.9509534878853492</v>
      </c>
      <c r="AE897" s="5">
        <v>2.2398961927943404</v>
      </c>
      <c r="AF897">
        <v>1</v>
      </c>
    </row>
    <row r="898" spans="27:32" x14ac:dyDescent="0.3">
      <c r="AA898" s="3">
        <v>16778.349999999999</v>
      </c>
      <c r="AB898">
        <v>1E-4</v>
      </c>
      <c r="AC898">
        <v>8</v>
      </c>
      <c r="AD898" s="5">
        <v>4.828964163266587</v>
      </c>
      <c r="AE898" s="5">
        <v>2.1150409290173116</v>
      </c>
      <c r="AF898">
        <v>1</v>
      </c>
    </row>
    <row r="899" spans="27:32" x14ac:dyDescent="0.3">
      <c r="AA899" s="3">
        <v>28252.02</v>
      </c>
      <c r="AB899">
        <v>1E-4</v>
      </c>
      <c r="AC899">
        <v>7</v>
      </c>
      <c r="AD899" s="5">
        <v>5.1404503551963208</v>
      </c>
      <c r="AE899" s="5">
        <v>2.1712238022065105</v>
      </c>
      <c r="AF899">
        <v>1</v>
      </c>
    </row>
    <row r="900" spans="27:32" x14ac:dyDescent="0.3">
      <c r="AA900" s="3">
        <v>5483.44</v>
      </c>
      <c r="AB900">
        <v>1E-4</v>
      </c>
      <c r="AC900">
        <v>8</v>
      </c>
      <c r="AD900" s="5">
        <v>5.0266606861292491</v>
      </c>
      <c r="AE900" s="5">
        <v>2.20961188987962</v>
      </c>
      <c r="AF900">
        <v>1</v>
      </c>
    </row>
    <row r="901" spans="27:32" x14ac:dyDescent="0.3">
      <c r="AA901" s="3">
        <v>54298.13</v>
      </c>
      <c r="AB901">
        <v>1E-4</v>
      </c>
      <c r="AC901">
        <v>6</v>
      </c>
      <c r="AD901" s="5">
        <v>4.9040125056576311</v>
      </c>
      <c r="AE901" s="5">
        <v>2.2537258536090734</v>
      </c>
      <c r="AF901">
        <v>1</v>
      </c>
    </row>
    <row r="902" spans="27:32" x14ac:dyDescent="0.3">
      <c r="AA902" s="3">
        <v>18170.3</v>
      </c>
      <c r="AB902">
        <v>1E-4</v>
      </c>
      <c r="AC902">
        <v>8</v>
      </c>
      <c r="AD902" s="5">
        <v>4.9785343342740731</v>
      </c>
      <c r="AE902" s="5">
        <v>2.2151684178425053</v>
      </c>
      <c r="AF902">
        <v>1</v>
      </c>
    </row>
    <row r="903" spans="27:32" x14ac:dyDescent="0.3">
      <c r="AA903" s="3">
        <v>-1349.03</v>
      </c>
      <c r="AB903">
        <v>1E-4</v>
      </c>
      <c r="AC903">
        <v>9</v>
      </c>
      <c r="AD903" s="5">
        <v>4.8647883182453775</v>
      </c>
      <c r="AE903" s="5">
        <v>2.1571375416129928</v>
      </c>
      <c r="AF903">
        <v>1</v>
      </c>
    </row>
    <row r="904" spans="27:32" x14ac:dyDescent="0.3">
      <c r="AA904" s="3">
        <v>8607.24</v>
      </c>
      <c r="AB904">
        <v>1E-4</v>
      </c>
      <c r="AC904">
        <v>8</v>
      </c>
      <c r="AD904" s="5">
        <v>5.1141523816648888</v>
      </c>
      <c r="AE904" s="5">
        <v>2.2034986300062407</v>
      </c>
      <c r="AF904">
        <v>1</v>
      </c>
    </row>
    <row r="905" spans="27:32" x14ac:dyDescent="0.3">
      <c r="AA905" s="3">
        <v>29576.11</v>
      </c>
      <c r="AB905">
        <v>1E-4</v>
      </c>
      <c r="AC905">
        <v>8</v>
      </c>
      <c r="AD905" s="5">
        <v>5.1040616223647168</v>
      </c>
      <c r="AE905" s="5">
        <v>2.1724613886170143</v>
      </c>
      <c r="AF905">
        <v>1</v>
      </c>
    </row>
    <row r="906" spans="27:32" x14ac:dyDescent="0.3">
      <c r="AA906" s="3">
        <v>12922.82</v>
      </c>
      <c r="AB906">
        <v>1E-4</v>
      </c>
      <c r="AC906">
        <v>8</v>
      </c>
      <c r="AD906" s="5">
        <v>5.0387258243287283</v>
      </c>
      <c r="AE906" s="5">
        <v>2.2113549281140785</v>
      </c>
      <c r="AF906">
        <v>1</v>
      </c>
    </row>
    <row r="907" spans="27:32" x14ac:dyDescent="0.3">
      <c r="AA907" s="3">
        <v>18691.54</v>
      </c>
      <c r="AB907">
        <v>1E-4</v>
      </c>
      <c r="AC907">
        <v>8</v>
      </c>
      <c r="AD907" s="5">
        <v>5.0418974317440153</v>
      </c>
      <c r="AE907" s="5">
        <v>2.2058199438280059</v>
      </c>
      <c r="AF907">
        <v>1</v>
      </c>
    </row>
    <row r="908" spans="27:32" x14ac:dyDescent="0.3">
      <c r="AA908" s="3">
        <v>2186.2600000000002</v>
      </c>
      <c r="AB908">
        <v>1E-4</v>
      </c>
      <c r="AC908">
        <v>8</v>
      </c>
      <c r="AD908" s="5">
        <v>4.8965769843946187</v>
      </c>
      <c r="AE908" s="5">
        <v>2.172648492164178</v>
      </c>
      <c r="AF908">
        <v>1</v>
      </c>
    </row>
    <row r="909" spans="27:32" x14ac:dyDescent="0.3">
      <c r="AA909" s="3">
        <v>44314.78</v>
      </c>
      <c r="AB909">
        <v>1E-4</v>
      </c>
      <c r="AC909">
        <v>6</v>
      </c>
      <c r="AD909" s="5">
        <v>4.9418730109997204</v>
      </c>
      <c r="AE909" s="5">
        <v>2.1788137803328076</v>
      </c>
      <c r="AF909">
        <v>1</v>
      </c>
    </row>
    <row r="910" spans="27:32" x14ac:dyDescent="0.3">
      <c r="AA910" s="3">
        <v>35894.35</v>
      </c>
      <c r="AB910">
        <v>1E-4</v>
      </c>
      <c r="AC910">
        <v>7</v>
      </c>
      <c r="AD910" s="5">
        <v>4.9606700025323178</v>
      </c>
      <c r="AE910" s="5">
        <v>2.1363748524325641</v>
      </c>
      <c r="AF910">
        <v>1</v>
      </c>
    </row>
    <row r="911" spans="27:32" x14ac:dyDescent="0.3">
      <c r="AA911" s="3">
        <v>627.27</v>
      </c>
      <c r="AB911">
        <v>1E-4</v>
      </c>
      <c r="AC911">
        <v>8</v>
      </c>
      <c r="AD911" s="5">
        <v>5.178824108400466</v>
      </c>
      <c r="AE911" s="5">
        <v>2.2242230684938162</v>
      </c>
      <c r="AF911">
        <v>1</v>
      </c>
    </row>
    <row r="912" spans="27:32" x14ac:dyDescent="0.3">
      <c r="AA912" s="3">
        <v>-37939.067269625506</v>
      </c>
      <c r="AB912">
        <v>1E-4</v>
      </c>
      <c r="AC912">
        <v>9</v>
      </c>
      <c r="AD912" s="5">
        <v>4.9338160239642601</v>
      </c>
      <c r="AE912" s="5">
        <v>2.204050117022883</v>
      </c>
      <c r="AF912">
        <v>0</v>
      </c>
    </row>
    <row r="913" spans="27:32" x14ac:dyDescent="0.3">
      <c r="AA913" s="3">
        <v>42959.29</v>
      </c>
      <c r="AB913">
        <v>1E-4</v>
      </c>
      <c r="AC913">
        <v>7</v>
      </c>
      <c r="AD913" s="5">
        <v>4.9809665696679053</v>
      </c>
      <c r="AE913" s="5">
        <v>2.2022077404838512</v>
      </c>
      <c r="AF913">
        <v>1</v>
      </c>
    </row>
    <row r="914" spans="27:32" x14ac:dyDescent="0.3">
      <c r="AA914" s="3">
        <v>-11505.58</v>
      </c>
      <c r="AB914">
        <v>1E-4</v>
      </c>
      <c r="AC914">
        <v>9</v>
      </c>
      <c r="AD914" s="5">
        <v>4.8773859026933772</v>
      </c>
      <c r="AE914" s="5">
        <v>2.1817946226013736</v>
      </c>
      <c r="AF914">
        <v>1</v>
      </c>
    </row>
    <row r="915" spans="27:32" x14ac:dyDescent="0.3">
      <c r="AA915" s="3">
        <v>-5656.49</v>
      </c>
      <c r="AB915">
        <v>1E-4</v>
      </c>
      <c r="AC915">
        <v>9</v>
      </c>
      <c r="AD915" s="5">
        <v>5.0029549331047649</v>
      </c>
      <c r="AE915" s="5">
        <v>2.2842072855029012</v>
      </c>
      <c r="AF915">
        <v>1</v>
      </c>
    </row>
    <row r="916" spans="27:32" x14ac:dyDescent="0.3">
      <c r="AA916" s="3">
        <v>39549.620000000003</v>
      </c>
      <c r="AB916">
        <v>1E-4</v>
      </c>
      <c r="AC916">
        <v>7</v>
      </c>
      <c r="AD916" s="5">
        <v>5.0323514879925044</v>
      </c>
      <c r="AE916" s="5">
        <v>2.1598574889770541</v>
      </c>
      <c r="AF916">
        <v>1</v>
      </c>
    </row>
    <row r="917" spans="27:32" x14ac:dyDescent="0.3">
      <c r="AA917" s="3">
        <v>3953.17</v>
      </c>
      <c r="AB917">
        <v>1E-4</v>
      </c>
      <c r="AC917">
        <v>8</v>
      </c>
      <c r="AD917" s="5">
        <v>4.9417973147322707</v>
      </c>
      <c r="AE917" s="5">
        <v>2.2043619648061608</v>
      </c>
      <c r="AF917">
        <v>1</v>
      </c>
    </row>
    <row r="918" spans="27:32" x14ac:dyDescent="0.3">
      <c r="AA918" s="3">
        <v>27020.68</v>
      </c>
      <c r="AB918">
        <v>1E-4</v>
      </c>
      <c r="AC918">
        <v>8</v>
      </c>
      <c r="AD918" s="5">
        <v>4.8981453125426464</v>
      </c>
      <c r="AE918" s="5">
        <v>2.1925131103494606</v>
      </c>
      <c r="AF918">
        <v>1</v>
      </c>
    </row>
    <row r="919" spans="27:32" x14ac:dyDescent="0.3">
      <c r="AA919" s="3">
        <v>-241.4</v>
      </c>
      <c r="AB919">
        <v>1E-4</v>
      </c>
      <c r="AC919">
        <v>9</v>
      </c>
      <c r="AD919" s="5">
        <v>4.8977822059746314</v>
      </c>
      <c r="AE919" s="5">
        <v>2.1288476336741513</v>
      </c>
      <c r="AF919">
        <v>1</v>
      </c>
    </row>
    <row r="920" spans="27:32" x14ac:dyDescent="0.3">
      <c r="AA920" s="3">
        <v>20846.939999999999</v>
      </c>
      <c r="AB920">
        <v>1E-4</v>
      </c>
      <c r="AC920">
        <v>8</v>
      </c>
      <c r="AD920" s="5">
        <v>5.1726493214214564</v>
      </c>
      <c r="AE920" s="5">
        <v>2.253136294139876</v>
      </c>
      <c r="AF920">
        <v>1</v>
      </c>
    </row>
    <row r="921" spans="27:32" x14ac:dyDescent="0.3">
      <c r="AA921" s="3">
        <v>29552.9</v>
      </c>
      <c r="AB921">
        <v>1E-4</v>
      </c>
      <c r="AC921">
        <v>8</v>
      </c>
      <c r="AD921" s="5">
        <v>5.208815099262706</v>
      </c>
      <c r="AE921" s="5">
        <v>2.1732955072789601</v>
      </c>
      <c r="AF921">
        <v>1</v>
      </c>
    </row>
    <row r="922" spans="27:32" x14ac:dyDescent="0.3">
      <c r="AA922" s="3">
        <v>23432.45</v>
      </c>
      <c r="AB922">
        <v>1E-4</v>
      </c>
      <c r="AC922">
        <v>8</v>
      </c>
      <c r="AD922" s="5">
        <v>5.0096799750659642</v>
      </c>
      <c r="AE922" s="5">
        <v>2.1578034367590555</v>
      </c>
      <c r="AF922">
        <v>1</v>
      </c>
    </row>
    <row r="923" spans="27:32" x14ac:dyDescent="0.3">
      <c r="AA923" s="3">
        <v>35854.47</v>
      </c>
      <c r="AB923">
        <v>1E-4</v>
      </c>
      <c r="AC923">
        <v>7</v>
      </c>
      <c r="AD923" s="5">
        <v>5.1470691749186495</v>
      </c>
      <c r="AE923" s="5">
        <v>2.2029054067021572</v>
      </c>
      <c r="AF923">
        <v>1</v>
      </c>
    </row>
    <row r="924" spans="27:32" x14ac:dyDescent="0.3">
      <c r="AA924" s="3">
        <v>16691.759999999998</v>
      </c>
      <c r="AB924">
        <v>1E-4</v>
      </c>
      <c r="AC924">
        <v>8</v>
      </c>
      <c r="AD924" s="5">
        <v>4.9063137340789051</v>
      </c>
      <c r="AE924" s="5">
        <v>2.1275528095470833</v>
      </c>
      <c r="AF924">
        <v>1</v>
      </c>
    </row>
    <row r="925" spans="27:32" x14ac:dyDescent="0.3">
      <c r="AA925" s="3">
        <v>15110.08</v>
      </c>
      <c r="AB925">
        <v>1E-4</v>
      </c>
      <c r="AC925">
        <v>8</v>
      </c>
      <c r="AD925" s="5">
        <v>4.896169816185914</v>
      </c>
      <c r="AE925" s="5">
        <v>2.2189305488528852</v>
      </c>
      <c r="AF925">
        <v>1</v>
      </c>
    </row>
    <row r="926" spans="27:32" x14ac:dyDescent="0.3">
      <c r="AA926" s="3">
        <v>-17183.07</v>
      </c>
      <c r="AB926">
        <v>1E-4</v>
      </c>
      <c r="AC926">
        <v>9</v>
      </c>
      <c r="AD926" s="5">
        <v>5.0973354490326983</v>
      </c>
      <c r="AE926" s="5">
        <v>2.2213337533022974</v>
      </c>
      <c r="AF926">
        <v>1</v>
      </c>
    </row>
    <row r="927" spans="27:32" x14ac:dyDescent="0.3">
      <c r="AA927" s="3">
        <v>45925.13</v>
      </c>
      <c r="AB927">
        <v>1E-4</v>
      </c>
      <c r="AC927">
        <v>6</v>
      </c>
      <c r="AD927" s="5">
        <v>5.1525796374035187</v>
      </c>
      <c r="AE927" s="5">
        <v>2.210522913539529</v>
      </c>
      <c r="AF927">
        <v>1</v>
      </c>
    </row>
    <row r="928" spans="27:32" x14ac:dyDescent="0.3">
      <c r="AA928" s="3">
        <v>12092.44</v>
      </c>
      <c r="AB928">
        <v>1E-4</v>
      </c>
      <c r="AC928">
        <v>8</v>
      </c>
      <c r="AD928" s="5">
        <v>4.9185315915203818</v>
      </c>
      <c r="AE928" s="5">
        <v>2.2059122911627145</v>
      </c>
      <c r="AF928">
        <v>1</v>
      </c>
    </row>
    <row r="929" spans="27:32" x14ac:dyDescent="0.3">
      <c r="AA929" s="3">
        <v>19344.25</v>
      </c>
      <c r="AB929">
        <v>1E-4</v>
      </c>
      <c r="AC929">
        <v>8</v>
      </c>
      <c r="AD929" s="5">
        <v>5.012589665059032</v>
      </c>
      <c r="AE929" s="5">
        <v>2.1712079887900284</v>
      </c>
      <c r="AF929">
        <v>1</v>
      </c>
    </row>
    <row r="930" spans="27:32" x14ac:dyDescent="0.3">
      <c r="AA930" s="3">
        <v>-403.02</v>
      </c>
      <c r="AB930">
        <v>1E-4</v>
      </c>
      <c r="AC930">
        <v>9</v>
      </c>
      <c r="AD930" s="5">
        <v>5.0626633419532983</v>
      </c>
      <c r="AE930" s="5">
        <v>2.1896893006184319</v>
      </c>
      <c r="AF930">
        <v>1</v>
      </c>
    </row>
    <row r="931" spans="27:32" x14ac:dyDescent="0.3">
      <c r="AA931" s="3">
        <v>11664.86</v>
      </c>
      <c r="AB931">
        <v>1E-4</v>
      </c>
      <c r="AC931">
        <v>8</v>
      </c>
      <c r="AD931" s="5">
        <v>4.8438376763290201</v>
      </c>
      <c r="AE931" s="5">
        <v>2.2478571432989378</v>
      </c>
      <c r="AF931">
        <v>1</v>
      </c>
    </row>
    <row r="932" spans="27:32" x14ac:dyDescent="0.3">
      <c r="AA932" s="3">
        <v>34705.64</v>
      </c>
      <c r="AB932">
        <v>1E-4</v>
      </c>
      <c r="AC932">
        <v>7</v>
      </c>
      <c r="AD932" s="5">
        <v>5.0455419699155106</v>
      </c>
      <c r="AE932" s="5">
        <v>2.1102612848506794</v>
      </c>
      <c r="AF932">
        <v>1</v>
      </c>
    </row>
    <row r="933" spans="27:32" x14ac:dyDescent="0.3">
      <c r="AA933" s="3">
        <v>4242.6400000000003</v>
      </c>
      <c r="AB933">
        <v>1E-4</v>
      </c>
      <c r="AC933">
        <v>8</v>
      </c>
      <c r="AD933" s="5">
        <v>4.874804735719322</v>
      </c>
      <c r="AE933" s="5">
        <v>2.1524764620462857</v>
      </c>
      <c r="AF933">
        <v>1</v>
      </c>
    </row>
    <row r="934" spans="27:32" x14ac:dyDescent="0.3">
      <c r="AA934" s="3">
        <v>42233.42</v>
      </c>
      <c r="AB934">
        <v>1E-4</v>
      </c>
      <c r="AC934">
        <v>7</v>
      </c>
      <c r="AD934" s="5">
        <v>5.1244298347412967</v>
      </c>
      <c r="AE934" s="5">
        <v>2.1939176824719269</v>
      </c>
      <c r="AF934">
        <v>1</v>
      </c>
    </row>
    <row r="935" spans="27:32" x14ac:dyDescent="0.3">
      <c r="AA935" s="3">
        <v>35760.79</v>
      </c>
      <c r="AB935">
        <v>1E-4</v>
      </c>
      <c r="AC935">
        <v>7</v>
      </c>
      <c r="AD935" s="5">
        <v>4.9129274388233553</v>
      </c>
      <c r="AE935" s="5">
        <v>2.1994106054915075</v>
      </c>
      <c r="AF935">
        <v>1</v>
      </c>
    </row>
    <row r="936" spans="27:32" x14ac:dyDescent="0.3">
      <c r="AA936" s="3">
        <v>-1831.53</v>
      </c>
      <c r="AB936">
        <v>1E-4</v>
      </c>
      <c r="AC936">
        <v>9</v>
      </c>
      <c r="AD936" s="5">
        <v>4.8014961275716663</v>
      </c>
      <c r="AE936" s="5">
        <v>2.1523614293633551</v>
      </c>
      <c r="AF936">
        <v>1</v>
      </c>
    </row>
    <row r="937" spans="27:32" x14ac:dyDescent="0.3">
      <c r="AA937" s="3">
        <v>13140.05</v>
      </c>
      <c r="AB937">
        <v>1E-4</v>
      </c>
      <c r="AC937">
        <v>8</v>
      </c>
      <c r="AD937" s="5">
        <v>5.1107076948977976</v>
      </c>
      <c r="AE937" s="5">
        <v>2.2009021167162719</v>
      </c>
      <c r="AF937">
        <v>1</v>
      </c>
    </row>
    <row r="938" spans="27:32" x14ac:dyDescent="0.3">
      <c r="AA938" s="3">
        <v>10402.61</v>
      </c>
      <c r="AB938">
        <v>1E-4</v>
      </c>
      <c r="AC938">
        <v>8</v>
      </c>
      <c r="AD938" s="5">
        <v>5.0995453520402743</v>
      </c>
      <c r="AE938" s="5">
        <v>2.2163490602841929</v>
      </c>
      <c r="AF938">
        <v>1</v>
      </c>
    </row>
    <row r="939" spans="27:32" x14ac:dyDescent="0.3">
      <c r="AA939" s="3">
        <v>-2378.39</v>
      </c>
      <c r="AB939">
        <v>1E-4</v>
      </c>
      <c r="AC939">
        <v>9</v>
      </c>
      <c r="AD939" s="5">
        <v>4.900743465087138</v>
      </c>
      <c r="AE939" s="5">
        <v>2.2270540022018639</v>
      </c>
      <c r="AF939">
        <v>1</v>
      </c>
    </row>
    <row r="940" spans="27:32" x14ac:dyDescent="0.3">
      <c r="AA940" s="3">
        <v>-16470.55</v>
      </c>
      <c r="AB940">
        <v>1E-4</v>
      </c>
      <c r="AC940">
        <v>9</v>
      </c>
      <c r="AD940" s="5">
        <v>4.9358290585050115</v>
      </c>
      <c r="AE940" s="5">
        <v>2.1859254425665995</v>
      </c>
      <c r="AF940">
        <v>1</v>
      </c>
    </row>
    <row r="941" spans="27:32" x14ac:dyDescent="0.3">
      <c r="AA941" s="3">
        <v>14553.66</v>
      </c>
      <c r="AB941">
        <v>1E-4</v>
      </c>
      <c r="AC941">
        <v>8</v>
      </c>
      <c r="AD941" s="5">
        <v>4.9358548199580374</v>
      </c>
      <c r="AE941" s="5">
        <v>2.1278854651013948</v>
      </c>
      <c r="AF941">
        <v>1</v>
      </c>
    </row>
    <row r="942" spans="27:32" x14ac:dyDescent="0.3">
      <c r="AA942" s="3">
        <v>8242.73</v>
      </c>
      <c r="AB942">
        <v>1E-4</v>
      </c>
      <c r="AC942">
        <v>8</v>
      </c>
      <c r="AD942" s="5">
        <v>5.0045637548773403</v>
      </c>
      <c r="AE942" s="5">
        <v>2.131332843084504</v>
      </c>
      <c r="AF942">
        <v>1</v>
      </c>
    </row>
    <row r="943" spans="27:32" x14ac:dyDescent="0.3">
      <c r="AA943" s="3">
        <v>49673.61</v>
      </c>
      <c r="AB943">
        <v>1E-4</v>
      </c>
      <c r="AC943">
        <v>6</v>
      </c>
      <c r="AD943" s="5">
        <v>5.0503590759575685</v>
      </c>
      <c r="AE943" s="5">
        <v>2.2570533441324443</v>
      </c>
      <c r="AF943">
        <v>1</v>
      </c>
    </row>
    <row r="944" spans="27:32" x14ac:dyDescent="0.3">
      <c r="AA944" s="3">
        <v>5005.58</v>
      </c>
      <c r="AB944">
        <v>1E-4</v>
      </c>
      <c r="AC944">
        <v>8</v>
      </c>
      <c r="AD944" s="5">
        <v>4.9045787458151286</v>
      </c>
      <c r="AE944" s="5">
        <v>2.1899499590731044</v>
      </c>
      <c r="AF944">
        <v>1</v>
      </c>
    </row>
    <row r="945" spans="27:32" x14ac:dyDescent="0.3">
      <c r="AA945" s="3">
        <v>32701.14</v>
      </c>
      <c r="AB945">
        <v>1E-4</v>
      </c>
      <c r="AC945">
        <v>7</v>
      </c>
      <c r="AD945" s="5">
        <v>4.9721303475496548</v>
      </c>
      <c r="AE945" s="5">
        <v>2.1319103373127497</v>
      </c>
      <c r="AF945">
        <v>1</v>
      </c>
    </row>
    <row r="946" spans="27:32" x14ac:dyDescent="0.3">
      <c r="AA946" s="3">
        <v>4353.1000000000004</v>
      </c>
      <c r="AB946">
        <v>1E-4</v>
      </c>
      <c r="AC946">
        <v>8</v>
      </c>
      <c r="AD946" s="5">
        <v>4.999594356262608</v>
      </c>
      <c r="AE946" s="5">
        <v>2.198570229889159</v>
      </c>
      <c r="AF946">
        <v>1</v>
      </c>
    </row>
    <row r="947" spans="27:32" x14ac:dyDescent="0.3">
      <c r="AA947" s="3">
        <v>-11697.18</v>
      </c>
      <c r="AB947">
        <v>1E-4</v>
      </c>
      <c r="AC947">
        <v>9</v>
      </c>
      <c r="AD947" s="5">
        <v>4.9464787235089567</v>
      </c>
      <c r="AE947" s="5">
        <v>2.2262792237374995</v>
      </c>
      <c r="AF947">
        <v>1</v>
      </c>
    </row>
    <row r="948" spans="27:32" x14ac:dyDescent="0.3">
      <c r="AA948" s="3">
        <v>19103.66</v>
      </c>
      <c r="AB948">
        <v>1E-4</v>
      </c>
      <c r="AC948">
        <v>8</v>
      </c>
      <c r="AD948" s="5">
        <v>4.9317482783158466</v>
      </c>
      <c r="AE948" s="5">
        <v>2.2898542157157493</v>
      </c>
      <c r="AF948">
        <v>1</v>
      </c>
    </row>
    <row r="949" spans="27:32" x14ac:dyDescent="0.3">
      <c r="AA949" s="3">
        <v>14495.75</v>
      </c>
      <c r="AB949">
        <v>1E-4</v>
      </c>
      <c r="AC949">
        <v>8</v>
      </c>
      <c r="AD949" s="5">
        <v>4.9183737912631225</v>
      </c>
      <c r="AE949" s="5">
        <v>2.2008084475020966</v>
      </c>
      <c r="AF949">
        <v>1</v>
      </c>
    </row>
    <row r="950" spans="27:32" x14ac:dyDescent="0.3">
      <c r="AA950" s="3">
        <v>3115.99</v>
      </c>
      <c r="AB950">
        <v>1E-4</v>
      </c>
      <c r="AC950">
        <v>8</v>
      </c>
      <c r="AD950" s="5">
        <v>5.0290652614702323</v>
      </c>
      <c r="AE950" s="5">
        <v>2.1868024527796157</v>
      </c>
      <c r="AF950">
        <v>1</v>
      </c>
    </row>
    <row r="951" spans="27:32" x14ac:dyDescent="0.3">
      <c r="AA951" s="3">
        <v>40996.86</v>
      </c>
      <c r="AB951">
        <v>1E-4</v>
      </c>
      <c r="AC951">
        <v>7</v>
      </c>
      <c r="AD951" s="5">
        <v>5.153326582358134</v>
      </c>
      <c r="AE951" s="5">
        <v>2.27854441614131</v>
      </c>
      <c r="AF951">
        <v>1</v>
      </c>
    </row>
    <row r="952" spans="27:32" x14ac:dyDescent="0.3">
      <c r="AA952" s="3">
        <v>1131.52</v>
      </c>
      <c r="AB952">
        <v>1E-4</v>
      </c>
      <c r="AC952">
        <v>8</v>
      </c>
      <c r="AD952" s="5">
        <v>5.0405229224522667</v>
      </c>
      <c r="AE952" s="5">
        <v>2.1864515786020435</v>
      </c>
      <c r="AF952">
        <v>1</v>
      </c>
    </row>
    <row r="953" spans="27:32" x14ac:dyDescent="0.3">
      <c r="AA953" s="3">
        <v>22240.639999999999</v>
      </c>
      <c r="AB953">
        <v>1E-4</v>
      </c>
      <c r="AC953">
        <v>8</v>
      </c>
      <c r="AD953" s="5">
        <v>5.0780139024711817</v>
      </c>
      <c r="AE953" s="5">
        <v>2.2569069104095072</v>
      </c>
      <c r="AF953">
        <v>1</v>
      </c>
    </row>
    <row r="954" spans="27:32" x14ac:dyDescent="0.3">
      <c r="AA954" s="3">
        <v>10156.57</v>
      </c>
      <c r="AB954">
        <v>1E-4</v>
      </c>
      <c r="AC954">
        <v>8</v>
      </c>
      <c r="AD954" s="5">
        <v>4.9681128911583841</v>
      </c>
      <c r="AE954" s="5">
        <v>2.210293509410262</v>
      </c>
      <c r="AF954">
        <v>1</v>
      </c>
    </row>
    <row r="955" spans="27:32" x14ac:dyDescent="0.3">
      <c r="AA955" s="3">
        <v>31894.17</v>
      </c>
      <c r="AB955">
        <v>1E-4</v>
      </c>
      <c r="AC955">
        <v>7</v>
      </c>
      <c r="AD955" s="5">
        <v>5.0331002179882534</v>
      </c>
      <c r="AE955" s="5">
        <v>2.1821425738110865</v>
      </c>
      <c r="AF955">
        <v>1</v>
      </c>
    </row>
    <row r="956" spans="27:32" x14ac:dyDescent="0.3">
      <c r="AA956" s="3">
        <v>-8862.68</v>
      </c>
      <c r="AB956">
        <v>1E-4</v>
      </c>
      <c r="AC956">
        <v>9</v>
      </c>
      <c r="AD956" s="5">
        <v>4.8676712543590108</v>
      </c>
      <c r="AE956" s="5">
        <v>2.2447092625432998</v>
      </c>
      <c r="AF956">
        <v>1</v>
      </c>
    </row>
    <row r="957" spans="27:32" x14ac:dyDescent="0.3">
      <c r="AA957" s="3">
        <v>25292.67</v>
      </c>
      <c r="AB957">
        <v>1E-4</v>
      </c>
      <c r="AC957">
        <v>8</v>
      </c>
      <c r="AD957" s="5">
        <v>4.9005439574339693</v>
      </c>
      <c r="AE957" s="5">
        <v>2.268655579202667</v>
      </c>
      <c r="AF957">
        <v>1</v>
      </c>
    </row>
    <row r="958" spans="27:32" x14ac:dyDescent="0.3">
      <c r="AA958" s="3">
        <v>6217.42</v>
      </c>
      <c r="AB958">
        <v>1E-4</v>
      </c>
      <c r="AC958">
        <v>8</v>
      </c>
      <c r="AD958" s="5">
        <v>4.9272040631871397</v>
      </c>
      <c r="AE958" s="5">
        <v>2.258686131699065</v>
      </c>
      <c r="AF958">
        <v>1</v>
      </c>
    </row>
    <row r="959" spans="27:32" x14ac:dyDescent="0.3">
      <c r="AA959" s="3">
        <v>5475.1</v>
      </c>
      <c r="AB959">
        <v>1E-4</v>
      </c>
      <c r="AC959">
        <v>8</v>
      </c>
      <c r="AD959" s="5">
        <v>4.9424052747312945</v>
      </c>
      <c r="AE959" s="5">
        <v>2.1803637283371842</v>
      </c>
      <c r="AF959">
        <v>1</v>
      </c>
    </row>
    <row r="960" spans="27:32" x14ac:dyDescent="0.3">
      <c r="AA960" s="3">
        <v>27349.14</v>
      </c>
      <c r="AB960">
        <v>1E-4</v>
      </c>
      <c r="AC960">
        <v>7</v>
      </c>
      <c r="AD960" s="5">
        <v>4.9753268935446586</v>
      </c>
      <c r="AE960" s="5">
        <v>2.1407753307024353</v>
      </c>
      <c r="AF960">
        <v>1</v>
      </c>
    </row>
    <row r="961" spans="27:32" x14ac:dyDescent="0.3">
      <c r="AA961" s="3">
        <v>11573.87</v>
      </c>
      <c r="AB961">
        <v>1E-4</v>
      </c>
      <c r="AC961">
        <v>8</v>
      </c>
      <c r="AD961" s="5">
        <v>4.9492984096475912</v>
      </c>
      <c r="AE961" s="5">
        <v>2.2498546734205545</v>
      </c>
      <c r="AF961">
        <v>1</v>
      </c>
    </row>
    <row r="962" spans="27:32" x14ac:dyDescent="0.3">
      <c r="AA962" s="3">
        <v>48929.919999999998</v>
      </c>
      <c r="AB962">
        <v>1E-4</v>
      </c>
      <c r="AC962">
        <v>6</v>
      </c>
      <c r="AD962" s="5">
        <v>4.9889399649418555</v>
      </c>
      <c r="AE962" s="5">
        <v>2.2847023901167711</v>
      </c>
      <c r="AF962">
        <v>1</v>
      </c>
    </row>
    <row r="963" spans="27:32" x14ac:dyDescent="0.3">
      <c r="AA963" s="3">
        <v>17049.900000000001</v>
      </c>
      <c r="AB963">
        <v>1E-4</v>
      </c>
      <c r="AC963">
        <v>8</v>
      </c>
      <c r="AD963" s="5">
        <v>4.9704914839491252</v>
      </c>
      <c r="AE963" s="5">
        <v>2.2291514441981111</v>
      </c>
      <c r="AF963">
        <v>1</v>
      </c>
    </row>
    <row r="964" spans="27:32" x14ac:dyDescent="0.3">
      <c r="AA964" s="3">
        <v>9157.5</v>
      </c>
      <c r="AB964">
        <v>1E-4</v>
      </c>
      <c r="AC964">
        <v>8</v>
      </c>
      <c r="AD964" s="5">
        <v>4.7813267126738319</v>
      </c>
      <c r="AE964" s="5">
        <v>2.1885949590923013</v>
      </c>
      <c r="AF964">
        <v>1</v>
      </c>
    </row>
    <row r="965" spans="27:32" x14ac:dyDescent="0.3">
      <c r="AA965" s="3">
        <v>22864.46</v>
      </c>
      <c r="AB965">
        <v>1E-4</v>
      </c>
      <c r="AC965">
        <v>8</v>
      </c>
      <c r="AD965" s="5">
        <v>5.0099838910507941</v>
      </c>
      <c r="AE965" s="5">
        <v>2.1256589907705443</v>
      </c>
      <c r="AF965">
        <v>1</v>
      </c>
    </row>
    <row r="966" spans="27:32" x14ac:dyDescent="0.3">
      <c r="AA966" s="3">
        <v>16669.669999999998</v>
      </c>
      <c r="AB966">
        <v>1E-4</v>
      </c>
      <c r="AC966">
        <v>8</v>
      </c>
      <c r="AD966" s="5">
        <v>5.0586400432026553</v>
      </c>
      <c r="AE966" s="5">
        <v>2.2224940821698436</v>
      </c>
      <c r="AF966">
        <v>1</v>
      </c>
    </row>
    <row r="967" spans="27:32" x14ac:dyDescent="0.3">
      <c r="AA967" s="3">
        <v>-23020.85</v>
      </c>
      <c r="AB967">
        <v>1E-4</v>
      </c>
      <c r="AC967">
        <v>9</v>
      </c>
      <c r="AD967" s="5">
        <v>5.0208580051385319</v>
      </c>
      <c r="AE967" s="5">
        <v>2.2491329557484705</v>
      </c>
      <c r="AF967">
        <v>1</v>
      </c>
    </row>
    <row r="968" spans="27:32" x14ac:dyDescent="0.3">
      <c r="AA968" s="3">
        <v>-2761.91</v>
      </c>
      <c r="AB968">
        <v>1E-4</v>
      </c>
      <c r="AC968">
        <v>9</v>
      </c>
      <c r="AD968" s="5">
        <v>4.9597238807174442</v>
      </c>
      <c r="AE968" s="5">
        <v>2.2797721153225856</v>
      </c>
      <c r="AF968">
        <v>1</v>
      </c>
    </row>
    <row r="969" spans="27:32" x14ac:dyDescent="0.3">
      <c r="AA969" s="3">
        <v>-7528.38</v>
      </c>
      <c r="AB969">
        <v>1E-4</v>
      </c>
      <c r="AC969">
        <v>9</v>
      </c>
      <c r="AD969" s="5">
        <v>4.9190245558861392</v>
      </c>
      <c r="AE969" s="5">
        <v>2.1594083377922861</v>
      </c>
      <c r="AF969">
        <v>1</v>
      </c>
    </row>
    <row r="970" spans="27:32" x14ac:dyDescent="0.3">
      <c r="AA970" s="3">
        <v>21215.94</v>
      </c>
      <c r="AB970">
        <v>1E-4</v>
      </c>
      <c r="AC970">
        <v>8</v>
      </c>
      <c r="AD970" s="5">
        <v>5.1357755115929384</v>
      </c>
      <c r="AE970" s="5">
        <v>2.1333206784496532</v>
      </c>
      <c r="AF970">
        <v>1</v>
      </c>
    </row>
    <row r="971" spans="27:32" x14ac:dyDescent="0.3">
      <c r="AA971" s="3">
        <v>16996.54</v>
      </c>
      <c r="AB971">
        <v>1E-4</v>
      </c>
      <c r="AC971">
        <v>8</v>
      </c>
      <c r="AD971" s="5">
        <v>5.122113792481354</v>
      </c>
      <c r="AE971" s="5">
        <v>2.2019401327484975</v>
      </c>
      <c r="AF971">
        <v>1</v>
      </c>
    </row>
    <row r="972" spans="27:32" x14ac:dyDescent="0.3">
      <c r="AA972" s="3">
        <v>-8510.5300000000007</v>
      </c>
      <c r="AB972">
        <v>1E-4</v>
      </c>
      <c r="AC972">
        <v>9</v>
      </c>
      <c r="AD972" s="5">
        <v>5.0807873049648418</v>
      </c>
      <c r="AE972" s="5">
        <v>2.1679859272866082</v>
      </c>
      <c r="AF972">
        <v>1</v>
      </c>
    </row>
    <row r="973" spans="27:32" x14ac:dyDescent="0.3">
      <c r="AA973" s="3">
        <v>43721.86</v>
      </c>
      <c r="AB973">
        <v>1E-4</v>
      </c>
      <c r="AC973">
        <v>7</v>
      </c>
      <c r="AD973" s="5">
        <v>5.0468272034291779</v>
      </c>
      <c r="AE973" s="5">
        <v>2.1864991240044627</v>
      </c>
      <c r="AF973">
        <v>1</v>
      </c>
    </row>
    <row r="974" spans="27:32" x14ac:dyDescent="0.3">
      <c r="AA974" s="3">
        <v>-2793.36</v>
      </c>
      <c r="AB974">
        <v>1E-4</v>
      </c>
      <c r="AC974">
        <v>9</v>
      </c>
      <c r="AD974" s="5">
        <v>4.8346920300044616</v>
      </c>
      <c r="AE974" s="5">
        <v>2.1987326534123088</v>
      </c>
      <c r="AF974">
        <v>1</v>
      </c>
    </row>
    <row r="975" spans="27:32" x14ac:dyDescent="0.3">
      <c r="AA975" s="3">
        <v>-1396.46</v>
      </c>
      <c r="AB975">
        <v>1E-4</v>
      </c>
      <c r="AC975">
        <v>9</v>
      </c>
      <c r="AD975" s="5">
        <v>5.0371398420952982</v>
      </c>
      <c r="AE975" s="5">
        <v>2.1759780888360241</v>
      </c>
      <c r="AF975">
        <v>1</v>
      </c>
    </row>
    <row r="976" spans="27:32" x14ac:dyDescent="0.3">
      <c r="AA976" s="3">
        <v>33506.67</v>
      </c>
      <c r="AB976">
        <v>1E-4</v>
      </c>
      <c r="AC976">
        <v>7</v>
      </c>
      <c r="AD976" s="5">
        <v>5.1547831024985911</v>
      </c>
      <c r="AE976" s="5">
        <v>2.1997719312512056</v>
      </c>
      <c r="AF976">
        <v>1</v>
      </c>
    </row>
    <row r="977" spans="27:32" x14ac:dyDescent="0.3">
      <c r="AA977" s="3">
        <v>23301.1</v>
      </c>
      <c r="AB977">
        <v>1E-4</v>
      </c>
      <c r="AC977">
        <v>8</v>
      </c>
      <c r="AD977" s="5">
        <v>5.0591195457919671</v>
      </c>
      <c r="AE977" s="5">
        <v>2.1843870522210089</v>
      </c>
      <c r="AF977">
        <v>1</v>
      </c>
    </row>
    <row r="978" spans="27:32" x14ac:dyDescent="0.3">
      <c r="AA978" s="3">
        <v>11929.4</v>
      </c>
      <c r="AB978">
        <v>1E-4</v>
      </c>
      <c r="AC978">
        <v>8</v>
      </c>
      <c r="AD978" s="5">
        <v>5.0154411934410685</v>
      </c>
      <c r="AE978" s="5">
        <v>2.1627240783262813</v>
      </c>
      <c r="AF978">
        <v>1</v>
      </c>
    </row>
    <row r="979" spans="27:32" x14ac:dyDescent="0.3">
      <c r="AA979" s="3">
        <v>11645.29</v>
      </c>
      <c r="AB979">
        <v>1E-4</v>
      </c>
      <c r="AC979">
        <v>8</v>
      </c>
      <c r="AD979" s="5">
        <v>4.9704094892559132</v>
      </c>
      <c r="AE979" s="5">
        <v>2.106103304947383</v>
      </c>
      <c r="AF979">
        <v>1</v>
      </c>
    </row>
    <row r="980" spans="27:32" x14ac:dyDescent="0.3">
      <c r="AA980" s="3">
        <v>25154.49</v>
      </c>
      <c r="AB980">
        <v>1E-4</v>
      </c>
      <c r="AC980">
        <v>8</v>
      </c>
      <c r="AD980" s="5">
        <v>4.9735968721123394</v>
      </c>
      <c r="AE980" s="5">
        <v>2.1669375494377872</v>
      </c>
      <c r="AF980">
        <v>1</v>
      </c>
    </row>
    <row r="981" spans="27:32" x14ac:dyDescent="0.3">
      <c r="AA981" s="3">
        <v>3925.54</v>
      </c>
      <c r="AB981">
        <v>1E-4</v>
      </c>
      <c r="AC981">
        <v>8</v>
      </c>
      <c r="AD981" s="5">
        <v>5.1086015573872219</v>
      </c>
      <c r="AE981" s="5">
        <v>2.2417194878719444</v>
      </c>
      <c r="AF981">
        <v>1</v>
      </c>
    </row>
    <row r="982" spans="27:32" x14ac:dyDescent="0.3">
      <c r="AA982" s="3">
        <v>8422.49</v>
      </c>
      <c r="AB982">
        <v>1E-4</v>
      </c>
      <c r="AC982">
        <v>8</v>
      </c>
      <c r="AD982" s="5">
        <v>4.973996241034949</v>
      </c>
      <c r="AE982" s="5">
        <v>2.2225737666585883</v>
      </c>
      <c r="AF982">
        <v>1</v>
      </c>
    </row>
    <row r="983" spans="27:32" x14ac:dyDescent="0.3">
      <c r="AA983" s="3">
        <v>8197.5300000000007</v>
      </c>
      <c r="AB983">
        <v>1E-4</v>
      </c>
      <c r="AC983">
        <v>8</v>
      </c>
      <c r="AD983" s="5">
        <v>5.1605202692093926</v>
      </c>
      <c r="AE983" s="5">
        <v>2.2217517767033339</v>
      </c>
      <c r="AF983">
        <v>1</v>
      </c>
    </row>
    <row r="984" spans="27:32" x14ac:dyDescent="0.3">
      <c r="AA984" s="3">
        <v>-27553.126726263734</v>
      </c>
      <c r="AB984">
        <v>1E-4</v>
      </c>
      <c r="AC984">
        <v>9</v>
      </c>
      <c r="AD984" s="5">
        <v>5.0204293608398265</v>
      </c>
      <c r="AE984" s="5">
        <v>2.197337184954721</v>
      </c>
      <c r="AF984">
        <v>0</v>
      </c>
    </row>
    <row r="985" spans="27:32" x14ac:dyDescent="0.3">
      <c r="AA985" s="3">
        <v>6057.57</v>
      </c>
      <c r="AB985">
        <v>1E-4</v>
      </c>
      <c r="AC985">
        <v>8</v>
      </c>
      <c r="AD985" s="5">
        <v>4.9178791063581535</v>
      </c>
      <c r="AE985" s="5">
        <v>2.2672462035953362</v>
      </c>
      <c r="AF985">
        <v>1</v>
      </c>
    </row>
    <row r="986" spans="27:32" x14ac:dyDescent="0.3">
      <c r="AA986" s="3">
        <v>3361.04</v>
      </c>
      <c r="AB986">
        <v>1E-4</v>
      </c>
      <c r="AC986">
        <v>8</v>
      </c>
      <c r="AD986" s="5">
        <v>5.084466754708715</v>
      </c>
      <c r="AE986" s="5">
        <v>2.1683582769871834</v>
      </c>
      <c r="AF986">
        <v>1</v>
      </c>
    </row>
    <row r="987" spans="27:32" x14ac:dyDescent="0.3">
      <c r="AA987" s="3">
        <v>7679.56</v>
      </c>
      <c r="AB987">
        <v>1E-4</v>
      </c>
      <c r="AC987">
        <v>8</v>
      </c>
      <c r="AD987" s="5">
        <v>4.8403396804606444</v>
      </c>
      <c r="AE987" s="5">
        <v>2.2510837080166328</v>
      </c>
      <c r="AF987">
        <v>1</v>
      </c>
    </row>
    <row r="988" spans="27:32" x14ac:dyDescent="0.3">
      <c r="AA988" s="3">
        <v>26938.42</v>
      </c>
      <c r="AB988">
        <v>1E-4</v>
      </c>
      <c r="AC988">
        <v>8</v>
      </c>
      <c r="AD988" s="5">
        <v>5.0408935280896525</v>
      </c>
      <c r="AE988" s="5">
        <v>2.1605041533559604</v>
      </c>
      <c r="AF988">
        <v>1</v>
      </c>
    </row>
    <row r="989" spans="27:32" x14ac:dyDescent="0.3">
      <c r="AA989" s="3">
        <v>-13299.56</v>
      </c>
      <c r="AB989">
        <v>1E-4</v>
      </c>
      <c r="AC989">
        <v>9</v>
      </c>
      <c r="AD989" s="5">
        <v>4.9069218730395061</v>
      </c>
      <c r="AE989" s="5">
        <v>2.2499204494149052</v>
      </c>
      <c r="AF989">
        <v>1</v>
      </c>
    </row>
    <row r="990" spans="27:32" x14ac:dyDescent="0.3">
      <c r="AA990" s="3">
        <v>54050.25</v>
      </c>
      <c r="AB990">
        <v>1E-4</v>
      </c>
      <c r="AC990">
        <v>6</v>
      </c>
      <c r="AD990" s="5">
        <v>5.1912484372416019</v>
      </c>
      <c r="AE990" s="5">
        <v>2.2203900474869189</v>
      </c>
      <c r="AF990">
        <v>1</v>
      </c>
    </row>
    <row r="991" spans="27:32" x14ac:dyDescent="0.3">
      <c r="AA991" s="3">
        <v>-1274.05</v>
      </c>
      <c r="AB991">
        <v>1E-4</v>
      </c>
      <c r="AC991">
        <v>9</v>
      </c>
      <c r="AD991" s="5">
        <v>4.888076505294328</v>
      </c>
      <c r="AE991" s="5">
        <v>2.1983714316390053</v>
      </c>
      <c r="AF991">
        <v>1</v>
      </c>
    </row>
    <row r="992" spans="27:32" x14ac:dyDescent="0.3">
      <c r="AA992" s="3">
        <v>6409.89</v>
      </c>
      <c r="AB992">
        <v>1E-4</v>
      </c>
      <c r="AC992">
        <v>8</v>
      </c>
      <c r="AD992" s="5">
        <v>4.9343590538071593</v>
      </c>
      <c r="AE992" s="5">
        <v>2.1763123655987959</v>
      </c>
      <c r="AF992">
        <v>1</v>
      </c>
    </row>
    <row r="993" spans="27:32" x14ac:dyDescent="0.3">
      <c r="AA993" s="3">
        <v>33036.01</v>
      </c>
      <c r="AB993">
        <v>1E-4</v>
      </c>
      <c r="AC993">
        <v>7</v>
      </c>
      <c r="AD993" s="5">
        <v>5.0931975825204638</v>
      </c>
      <c r="AE993" s="5">
        <v>2.2325882250308591</v>
      </c>
      <c r="AF993">
        <v>1</v>
      </c>
    </row>
    <row r="994" spans="27:32" x14ac:dyDescent="0.3">
      <c r="AA994" s="3">
        <v>5314.11</v>
      </c>
      <c r="AB994">
        <v>1E-4</v>
      </c>
      <c r="AC994">
        <v>8</v>
      </c>
      <c r="AD994" s="5">
        <v>4.8963097414702226</v>
      </c>
      <c r="AE994" s="5">
        <v>2.1764401265279143</v>
      </c>
      <c r="AF994">
        <v>1</v>
      </c>
    </row>
    <row r="995" spans="27:32" x14ac:dyDescent="0.3">
      <c r="AA995" s="3">
        <v>32505.91</v>
      </c>
      <c r="AB995">
        <v>1E-4</v>
      </c>
      <c r="AC995">
        <v>7</v>
      </c>
      <c r="AD995" s="5">
        <v>4.9425607474776179</v>
      </c>
      <c r="AE995" s="5">
        <v>2.1650527128420176</v>
      </c>
      <c r="AF995">
        <v>1</v>
      </c>
    </row>
    <row r="996" spans="27:32" x14ac:dyDescent="0.3">
      <c r="AA996" s="3">
        <v>26801.49</v>
      </c>
      <c r="AB996">
        <v>1E-4</v>
      </c>
      <c r="AC996">
        <v>8</v>
      </c>
      <c r="AD996" s="5">
        <v>4.9963220420087691</v>
      </c>
      <c r="AE996" s="5">
        <v>2.2100562638169365</v>
      </c>
      <c r="AF996">
        <v>1</v>
      </c>
    </row>
    <row r="997" spans="27:32" x14ac:dyDescent="0.3">
      <c r="AA997" s="3">
        <v>-2853.06</v>
      </c>
      <c r="AB997">
        <v>1E-4</v>
      </c>
      <c r="AC997">
        <v>9</v>
      </c>
      <c r="AD997" s="5">
        <v>4.809321631803142</v>
      </c>
      <c r="AE997" s="5">
        <v>2.2185025487296097</v>
      </c>
      <c r="AF997">
        <v>1</v>
      </c>
    </row>
    <row r="998" spans="27:32" x14ac:dyDescent="0.3">
      <c r="AA998" s="3">
        <v>29384.79</v>
      </c>
      <c r="AB998">
        <v>1E-4</v>
      </c>
      <c r="AC998">
        <v>8</v>
      </c>
      <c r="AD998" s="5">
        <v>4.9450943372027503</v>
      </c>
      <c r="AE998" s="5">
        <v>2.1829440557732367</v>
      </c>
      <c r="AF998">
        <v>1</v>
      </c>
    </row>
    <row r="999" spans="27:32" x14ac:dyDescent="0.3">
      <c r="AA999" s="3">
        <v>5124.79</v>
      </c>
      <c r="AB999">
        <v>1E-4</v>
      </c>
      <c r="AC999">
        <v>8</v>
      </c>
      <c r="AD999" s="5">
        <v>4.8725745670055325</v>
      </c>
      <c r="AE999" s="5">
        <v>2.1240940000135295</v>
      </c>
      <c r="AF999">
        <v>1</v>
      </c>
    </row>
    <row r="1000" spans="27:32" x14ac:dyDescent="0.3">
      <c r="AA1000" s="3">
        <v>7915.86</v>
      </c>
      <c r="AB1000">
        <v>1E-4</v>
      </c>
      <c r="AC1000">
        <v>8</v>
      </c>
      <c r="AD1000" s="5">
        <v>4.8449751881630947</v>
      </c>
      <c r="AE1000" s="5">
        <v>2.1149891479025817</v>
      </c>
      <c r="AF1000">
        <v>1</v>
      </c>
    </row>
    <row r="1001" spans="27:32" x14ac:dyDescent="0.3">
      <c r="AA1001" s="3">
        <v>10322.44</v>
      </c>
      <c r="AB1001">
        <v>1E-4</v>
      </c>
      <c r="AC1001">
        <v>8</v>
      </c>
      <c r="AD1001" s="5">
        <v>4.8424693447382046</v>
      </c>
      <c r="AE1001" s="5">
        <v>2.1967899406632792</v>
      </c>
      <c r="AF1001">
        <v>1</v>
      </c>
    </row>
    <row r="1002" spans="27:32" x14ac:dyDescent="0.3">
      <c r="AA1002" s="3">
        <v>3625.29</v>
      </c>
      <c r="AB1002">
        <v>1E-4</v>
      </c>
      <c r="AC1002">
        <v>8</v>
      </c>
      <c r="AD1002" s="5">
        <v>4.948285478593121</v>
      </c>
      <c r="AE1002" s="5">
        <v>2.226509723723904</v>
      </c>
      <c r="AF1002">
        <v>1</v>
      </c>
    </row>
    <row r="1003" spans="27:32" x14ac:dyDescent="0.3">
      <c r="AA1003" s="3">
        <v>33943.35</v>
      </c>
      <c r="AB1003">
        <v>1E-4</v>
      </c>
      <c r="AC1003">
        <v>7</v>
      </c>
      <c r="AD1003" s="5">
        <v>5.1416653319345507</v>
      </c>
      <c r="AE1003" s="5">
        <v>2.1792184079767281</v>
      </c>
      <c r="AF1003">
        <v>1</v>
      </c>
    </row>
    <row r="1004" spans="27:32" x14ac:dyDescent="0.3">
      <c r="AA1004" s="3">
        <v>22051.42</v>
      </c>
      <c r="AB1004">
        <v>1E-4</v>
      </c>
      <c r="AC1004">
        <v>8</v>
      </c>
      <c r="AD1004" s="5">
        <v>5.1268398852569801</v>
      </c>
      <c r="AE1004" s="5">
        <v>2.2581419753592042</v>
      </c>
      <c r="AF1004">
        <v>1</v>
      </c>
    </row>
    <row r="1005" spans="27:32" x14ac:dyDescent="0.3">
      <c r="AA1005" s="3">
        <v>35103.24</v>
      </c>
      <c r="AB1005">
        <v>1E-4</v>
      </c>
      <c r="AC1005">
        <v>7</v>
      </c>
      <c r="AD1005" s="5">
        <v>5.1458081127637065</v>
      </c>
      <c r="AE1005" s="5">
        <v>2.1797271943715759</v>
      </c>
      <c r="AF1005">
        <v>1</v>
      </c>
    </row>
    <row r="1006" spans="27:32" x14ac:dyDescent="0.3">
      <c r="AA1006" s="3">
        <v>1892.24</v>
      </c>
      <c r="AB1006">
        <v>1E-4</v>
      </c>
      <c r="AC1006">
        <v>8</v>
      </c>
      <c r="AD1006" s="5">
        <v>5.0387328423255511</v>
      </c>
      <c r="AE1006" s="5">
        <v>2.2484045351633815</v>
      </c>
      <c r="AF1006">
        <v>1</v>
      </c>
    </row>
    <row r="1007" spans="27:32" x14ac:dyDescent="0.3">
      <c r="AA1007" s="3">
        <v>10088.1</v>
      </c>
      <c r="AB1007">
        <v>1E-4</v>
      </c>
      <c r="AC1007">
        <v>8</v>
      </c>
      <c r="AD1007" s="5">
        <v>5.0302874280892809</v>
      </c>
      <c r="AE1007" s="5">
        <v>2.18813330519367</v>
      </c>
      <c r="AF1007">
        <v>1</v>
      </c>
    </row>
    <row r="1008" spans="27:32" x14ac:dyDescent="0.3">
      <c r="AA1008" s="3">
        <v>19263.330000000002</v>
      </c>
      <c r="AB1008">
        <v>1E-4</v>
      </c>
      <c r="AC1008">
        <v>8</v>
      </c>
      <c r="AD1008" s="5">
        <v>4.9611710815577847</v>
      </c>
      <c r="AE1008" s="5">
        <v>2.1839217014884031</v>
      </c>
      <c r="AF1008">
        <v>1</v>
      </c>
    </row>
    <row r="1009" spans="27:32" x14ac:dyDescent="0.3">
      <c r="AA1009" s="3">
        <v>19648.11</v>
      </c>
      <c r="AB1009">
        <v>1E-4</v>
      </c>
      <c r="AC1009">
        <v>8</v>
      </c>
      <c r="AD1009" s="5">
        <v>5.0827890918810237</v>
      </c>
      <c r="AE1009" s="5">
        <v>2.259482605888377</v>
      </c>
      <c r="AF1009">
        <v>1</v>
      </c>
    </row>
    <row r="1010" spans="27:32" x14ac:dyDescent="0.3">
      <c r="AA1010" s="3">
        <v>11197.89</v>
      </c>
      <c r="AB1010">
        <v>1E-4</v>
      </c>
      <c r="AC1010">
        <v>8</v>
      </c>
      <c r="AD1010" s="5">
        <v>5.0753178185191725</v>
      </c>
      <c r="AE1010" s="5">
        <v>2.1644702850308026</v>
      </c>
      <c r="AF1010">
        <v>1</v>
      </c>
    </row>
    <row r="1011" spans="27:32" x14ac:dyDescent="0.3">
      <c r="AA1011" s="3">
        <v>10372.31</v>
      </c>
      <c r="AB1011">
        <v>1E-4</v>
      </c>
      <c r="AC1011">
        <v>8</v>
      </c>
      <c r="AD1011" s="5">
        <v>5.1035998667855598</v>
      </c>
      <c r="AE1011" s="5">
        <v>2.2441390768858374</v>
      </c>
      <c r="AF1011">
        <v>1</v>
      </c>
    </row>
    <row r="1012" spans="27:32" x14ac:dyDescent="0.3">
      <c r="AA1012" s="3">
        <v>18565.71</v>
      </c>
      <c r="AB1012">
        <v>1E-4</v>
      </c>
      <c r="AC1012">
        <v>8</v>
      </c>
      <c r="AD1012" s="5">
        <v>5.0026026186135528</v>
      </c>
      <c r="AE1012" s="5">
        <v>2.1113366801261391</v>
      </c>
      <c r="AF1012">
        <v>1</v>
      </c>
    </row>
    <row r="1013" spans="27:32" x14ac:dyDescent="0.3">
      <c r="AA1013" s="3">
        <v>44293.74</v>
      </c>
      <c r="AB1013">
        <v>1E-4</v>
      </c>
      <c r="AC1013">
        <v>7</v>
      </c>
      <c r="AD1013" s="5">
        <v>4.9475951538804148</v>
      </c>
      <c r="AE1013" s="5">
        <v>2.2726509026304464</v>
      </c>
      <c r="AF1013">
        <v>1</v>
      </c>
    </row>
    <row r="1014" spans="27:32" x14ac:dyDescent="0.3">
      <c r="AA1014" s="3">
        <v>4810.95</v>
      </c>
      <c r="AB1014">
        <v>1E-4</v>
      </c>
      <c r="AC1014">
        <v>8</v>
      </c>
      <c r="AD1014" s="5">
        <v>4.892141561810706</v>
      </c>
      <c r="AE1014" s="5">
        <v>2.2301424396614391</v>
      </c>
      <c r="AF1014">
        <v>1</v>
      </c>
    </row>
    <row r="1015" spans="27:32" x14ac:dyDescent="0.3">
      <c r="AA1015" s="3">
        <v>-3417.43</v>
      </c>
      <c r="AB1015">
        <v>1E-4</v>
      </c>
      <c r="AC1015">
        <v>9</v>
      </c>
      <c r="AD1015" s="5">
        <v>4.9786512876251594</v>
      </c>
      <c r="AE1015" s="5">
        <v>2.3306185115106706</v>
      </c>
      <c r="AF1015">
        <v>1</v>
      </c>
    </row>
    <row r="1016" spans="27:32" x14ac:dyDescent="0.3">
      <c r="AA1016" s="3">
        <v>40226.410000000003</v>
      </c>
      <c r="AB1016">
        <v>1E-4</v>
      </c>
      <c r="AC1016">
        <v>7</v>
      </c>
      <c r="AD1016" s="5">
        <v>5.0307096780549267</v>
      </c>
      <c r="AE1016" s="5">
        <v>2.1827587052596558</v>
      </c>
      <c r="AF1016">
        <v>1</v>
      </c>
    </row>
    <row r="1017" spans="27:32" x14ac:dyDescent="0.3">
      <c r="AA1017" s="3">
        <v>39052.04</v>
      </c>
      <c r="AB1017">
        <v>1E-4</v>
      </c>
      <c r="AC1017">
        <v>7</v>
      </c>
      <c r="AD1017" s="5">
        <v>5.033733622973446</v>
      </c>
      <c r="AE1017" s="5">
        <v>2.1843179967728581</v>
      </c>
      <c r="AF1017">
        <v>1</v>
      </c>
    </row>
    <row r="1018" spans="27:32" x14ac:dyDescent="0.3">
      <c r="AA1018" s="3">
        <v>-13974.33</v>
      </c>
      <c r="AB1018">
        <v>1E-4</v>
      </c>
      <c r="AC1018">
        <v>9</v>
      </c>
      <c r="AD1018" s="5">
        <v>4.9045284247107279</v>
      </c>
      <c r="AE1018" s="5">
        <v>2.236906306095964</v>
      </c>
      <c r="AF1018">
        <v>1</v>
      </c>
    </row>
    <row r="1019" spans="27:32" x14ac:dyDescent="0.3">
      <c r="AA1019" s="3">
        <v>9709.5400000000009</v>
      </c>
      <c r="AB1019">
        <v>1E-4</v>
      </c>
      <c r="AC1019">
        <v>8</v>
      </c>
      <c r="AD1019" s="5">
        <v>4.9192287900737535</v>
      </c>
      <c r="AE1019" s="5">
        <v>2.2470529881765562</v>
      </c>
      <c r="AF1019">
        <v>1</v>
      </c>
    </row>
    <row r="1020" spans="27:32" x14ac:dyDescent="0.3">
      <c r="AA1020" s="3">
        <v>-9683.7999999999993</v>
      </c>
      <c r="AB1020">
        <v>1E-4</v>
      </c>
      <c r="AC1020">
        <v>9</v>
      </c>
      <c r="AD1020" s="5">
        <v>5.0465535232170273</v>
      </c>
      <c r="AE1020" s="5">
        <v>2.2492997220409334</v>
      </c>
      <c r="AF1020">
        <v>1</v>
      </c>
    </row>
    <row r="1021" spans="27:32" x14ac:dyDescent="0.3">
      <c r="AA1021" s="3">
        <v>1651.07</v>
      </c>
      <c r="AB1021">
        <v>1E-4</v>
      </c>
      <c r="AC1021">
        <v>8</v>
      </c>
      <c r="AD1021" s="5">
        <v>4.8673154290274336</v>
      </c>
      <c r="AE1021" s="5">
        <v>2.2730692181055518</v>
      </c>
      <c r="AF1021">
        <v>1</v>
      </c>
    </row>
    <row r="1022" spans="27:32" x14ac:dyDescent="0.3">
      <c r="AA1022" s="3">
        <v>12506.24</v>
      </c>
      <c r="AB1022">
        <v>1E-4</v>
      </c>
      <c r="AC1022">
        <v>8</v>
      </c>
      <c r="AD1022" s="5">
        <v>5.0763834700531847</v>
      </c>
      <c r="AE1022" s="5">
        <v>2.1798226195227701</v>
      </c>
      <c r="AF1022">
        <v>1</v>
      </c>
    </row>
    <row r="1023" spans="27:32" x14ac:dyDescent="0.3">
      <c r="AA1023" s="3">
        <v>42642.53</v>
      </c>
      <c r="AB1023">
        <v>1E-4</v>
      </c>
      <c r="AC1023">
        <v>7</v>
      </c>
      <c r="AD1023" s="5">
        <v>5.0803948258842047</v>
      </c>
      <c r="AE1023" s="5">
        <v>2.2368361147645741</v>
      </c>
      <c r="AF1023">
        <v>1</v>
      </c>
    </row>
    <row r="1024" spans="27:32" x14ac:dyDescent="0.3">
      <c r="AA1024" s="3">
        <v>-9007.66</v>
      </c>
      <c r="AB1024">
        <v>1E-4</v>
      </c>
      <c r="AC1024">
        <v>9</v>
      </c>
      <c r="AD1024" s="5">
        <v>4.8956374210615152</v>
      </c>
      <c r="AE1024" s="5">
        <v>2.2232214380752171</v>
      </c>
      <c r="AF1024">
        <v>1</v>
      </c>
    </row>
    <row r="1025" spans="27:32" x14ac:dyDescent="0.3">
      <c r="AA1025" s="3">
        <v>-369.93</v>
      </c>
      <c r="AB1025">
        <v>1E-4</v>
      </c>
      <c r="AC1025">
        <v>9</v>
      </c>
      <c r="AD1025" s="5">
        <v>5.0579915541534977</v>
      </c>
      <c r="AE1025" s="5">
        <v>2.1921189005875039</v>
      </c>
      <c r="AF1025">
        <v>1</v>
      </c>
    </row>
    <row r="1026" spans="27:32" x14ac:dyDescent="0.3">
      <c r="AA1026" s="3">
        <v>18053.53</v>
      </c>
      <c r="AB1026">
        <v>1E-4</v>
      </c>
      <c r="AC1026">
        <v>8</v>
      </c>
      <c r="AD1026" s="5">
        <v>5.000571521168486</v>
      </c>
      <c r="AE1026" s="5">
        <v>2.1868013363356313</v>
      </c>
      <c r="AF1026">
        <v>1</v>
      </c>
    </row>
    <row r="1027" spans="27:32" x14ac:dyDescent="0.3">
      <c r="AA1027" s="3">
        <v>18048.400000000001</v>
      </c>
      <c r="AB1027">
        <v>1E-4</v>
      </c>
      <c r="AC1027">
        <v>8</v>
      </c>
      <c r="AD1027" s="5">
        <v>4.950112211968257</v>
      </c>
      <c r="AE1027" s="5">
        <v>2.1930925532646097</v>
      </c>
      <c r="AF1027">
        <v>1</v>
      </c>
    </row>
    <row r="1028" spans="27:32" x14ac:dyDescent="0.3">
      <c r="AA1028" s="3">
        <v>-25947.22</v>
      </c>
      <c r="AB1028">
        <v>1E-4</v>
      </c>
      <c r="AC1028">
        <v>9</v>
      </c>
      <c r="AD1028" s="5">
        <v>4.9825958744213574</v>
      </c>
      <c r="AE1028" s="5">
        <v>2.2364381914847895</v>
      </c>
      <c r="AF1028">
        <v>1</v>
      </c>
    </row>
    <row r="1029" spans="27:32" x14ac:dyDescent="0.3">
      <c r="AA1029" s="3">
        <v>30542.080000000002</v>
      </c>
      <c r="AB1029">
        <v>1E-4</v>
      </c>
      <c r="AC1029">
        <v>7</v>
      </c>
      <c r="AD1029" s="5">
        <v>4.9644619686188873</v>
      </c>
      <c r="AE1029" s="5">
        <v>2.2039615254608012</v>
      </c>
      <c r="AF1029">
        <v>1</v>
      </c>
    </row>
    <row r="1030" spans="27:32" x14ac:dyDescent="0.3">
      <c r="AA1030" s="3">
        <v>6972.38</v>
      </c>
      <c r="AB1030">
        <v>1E-4</v>
      </c>
      <c r="AC1030">
        <v>8</v>
      </c>
      <c r="AD1030" s="5">
        <v>5.0599645490230145</v>
      </c>
      <c r="AE1030" s="5">
        <v>2.1630793778939115</v>
      </c>
      <c r="AF1030">
        <v>1</v>
      </c>
    </row>
    <row r="1031" spans="27:32" x14ac:dyDescent="0.3">
      <c r="AA1031" s="3">
        <v>16390.29</v>
      </c>
      <c r="AB1031">
        <v>1E-4</v>
      </c>
      <c r="AC1031">
        <v>8</v>
      </c>
      <c r="AD1031" s="5">
        <v>4.923384461235913</v>
      </c>
      <c r="AE1031" s="5">
        <v>2.3131837137784368</v>
      </c>
      <c r="AF1031">
        <v>1</v>
      </c>
    </row>
    <row r="1032" spans="27:32" x14ac:dyDescent="0.3">
      <c r="AA1032" s="3">
        <v>-7696.83</v>
      </c>
      <c r="AB1032">
        <v>1E-4</v>
      </c>
      <c r="AC1032">
        <v>9</v>
      </c>
      <c r="AD1032" s="5">
        <v>5.1101729963384184</v>
      </c>
      <c r="AE1032" s="5">
        <v>2.2213005701437871</v>
      </c>
      <c r="AF1032">
        <v>1</v>
      </c>
    </row>
    <row r="1033" spans="27:32" x14ac:dyDescent="0.3">
      <c r="AA1033" s="3">
        <v>-8662.44</v>
      </c>
      <c r="AB1033">
        <v>1E-4</v>
      </c>
      <c r="AC1033">
        <v>9</v>
      </c>
      <c r="AD1033" s="5">
        <v>4.8086764852854982</v>
      </c>
      <c r="AE1033" s="5">
        <v>2.2271275750680024</v>
      </c>
      <c r="AF1033">
        <v>1</v>
      </c>
    </row>
    <row r="1034" spans="27:32" x14ac:dyDescent="0.3">
      <c r="AA1034" s="3">
        <v>-8922.48</v>
      </c>
      <c r="AB1034">
        <v>1E-4</v>
      </c>
      <c r="AC1034">
        <v>9</v>
      </c>
      <c r="AD1034" s="5">
        <v>4.7993059559245408</v>
      </c>
      <c r="AE1034" s="5">
        <v>2.171159511158558</v>
      </c>
      <c r="AF1034">
        <v>1</v>
      </c>
    </row>
    <row r="1035" spans="27:32" x14ac:dyDescent="0.3">
      <c r="AA1035" s="3">
        <v>7983.55</v>
      </c>
      <c r="AB1035">
        <v>1E-4</v>
      </c>
      <c r="AC1035">
        <v>8</v>
      </c>
      <c r="AD1035" s="5">
        <v>4.9409642510812013</v>
      </c>
      <c r="AE1035" s="5">
        <v>2.1799234102381964</v>
      </c>
      <c r="AF1035">
        <v>1</v>
      </c>
    </row>
    <row r="1036" spans="27:32" x14ac:dyDescent="0.3">
      <c r="AA1036" s="3">
        <v>11921.23</v>
      </c>
      <c r="AB1036">
        <v>1E-4</v>
      </c>
      <c r="AC1036">
        <v>8</v>
      </c>
      <c r="AD1036" s="5">
        <v>4.9413006642893365</v>
      </c>
      <c r="AE1036" s="5">
        <v>2.0885316568707433</v>
      </c>
      <c r="AF1036">
        <v>1</v>
      </c>
    </row>
    <row r="1037" spans="27:32" x14ac:dyDescent="0.3">
      <c r="AA1037" s="3">
        <v>17014</v>
      </c>
      <c r="AB1037">
        <v>1E-4</v>
      </c>
      <c r="AC1037">
        <v>8</v>
      </c>
      <c r="AD1037" s="5">
        <v>5.0077244414307094</v>
      </c>
      <c r="AE1037" s="5">
        <v>2.2155138862542998</v>
      </c>
      <c r="AF1037">
        <v>1</v>
      </c>
    </row>
    <row r="1038" spans="27:32" x14ac:dyDescent="0.3">
      <c r="AA1038" s="3">
        <v>-10796.1</v>
      </c>
      <c r="AB1038">
        <v>1E-4</v>
      </c>
      <c r="AC1038">
        <v>9</v>
      </c>
      <c r="AD1038" s="5">
        <v>4.866031002584319</v>
      </c>
      <c r="AE1038" s="5">
        <v>2.3009433184532573</v>
      </c>
      <c r="AF1038">
        <v>1</v>
      </c>
    </row>
    <row r="1039" spans="27:32" x14ac:dyDescent="0.3">
      <c r="AA1039" s="3">
        <v>17377.41</v>
      </c>
      <c r="AB1039">
        <v>1E-4</v>
      </c>
      <c r="AC1039">
        <v>8</v>
      </c>
      <c r="AD1039" s="5">
        <v>5.0728647931337374</v>
      </c>
      <c r="AE1039" s="5">
        <v>2.1267363465293667</v>
      </c>
      <c r="AF1039">
        <v>1</v>
      </c>
    </row>
    <row r="1040" spans="27:32" x14ac:dyDescent="0.3">
      <c r="AA1040" s="3">
        <v>-12106.39</v>
      </c>
      <c r="AB1040">
        <v>1E-4</v>
      </c>
      <c r="AC1040">
        <v>9</v>
      </c>
      <c r="AD1040" s="5">
        <v>5.0837955194552134</v>
      </c>
      <c r="AE1040" s="5">
        <v>2.2656512401928515</v>
      </c>
      <c r="AF1040">
        <v>1</v>
      </c>
    </row>
    <row r="1041" spans="27:32" x14ac:dyDescent="0.3">
      <c r="AA1041" s="3">
        <v>16757.400000000001</v>
      </c>
      <c r="AB1041">
        <v>1E-4</v>
      </c>
      <c r="AC1041">
        <v>8</v>
      </c>
      <c r="AD1041" s="5">
        <v>4.9967130779816715</v>
      </c>
      <c r="AE1041" s="5">
        <v>2.1161185011488182</v>
      </c>
      <c r="AF1041">
        <v>1</v>
      </c>
    </row>
    <row r="1042" spans="27:32" x14ac:dyDescent="0.3">
      <c r="AA1042" s="3">
        <v>7077.64</v>
      </c>
      <c r="AB1042">
        <v>1E-4</v>
      </c>
      <c r="AC1042">
        <v>8</v>
      </c>
      <c r="AD1042" s="5">
        <v>5.0536501618207623</v>
      </c>
      <c r="AE1042" s="5">
        <v>2.2888194517045726</v>
      </c>
      <c r="AF1042">
        <v>1</v>
      </c>
    </row>
    <row r="1043" spans="27:32" x14ac:dyDescent="0.3">
      <c r="AA1043" s="3">
        <v>4597.83</v>
      </c>
      <c r="AB1043">
        <v>1E-4</v>
      </c>
      <c r="AC1043">
        <v>8</v>
      </c>
      <c r="AD1043" s="5">
        <v>4.76605904081429</v>
      </c>
      <c r="AE1043" s="5">
        <v>2.2236042680301784</v>
      </c>
      <c r="AF1043">
        <v>1</v>
      </c>
    </row>
    <row r="1044" spans="27:32" x14ac:dyDescent="0.3">
      <c r="AA1044" s="3">
        <v>7200.86</v>
      </c>
      <c r="AB1044">
        <v>1E-4</v>
      </c>
      <c r="AC1044">
        <v>8</v>
      </c>
      <c r="AD1044" s="5">
        <v>4.989865201830443</v>
      </c>
      <c r="AE1044" s="5">
        <v>2.2872650135463202</v>
      </c>
      <c r="AF1044">
        <v>1</v>
      </c>
    </row>
    <row r="1045" spans="27:32" x14ac:dyDescent="0.3">
      <c r="AA1045" s="3">
        <v>-1531.42</v>
      </c>
      <c r="AB1045">
        <v>1E-4</v>
      </c>
      <c r="AC1045">
        <v>9</v>
      </c>
      <c r="AD1045" s="5">
        <v>4.9546582820101257</v>
      </c>
      <c r="AE1045" s="5">
        <v>2.2449370030939377</v>
      </c>
      <c r="AF1045">
        <v>1</v>
      </c>
    </row>
    <row r="1046" spans="27:32" x14ac:dyDescent="0.3">
      <c r="AA1046" s="3">
        <v>42096.85</v>
      </c>
      <c r="AB1046">
        <v>1E-4</v>
      </c>
      <c r="AC1046">
        <v>7</v>
      </c>
      <c r="AD1046" s="5">
        <v>5.0293437426719168</v>
      </c>
      <c r="AE1046" s="5">
        <v>2.174089656103904</v>
      </c>
      <c r="AF1046">
        <v>1</v>
      </c>
    </row>
    <row r="1047" spans="27:32" x14ac:dyDescent="0.3">
      <c r="AA1047" s="3">
        <v>8774.5400000000009</v>
      </c>
      <c r="AB1047">
        <v>1E-4</v>
      </c>
      <c r="AC1047">
        <v>8</v>
      </c>
      <c r="AD1047" s="5">
        <v>5.0038282726053716</v>
      </c>
      <c r="AE1047" s="5">
        <v>2.1033528026272843</v>
      </c>
      <c r="AF1047">
        <v>1</v>
      </c>
    </row>
    <row r="1048" spans="27:32" x14ac:dyDescent="0.3">
      <c r="AA1048" s="3">
        <v>22413.3</v>
      </c>
      <c r="AB1048">
        <v>1E-4</v>
      </c>
      <c r="AC1048">
        <v>8</v>
      </c>
      <c r="AD1048" s="5">
        <v>4.8757837327387028</v>
      </c>
      <c r="AE1048" s="5">
        <v>2.2082502579100498</v>
      </c>
      <c r="AF1048">
        <v>1</v>
      </c>
    </row>
    <row r="1049" spans="27:32" x14ac:dyDescent="0.3">
      <c r="AA1049" s="3">
        <v>11272.62</v>
      </c>
      <c r="AB1049">
        <v>1E-4</v>
      </c>
      <c r="AC1049">
        <v>8</v>
      </c>
      <c r="AD1049" s="5">
        <v>5.1557085959240112</v>
      </c>
      <c r="AE1049" s="5">
        <v>2.2363537631072035</v>
      </c>
      <c r="AF1049">
        <v>1</v>
      </c>
    </row>
    <row r="1050" spans="27:32" x14ac:dyDescent="0.3">
      <c r="AA1050" s="3">
        <v>-4520.92</v>
      </c>
      <c r="AB1050">
        <v>1E-4</v>
      </c>
      <c r="AC1050">
        <v>9</v>
      </c>
      <c r="AD1050" s="5">
        <v>5.0929016127050888</v>
      </c>
      <c r="AE1050" s="5">
        <v>2.2049408804145019</v>
      </c>
      <c r="AF1050">
        <v>1</v>
      </c>
    </row>
    <row r="1051" spans="27:32" x14ac:dyDescent="0.3">
      <c r="AA1051" s="3">
        <v>39565.22</v>
      </c>
      <c r="AB1051">
        <v>1E-4</v>
      </c>
      <c r="AC1051">
        <v>7</v>
      </c>
      <c r="AD1051" s="5">
        <v>5.0572380020747181</v>
      </c>
      <c r="AE1051" s="5">
        <v>2.1871569415651591</v>
      </c>
      <c r="AF1051">
        <v>1</v>
      </c>
    </row>
    <row r="1052" spans="27:32" x14ac:dyDescent="0.3">
      <c r="AA1052" s="3">
        <v>21478.799999999999</v>
      </c>
      <c r="AB1052">
        <v>1E-4</v>
      </c>
      <c r="AC1052">
        <v>8</v>
      </c>
      <c r="AD1052" s="5">
        <v>5.0899264161664242</v>
      </c>
      <c r="AE1052" s="5">
        <v>2.2080602186566805</v>
      </c>
      <c r="AF1052">
        <v>1</v>
      </c>
    </row>
    <row r="1053" spans="27:32" x14ac:dyDescent="0.3">
      <c r="AA1053" s="3">
        <v>22819.26</v>
      </c>
      <c r="AB1053">
        <v>1E-4</v>
      </c>
      <c r="AC1053">
        <v>8</v>
      </c>
      <c r="AD1053" s="5">
        <v>4.9937568767162404</v>
      </c>
      <c r="AE1053" s="5">
        <v>2.1360481774961286</v>
      </c>
      <c r="AF1053">
        <v>1</v>
      </c>
    </row>
    <row r="1054" spans="27:32" x14ac:dyDescent="0.3">
      <c r="AA1054" s="3">
        <v>11556.81</v>
      </c>
      <c r="AB1054">
        <v>1E-4</v>
      </c>
      <c r="AC1054">
        <v>8</v>
      </c>
      <c r="AD1054" s="5">
        <v>4.8249836555328729</v>
      </c>
      <c r="AE1054" s="5">
        <v>2.1594902064333392</v>
      </c>
      <c r="AF1054">
        <v>1</v>
      </c>
    </row>
    <row r="1055" spans="27:32" x14ac:dyDescent="0.3">
      <c r="AA1055" s="3">
        <v>-2060.65</v>
      </c>
      <c r="AB1055">
        <v>1E-4</v>
      </c>
      <c r="AC1055">
        <v>9</v>
      </c>
      <c r="AD1055" s="5">
        <v>4.8606622354823603</v>
      </c>
      <c r="AE1055" s="5">
        <v>2.2311814011502862</v>
      </c>
      <c r="AF1055">
        <v>1</v>
      </c>
    </row>
    <row r="1056" spans="27:32" x14ac:dyDescent="0.3">
      <c r="AA1056" s="3">
        <v>-20505.86</v>
      </c>
      <c r="AB1056">
        <v>1E-4</v>
      </c>
      <c r="AC1056">
        <v>9</v>
      </c>
      <c r="AD1056" s="5">
        <v>4.9796676354777425</v>
      </c>
      <c r="AE1056" s="5">
        <v>2.2164347187346438</v>
      </c>
      <c r="AF1056">
        <v>1</v>
      </c>
    </row>
    <row r="1057" spans="27:32" x14ac:dyDescent="0.3">
      <c r="AA1057" s="3">
        <v>17956.14</v>
      </c>
      <c r="AB1057">
        <v>1E-4</v>
      </c>
      <c r="AC1057">
        <v>8</v>
      </c>
      <c r="AD1057" s="5">
        <v>4.8820354008210227</v>
      </c>
      <c r="AE1057" s="5">
        <v>2.1423916561191105</v>
      </c>
      <c r="AF1057">
        <v>1</v>
      </c>
    </row>
    <row r="1058" spans="27:32" x14ac:dyDescent="0.3">
      <c r="AA1058" s="3">
        <v>22818.59</v>
      </c>
      <c r="AB1058">
        <v>1E-4</v>
      </c>
      <c r="AC1058">
        <v>8</v>
      </c>
      <c r="AD1058" s="5">
        <v>5.1093925093531807</v>
      </c>
      <c r="AE1058" s="5">
        <v>2.1403525375350774</v>
      </c>
      <c r="AF1058">
        <v>1</v>
      </c>
    </row>
    <row r="1059" spans="27:32" x14ac:dyDescent="0.3">
      <c r="AA1059" s="3">
        <v>10702.77</v>
      </c>
      <c r="AB1059">
        <v>1E-4</v>
      </c>
      <c r="AC1059">
        <v>8</v>
      </c>
      <c r="AD1059" s="5">
        <v>5.1441986191878089</v>
      </c>
      <c r="AE1059" s="5">
        <v>2.2040487312401011</v>
      </c>
      <c r="AF1059">
        <v>1</v>
      </c>
    </row>
    <row r="1060" spans="27:32" x14ac:dyDescent="0.3">
      <c r="AA1060" s="3">
        <v>12244.39</v>
      </c>
      <c r="AB1060">
        <v>1E-4</v>
      </c>
      <c r="AC1060">
        <v>8</v>
      </c>
      <c r="AD1060" s="5">
        <v>5.0778914857775685</v>
      </c>
      <c r="AE1060" s="5">
        <v>2.1827791069254086</v>
      </c>
      <c r="AF1060">
        <v>1</v>
      </c>
    </row>
    <row r="1061" spans="27:32" x14ac:dyDescent="0.3">
      <c r="AA1061" s="3">
        <v>-4296.78</v>
      </c>
      <c r="AB1061">
        <v>1E-4</v>
      </c>
      <c r="AC1061">
        <v>9</v>
      </c>
      <c r="AD1061" s="5">
        <v>4.9916910413561544</v>
      </c>
      <c r="AE1061" s="5">
        <v>2.2261740814707038</v>
      </c>
      <c r="AF1061">
        <v>1</v>
      </c>
    </row>
    <row r="1062" spans="27:32" x14ac:dyDescent="0.3">
      <c r="AA1062" s="3">
        <v>31250.65</v>
      </c>
      <c r="AB1062">
        <v>1E-4</v>
      </c>
      <c r="AC1062">
        <v>8</v>
      </c>
      <c r="AD1062" s="5">
        <v>5.0954149681864704</v>
      </c>
      <c r="AE1062" s="5">
        <v>2.1799891216592835</v>
      </c>
      <c r="AF1062">
        <v>1</v>
      </c>
    </row>
    <row r="1063" spans="27:32" x14ac:dyDescent="0.3">
      <c r="AA1063" s="3">
        <v>12146.59</v>
      </c>
      <c r="AB1063">
        <v>1E-4</v>
      </c>
      <c r="AC1063">
        <v>8</v>
      </c>
      <c r="AD1063" s="5">
        <v>5.1104843288495889</v>
      </c>
      <c r="AE1063" s="5">
        <v>2.1685107329316136</v>
      </c>
      <c r="AF1063">
        <v>1</v>
      </c>
    </row>
    <row r="1064" spans="27:32" x14ac:dyDescent="0.3">
      <c r="AA1064" s="3">
        <v>27190.04</v>
      </c>
      <c r="AB1064">
        <v>1E-4</v>
      </c>
      <c r="AC1064">
        <v>7</v>
      </c>
      <c r="AD1064" s="5">
        <v>5.0837322601187056</v>
      </c>
      <c r="AE1064" s="5">
        <v>2.263827641529228</v>
      </c>
      <c r="AF1064">
        <v>1</v>
      </c>
    </row>
    <row r="1065" spans="27:32" x14ac:dyDescent="0.3">
      <c r="AA1065" s="3">
        <v>-11160.23</v>
      </c>
      <c r="AB1065">
        <v>1E-4</v>
      </c>
      <c r="AC1065">
        <v>9</v>
      </c>
      <c r="AD1065" s="5">
        <v>4.8407055312450407</v>
      </c>
      <c r="AE1065" s="5">
        <v>2.2177179234532778</v>
      </c>
      <c r="AF1065">
        <v>1</v>
      </c>
    </row>
    <row r="1066" spans="27:32" x14ac:dyDescent="0.3">
      <c r="AA1066" s="3">
        <v>22146.57</v>
      </c>
      <c r="AB1066">
        <v>1E-4</v>
      </c>
      <c r="AC1066">
        <v>8</v>
      </c>
      <c r="AD1066" s="5">
        <v>5.0349240409695444</v>
      </c>
      <c r="AE1066" s="5">
        <v>2.250227395449552</v>
      </c>
      <c r="AF1066">
        <v>1</v>
      </c>
    </row>
    <row r="1067" spans="27:32" x14ac:dyDescent="0.3">
      <c r="AA1067" s="3">
        <v>-10870.05</v>
      </c>
      <c r="AB1067">
        <v>1E-4</v>
      </c>
      <c r="AC1067">
        <v>9</v>
      </c>
      <c r="AD1067" s="5">
        <v>4.8593160993949569</v>
      </c>
      <c r="AE1067" s="5">
        <v>2.203871494214992</v>
      </c>
      <c r="AF1067">
        <v>1</v>
      </c>
    </row>
    <row r="1068" spans="27:32" x14ac:dyDescent="0.3">
      <c r="AA1068" s="3">
        <v>35495.26</v>
      </c>
      <c r="AB1068">
        <v>1E-4</v>
      </c>
      <c r="AC1068">
        <v>7</v>
      </c>
      <c r="AD1068" s="5">
        <v>5.0647268217117949</v>
      </c>
      <c r="AE1068" s="5">
        <v>2.1231497791671674</v>
      </c>
      <c r="AF1068">
        <v>1</v>
      </c>
    </row>
    <row r="1069" spans="27:32" x14ac:dyDescent="0.3">
      <c r="AA1069" s="3">
        <v>22231.59</v>
      </c>
      <c r="AB1069">
        <v>1E-4</v>
      </c>
      <c r="AC1069">
        <v>8</v>
      </c>
      <c r="AD1069" s="5">
        <v>5.0907377278731456</v>
      </c>
      <c r="AE1069" s="5">
        <v>2.2358299250629323</v>
      </c>
      <c r="AF1069">
        <v>1</v>
      </c>
    </row>
    <row r="1070" spans="27:32" x14ac:dyDescent="0.3">
      <c r="AA1070" s="3">
        <v>6446.27</v>
      </c>
      <c r="AB1070">
        <v>1E-4</v>
      </c>
      <c r="AC1070">
        <v>8</v>
      </c>
      <c r="AD1070" s="5">
        <v>4.9756251583668583</v>
      </c>
      <c r="AE1070" s="5">
        <v>2.2111075295511182</v>
      </c>
      <c r="AF1070">
        <v>1</v>
      </c>
    </row>
    <row r="1071" spans="27:32" x14ac:dyDescent="0.3">
      <c r="AA1071" s="3">
        <v>5300.08</v>
      </c>
      <c r="AB1071">
        <v>1E-4</v>
      </c>
      <c r="AC1071">
        <v>8</v>
      </c>
      <c r="AD1071" s="5">
        <v>4.919938315264698</v>
      </c>
      <c r="AE1071" s="5">
        <v>2.2356266677820393</v>
      </c>
      <c r="AF1071">
        <v>1</v>
      </c>
    </row>
    <row r="1072" spans="27:32" x14ac:dyDescent="0.3">
      <c r="AA1072" s="3">
        <v>39932.51</v>
      </c>
      <c r="AB1072">
        <v>1E-4</v>
      </c>
      <c r="AC1072">
        <v>7</v>
      </c>
      <c r="AD1072" s="5">
        <v>4.8666446223581916</v>
      </c>
      <c r="AE1072" s="5">
        <v>2.2547243187156591</v>
      </c>
      <c r="AF1072">
        <v>1</v>
      </c>
    </row>
    <row r="1073" spans="27:32" x14ac:dyDescent="0.3">
      <c r="AA1073" s="3">
        <v>12141.55</v>
      </c>
      <c r="AB1073">
        <v>1E-4</v>
      </c>
      <c r="AC1073">
        <v>8</v>
      </c>
      <c r="AD1073" s="5">
        <v>5.0365232665867055</v>
      </c>
      <c r="AE1073" s="5">
        <v>2.2767873624031871</v>
      </c>
      <c r="AF1073">
        <v>1</v>
      </c>
    </row>
    <row r="1074" spans="27:32" x14ac:dyDescent="0.3">
      <c r="AA1074" s="3">
        <v>46715.31</v>
      </c>
      <c r="AB1074">
        <v>1E-4</v>
      </c>
      <c r="AC1074">
        <v>7</v>
      </c>
      <c r="AD1074" s="5">
        <v>5.0305714369456496</v>
      </c>
      <c r="AE1074" s="5">
        <v>2.2333867042827298</v>
      </c>
      <c r="AF1074">
        <v>1</v>
      </c>
    </row>
    <row r="1075" spans="27:32" x14ac:dyDescent="0.3">
      <c r="AA1075" s="3">
        <v>17322.59</v>
      </c>
      <c r="AB1075">
        <v>1E-4</v>
      </c>
      <c r="AC1075">
        <v>8</v>
      </c>
      <c r="AD1075" s="5">
        <v>4.9335053074304609</v>
      </c>
      <c r="AE1075" s="5">
        <v>2.2418869917688089</v>
      </c>
      <c r="AF1075">
        <v>1</v>
      </c>
    </row>
    <row r="1076" spans="27:32" x14ac:dyDescent="0.3">
      <c r="AA1076" s="3">
        <v>48704.98</v>
      </c>
      <c r="AB1076">
        <v>1E-4</v>
      </c>
      <c r="AC1076">
        <v>7</v>
      </c>
      <c r="AD1076" s="5">
        <v>5.1307196190136626</v>
      </c>
      <c r="AE1076" s="5">
        <v>2.2262629973394512</v>
      </c>
      <c r="AF1076">
        <v>1</v>
      </c>
    </row>
    <row r="1077" spans="27:32" x14ac:dyDescent="0.3">
      <c r="AA1077" s="3">
        <v>27745.31</v>
      </c>
      <c r="AB1077">
        <v>1E-4</v>
      </c>
      <c r="AC1077">
        <v>8</v>
      </c>
      <c r="AD1077" s="5">
        <v>4.9271208914468847</v>
      </c>
      <c r="AE1077" s="5">
        <v>2.2374326019284725</v>
      </c>
      <c r="AF1077">
        <v>1</v>
      </c>
    </row>
    <row r="1078" spans="27:32" x14ac:dyDescent="0.3">
      <c r="AA1078" s="3">
        <v>60591.03</v>
      </c>
      <c r="AB1078">
        <v>1E-4</v>
      </c>
      <c r="AC1078">
        <v>6</v>
      </c>
      <c r="AD1078" s="5">
        <v>5.2307943858745887</v>
      </c>
      <c r="AE1078" s="5">
        <v>2.1028451782938404</v>
      </c>
      <c r="AF1078">
        <v>1</v>
      </c>
    </row>
    <row r="1079" spans="27:32" x14ac:dyDescent="0.3">
      <c r="AA1079" s="3">
        <v>-3698.77</v>
      </c>
      <c r="AB1079">
        <v>1E-4</v>
      </c>
      <c r="AC1079">
        <v>9</v>
      </c>
      <c r="AD1079" s="5">
        <v>5.056515767601816</v>
      </c>
      <c r="AE1079" s="5">
        <v>2.2440359105307599</v>
      </c>
      <c r="AF1079">
        <v>1</v>
      </c>
    </row>
    <row r="1080" spans="27:32" x14ac:dyDescent="0.3">
      <c r="AA1080" s="3">
        <v>49131.79</v>
      </c>
      <c r="AB1080">
        <v>1E-4</v>
      </c>
      <c r="AC1080">
        <v>7</v>
      </c>
      <c r="AD1080" s="5">
        <v>5.0375034332198965</v>
      </c>
      <c r="AE1080" s="5">
        <v>2.1360125201483493</v>
      </c>
      <c r="AF1080">
        <v>1</v>
      </c>
    </row>
    <row r="1081" spans="27:32" x14ac:dyDescent="0.3">
      <c r="AA1081" s="3">
        <v>14365.45</v>
      </c>
      <c r="AB1081">
        <v>1E-4</v>
      </c>
      <c r="AC1081">
        <v>8</v>
      </c>
      <c r="AD1081" s="5">
        <v>5.026306640783397</v>
      </c>
      <c r="AE1081" s="5">
        <v>2.1564216708086867</v>
      </c>
      <c r="AF1081">
        <v>1</v>
      </c>
    </row>
    <row r="1082" spans="27:32" x14ac:dyDescent="0.3">
      <c r="AA1082" s="3">
        <v>42289.59</v>
      </c>
      <c r="AB1082">
        <v>1E-4</v>
      </c>
      <c r="AC1082">
        <v>7</v>
      </c>
      <c r="AD1082" s="5">
        <v>4.8137647502761283</v>
      </c>
      <c r="AE1082" s="5">
        <v>2.1469388255556718</v>
      </c>
      <c r="AF1082">
        <v>1</v>
      </c>
    </row>
    <row r="1083" spans="27:32" x14ac:dyDescent="0.3">
      <c r="AA1083" s="3">
        <v>-8980.8700000000008</v>
      </c>
      <c r="AB1083">
        <v>1E-4</v>
      </c>
      <c r="AC1083">
        <v>9</v>
      </c>
      <c r="AD1083" s="5">
        <v>4.9116362463212822</v>
      </c>
      <c r="AE1083" s="5">
        <v>2.2749066243189735</v>
      </c>
      <c r="AF1083">
        <v>1</v>
      </c>
    </row>
    <row r="1084" spans="27:32" x14ac:dyDescent="0.3">
      <c r="AA1084" s="3">
        <v>60793.64</v>
      </c>
      <c r="AB1084">
        <v>1E-4</v>
      </c>
      <c r="AC1084">
        <v>6</v>
      </c>
      <c r="AD1084" s="5">
        <v>5.0484412377986327</v>
      </c>
      <c r="AE1084" s="5">
        <v>2.2731240122704226</v>
      </c>
      <c r="AF1084">
        <v>1</v>
      </c>
    </row>
    <row r="1085" spans="27:32" x14ac:dyDescent="0.3">
      <c r="AA1085" s="3">
        <v>3434.58</v>
      </c>
      <c r="AB1085">
        <v>1E-4</v>
      </c>
      <c r="AC1085">
        <v>8</v>
      </c>
      <c r="AD1085" s="5">
        <v>5.0637440016639612</v>
      </c>
      <c r="AE1085" s="5">
        <v>2.2504123922799693</v>
      </c>
      <c r="AF1085">
        <v>1</v>
      </c>
    </row>
    <row r="1086" spans="27:32" x14ac:dyDescent="0.3">
      <c r="AA1086" s="3">
        <v>-7285.79</v>
      </c>
      <c r="AB1086">
        <v>1E-4</v>
      </c>
      <c r="AC1086">
        <v>9</v>
      </c>
      <c r="AD1086" s="5">
        <v>5.0291093604679524</v>
      </c>
      <c r="AE1086" s="5">
        <v>2.1627627622461421</v>
      </c>
      <c r="AF1086">
        <v>1</v>
      </c>
    </row>
    <row r="1087" spans="27:32" x14ac:dyDescent="0.3">
      <c r="AA1087" s="3">
        <v>19260.599999999999</v>
      </c>
      <c r="AB1087">
        <v>1E-4</v>
      </c>
      <c r="AC1087">
        <v>8</v>
      </c>
      <c r="AD1087" s="5">
        <v>5.0348621020705311</v>
      </c>
      <c r="AE1087" s="5">
        <v>2.1753900172362712</v>
      </c>
      <c r="AF1087">
        <v>1</v>
      </c>
    </row>
    <row r="1088" spans="27:32" x14ac:dyDescent="0.3">
      <c r="AA1088" s="3">
        <v>4492.13</v>
      </c>
      <c r="AB1088">
        <v>1E-4</v>
      </c>
      <c r="AC1088">
        <v>8</v>
      </c>
      <c r="AD1088" s="5">
        <v>4.8524719692741938</v>
      </c>
      <c r="AE1088" s="5">
        <v>2.2401854772669409</v>
      </c>
      <c r="AF1088">
        <v>1</v>
      </c>
    </row>
    <row r="1089" spans="27:32" x14ac:dyDescent="0.3">
      <c r="AA1089" s="3">
        <v>16991.52</v>
      </c>
      <c r="AB1089">
        <v>1E-4</v>
      </c>
      <c r="AC1089">
        <v>8</v>
      </c>
      <c r="AD1089" s="5">
        <v>4.9480585937419637</v>
      </c>
      <c r="AE1089" s="5">
        <v>2.1233715648895282</v>
      </c>
      <c r="AF1089">
        <v>1</v>
      </c>
    </row>
    <row r="1090" spans="27:32" x14ac:dyDescent="0.3">
      <c r="AA1090" s="3">
        <v>27678.99</v>
      </c>
      <c r="AB1090">
        <v>1E-4</v>
      </c>
      <c r="AC1090">
        <v>8</v>
      </c>
      <c r="AD1090" s="5">
        <v>4.885513018817063</v>
      </c>
      <c r="AE1090" s="5">
        <v>2.1586944030833588</v>
      </c>
      <c r="AF1090">
        <v>1</v>
      </c>
    </row>
    <row r="1091" spans="27:32" x14ac:dyDescent="0.3">
      <c r="AA1091" s="3">
        <v>8821.2000000000007</v>
      </c>
      <c r="AB1091">
        <v>1E-4</v>
      </c>
      <c r="AC1091">
        <v>8</v>
      </c>
      <c r="AD1091" s="5">
        <v>5.0241311176441599</v>
      </c>
      <c r="AE1091" s="5">
        <v>2.2420232210452493</v>
      </c>
      <c r="AF1091">
        <v>1</v>
      </c>
    </row>
    <row r="1092" spans="27:32" x14ac:dyDescent="0.3">
      <c r="AA1092" s="3">
        <v>-4724.3999999999996</v>
      </c>
      <c r="AB1092">
        <v>1E-4</v>
      </c>
      <c r="AC1092">
        <v>9</v>
      </c>
      <c r="AD1092" s="5">
        <v>4.9144543070130693</v>
      </c>
      <c r="AE1092" s="5">
        <v>2.2562644883913863</v>
      </c>
      <c r="AF1092">
        <v>1</v>
      </c>
    </row>
    <row r="1093" spans="27:32" x14ac:dyDescent="0.3">
      <c r="AA1093" s="3">
        <v>51203.18</v>
      </c>
      <c r="AB1093">
        <v>1E-4</v>
      </c>
      <c r="AC1093">
        <v>6</v>
      </c>
      <c r="AD1093" s="5">
        <v>5.0907001844106361</v>
      </c>
      <c r="AE1093" s="5">
        <v>2.1849576218092546</v>
      </c>
      <c r="AF1093">
        <v>1</v>
      </c>
    </row>
    <row r="1094" spans="27:32" x14ac:dyDescent="0.3">
      <c r="AA1094" s="3">
        <v>-2395.61</v>
      </c>
      <c r="AB1094">
        <v>1E-4</v>
      </c>
      <c r="AC1094">
        <v>9</v>
      </c>
      <c r="AD1094" s="5">
        <v>4.8618923424033307</v>
      </c>
      <c r="AE1094" s="5">
        <v>2.1234828343348435</v>
      </c>
      <c r="AF1094">
        <v>1</v>
      </c>
    </row>
    <row r="1095" spans="27:32" x14ac:dyDescent="0.3">
      <c r="AA1095" s="3">
        <v>-29760.41</v>
      </c>
      <c r="AB1095">
        <v>1E-4</v>
      </c>
      <c r="AC1095">
        <v>9</v>
      </c>
      <c r="AD1095" s="5">
        <v>5.0186721556315392</v>
      </c>
      <c r="AE1095" s="5">
        <v>2.2507409556181148</v>
      </c>
      <c r="AF1095">
        <v>1</v>
      </c>
    </row>
    <row r="1096" spans="27:32" x14ac:dyDescent="0.3">
      <c r="AA1096" s="3">
        <v>-2508.6999999999998</v>
      </c>
      <c r="AB1096">
        <v>1E-4</v>
      </c>
      <c r="AC1096">
        <v>9</v>
      </c>
      <c r="AD1096" s="5">
        <v>4.8984355154643957</v>
      </c>
      <c r="AE1096" s="5">
        <v>2.2315446891026789</v>
      </c>
      <c r="AF1096">
        <v>1</v>
      </c>
    </row>
    <row r="1097" spans="27:32" x14ac:dyDescent="0.3">
      <c r="AA1097" s="3">
        <v>23815.43</v>
      </c>
      <c r="AB1097">
        <v>1E-4</v>
      </c>
      <c r="AC1097">
        <v>8</v>
      </c>
      <c r="AD1097" s="5">
        <v>5.1113897897609002</v>
      </c>
      <c r="AE1097" s="5">
        <v>2.2485586964079194</v>
      </c>
      <c r="AF1097">
        <v>1</v>
      </c>
    </row>
    <row r="1098" spans="27:32" x14ac:dyDescent="0.3">
      <c r="AA1098" s="3">
        <v>-4260.4399999999996</v>
      </c>
      <c r="AB1098">
        <v>1E-4</v>
      </c>
      <c r="AC1098">
        <v>9</v>
      </c>
      <c r="AD1098" s="5">
        <v>5.022097309878621</v>
      </c>
      <c r="AE1098" s="5">
        <v>2.2259090301763655</v>
      </c>
      <c r="AF1098">
        <v>1</v>
      </c>
    </row>
    <row r="1099" spans="27:32" x14ac:dyDescent="0.3">
      <c r="AA1099" s="3">
        <v>29268.77</v>
      </c>
      <c r="AB1099">
        <v>1E-4</v>
      </c>
      <c r="AC1099">
        <v>8</v>
      </c>
      <c r="AD1099" s="5">
        <v>5.0353512713495183</v>
      </c>
      <c r="AE1099" s="5">
        <v>2.1153847704419975</v>
      </c>
      <c r="AF1099">
        <v>1</v>
      </c>
    </row>
    <row r="1100" spans="27:32" x14ac:dyDescent="0.3">
      <c r="AA1100" s="3">
        <v>6149.33</v>
      </c>
      <c r="AB1100">
        <v>1E-4</v>
      </c>
      <c r="AC1100">
        <v>8</v>
      </c>
      <c r="AD1100" s="5">
        <v>4.8210309586103124</v>
      </c>
      <c r="AE1100" s="5">
        <v>2.1366471614383569</v>
      </c>
      <c r="AF1100">
        <v>1</v>
      </c>
    </row>
    <row r="1101" spans="27:32" x14ac:dyDescent="0.3">
      <c r="AA1101" s="3">
        <v>30959.67</v>
      </c>
      <c r="AB1101">
        <v>1E-4</v>
      </c>
      <c r="AC1101">
        <v>8</v>
      </c>
      <c r="AD1101" s="5">
        <v>5.040456189383848</v>
      </c>
      <c r="AE1101" s="5">
        <v>2.271159614256181</v>
      </c>
      <c r="AF1101">
        <v>1</v>
      </c>
    </row>
    <row r="1102" spans="27:32" x14ac:dyDescent="0.3">
      <c r="AA1102" s="3">
        <v>25253.54</v>
      </c>
      <c r="AB1102">
        <v>1E-4</v>
      </c>
      <c r="AC1102">
        <v>8</v>
      </c>
      <c r="AD1102" s="5">
        <v>5.1240420745475088</v>
      </c>
      <c r="AE1102" s="5">
        <v>2.2736166307988204</v>
      </c>
      <c r="AF1102">
        <v>1</v>
      </c>
    </row>
    <row r="1103" spans="27:32" x14ac:dyDescent="0.3">
      <c r="AA1103" s="3">
        <v>10854.26</v>
      </c>
      <c r="AB1103">
        <v>1E-4</v>
      </c>
      <c r="AC1103">
        <v>8</v>
      </c>
      <c r="AD1103" s="5">
        <v>4.9204441315266951</v>
      </c>
      <c r="AE1103" s="5">
        <v>2.1102869811892222</v>
      </c>
      <c r="AF1103">
        <v>1</v>
      </c>
    </row>
    <row r="1104" spans="27:32" x14ac:dyDescent="0.3">
      <c r="AA1104" s="3">
        <v>25559.55</v>
      </c>
      <c r="AB1104">
        <v>1E-4</v>
      </c>
      <c r="AC1104">
        <v>8</v>
      </c>
      <c r="AD1104" s="5">
        <v>4.9431045342821935</v>
      </c>
      <c r="AE1104" s="5">
        <v>2.2553262990926966</v>
      </c>
      <c r="AF1104">
        <v>1</v>
      </c>
    </row>
    <row r="1105" spans="27:32" x14ac:dyDescent="0.3">
      <c r="AA1105" s="3">
        <v>29924.3</v>
      </c>
      <c r="AB1105">
        <v>1E-4</v>
      </c>
      <c r="AC1105">
        <v>7</v>
      </c>
      <c r="AD1105" s="5">
        <v>5.0335354960820409</v>
      </c>
      <c r="AE1105" s="5">
        <v>2.1434230983461759</v>
      </c>
      <c r="AF1105">
        <v>1</v>
      </c>
    </row>
    <row r="1106" spans="27:32" x14ac:dyDescent="0.3">
      <c r="AA1106" s="3">
        <v>56894.85</v>
      </c>
      <c r="AB1106">
        <v>1E-4</v>
      </c>
      <c r="AC1106">
        <v>6</v>
      </c>
      <c r="AD1106" s="5">
        <v>4.9783577721300265</v>
      </c>
      <c r="AE1106" s="5">
        <v>2.0987444709557646</v>
      </c>
      <c r="AF1106">
        <v>1</v>
      </c>
    </row>
    <row r="1107" spans="27:32" x14ac:dyDescent="0.3">
      <c r="AA1107" s="3">
        <v>25620.77</v>
      </c>
      <c r="AB1107">
        <v>1E-4</v>
      </c>
      <c r="AC1107">
        <v>8</v>
      </c>
      <c r="AD1107" s="5">
        <v>4.923940688670899</v>
      </c>
      <c r="AE1107" s="5">
        <v>2.2190434750862598</v>
      </c>
      <c r="AF1107">
        <v>1</v>
      </c>
    </row>
    <row r="1108" spans="27:32" x14ac:dyDescent="0.3">
      <c r="AA1108" s="3">
        <v>7220.19</v>
      </c>
      <c r="AB1108">
        <v>1E-4</v>
      </c>
      <c r="AC1108">
        <v>8</v>
      </c>
      <c r="AD1108" s="5">
        <v>5.0595364549325605</v>
      </c>
      <c r="AE1108" s="5">
        <v>2.2302890345033042</v>
      </c>
      <c r="AF1108">
        <v>1</v>
      </c>
    </row>
    <row r="1109" spans="27:32" x14ac:dyDescent="0.3">
      <c r="AA1109" s="3">
        <v>-19368.21</v>
      </c>
      <c r="AB1109">
        <v>1E-4</v>
      </c>
      <c r="AC1109">
        <v>9</v>
      </c>
      <c r="AD1109" s="5">
        <v>4.9410053035681791</v>
      </c>
      <c r="AE1109" s="5">
        <v>2.2944192790103295</v>
      </c>
      <c r="AF1109">
        <v>1</v>
      </c>
    </row>
    <row r="1110" spans="27:32" x14ac:dyDescent="0.3">
      <c r="AA1110" s="3">
        <v>21467.49</v>
      </c>
      <c r="AB1110">
        <v>1E-4</v>
      </c>
      <c r="AC1110">
        <v>8</v>
      </c>
      <c r="AD1110" s="5">
        <v>5.0548934879576368</v>
      </c>
      <c r="AE1110" s="5">
        <v>2.2252718332573567</v>
      </c>
      <c r="AF1110">
        <v>1</v>
      </c>
    </row>
    <row r="1111" spans="27:32" x14ac:dyDescent="0.3">
      <c r="AA1111" s="3">
        <v>-6083.92</v>
      </c>
      <c r="AB1111">
        <v>1E-4</v>
      </c>
      <c r="AC1111">
        <v>9</v>
      </c>
      <c r="AD1111" s="5">
        <v>5.0362406624753193</v>
      </c>
      <c r="AE1111" s="5">
        <v>2.1875054299538621</v>
      </c>
      <c r="AF1111">
        <v>1</v>
      </c>
    </row>
    <row r="1112" spans="27:32" x14ac:dyDescent="0.3">
      <c r="AA1112" s="3">
        <v>56.81</v>
      </c>
      <c r="AB1112">
        <v>1E-4</v>
      </c>
      <c r="AC1112">
        <v>8</v>
      </c>
      <c r="AD1112" s="5">
        <v>5.1356317638404985</v>
      </c>
      <c r="AE1112" s="5">
        <v>2.2011062636186018</v>
      </c>
      <c r="AF1112">
        <v>1</v>
      </c>
    </row>
    <row r="1113" spans="27:32" x14ac:dyDescent="0.3">
      <c r="AA1113" s="3">
        <v>16193.38</v>
      </c>
      <c r="AB1113">
        <v>1E-4</v>
      </c>
      <c r="AC1113">
        <v>8</v>
      </c>
      <c r="AD1113" s="5">
        <v>5.140905409381423</v>
      </c>
      <c r="AE1113" s="5">
        <v>2.1958836102147385</v>
      </c>
      <c r="AF1113">
        <v>1</v>
      </c>
    </row>
    <row r="1114" spans="27:32" x14ac:dyDescent="0.3">
      <c r="AA1114" s="3">
        <v>-18706.601067587966</v>
      </c>
      <c r="AB1114">
        <v>1E-4</v>
      </c>
      <c r="AC1114">
        <v>9</v>
      </c>
      <c r="AD1114" s="5">
        <v>4.910435301971015</v>
      </c>
      <c r="AE1114" s="5">
        <v>2.2532209031761403</v>
      </c>
      <c r="AF1114">
        <v>0</v>
      </c>
    </row>
    <row r="1115" spans="27:32" x14ac:dyDescent="0.3">
      <c r="AA1115" s="3">
        <v>1414.32</v>
      </c>
      <c r="AB1115">
        <v>1E-4</v>
      </c>
      <c r="AC1115">
        <v>8</v>
      </c>
      <c r="AD1115" s="5">
        <v>4.9996854274511442</v>
      </c>
      <c r="AE1115" s="5">
        <v>2.2151477253457945</v>
      </c>
      <c r="AF1115">
        <v>1</v>
      </c>
    </row>
    <row r="1116" spans="27:32" x14ac:dyDescent="0.3">
      <c r="AA1116" s="3">
        <v>-8752.24</v>
      </c>
      <c r="AB1116">
        <v>1E-4</v>
      </c>
      <c r="AC1116">
        <v>9</v>
      </c>
      <c r="AD1116" s="5">
        <v>4.7880344351335591</v>
      </c>
      <c r="AE1116" s="5">
        <v>2.2072062161494399</v>
      </c>
      <c r="AF1116">
        <v>1</v>
      </c>
    </row>
    <row r="1117" spans="27:32" x14ac:dyDescent="0.3">
      <c r="AA1117" s="3">
        <v>21694.59</v>
      </c>
      <c r="AB1117">
        <v>1E-4</v>
      </c>
      <c r="AC1117">
        <v>8</v>
      </c>
      <c r="AD1117" s="5">
        <v>5.0071634488306342</v>
      </c>
      <c r="AE1117" s="5">
        <v>2.1925004460328408</v>
      </c>
      <c r="AF1117">
        <v>1</v>
      </c>
    </row>
    <row r="1118" spans="27:32" x14ac:dyDescent="0.3">
      <c r="AA1118" s="3">
        <v>19686.38</v>
      </c>
      <c r="AB1118">
        <v>1E-4</v>
      </c>
      <c r="AC1118">
        <v>8</v>
      </c>
      <c r="AD1118" s="5">
        <v>5.029342985371386</v>
      </c>
      <c r="AE1118" s="5">
        <v>2.2297062694061394</v>
      </c>
      <c r="AF1118">
        <v>1</v>
      </c>
    </row>
    <row r="1119" spans="27:32" x14ac:dyDescent="0.3">
      <c r="AA1119" s="3">
        <v>13566.51</v>
      </c>
      <c r="AB1119">
        <v>1E-4</v>
      </c>
      <c r="AC1119">
        <v>8</v>
      </c>
      <c r="AD1119" s="5">
        <v>5.0970171368453405</v>
      </c>
      <c r="AE1119" s="5">
        <v>2.2090428887483871</v>
      </c>
      <c r="AF1119">
        <v>1</v>
      </c>
    </row>
    <row r="1120" spans="27:32" x14ac:dyDescent="0.3">
      <c r="AA1120" s="3">
        <v>23948.28</v>
      </c>
      <c r="AB1120">
        <v>1E-4</v>
      </c>
      <c r="AC1120">
        <v>8</v>
      </c>
      <c r="AD1120" s="5">
        <v>4.9508398052271145</v>
      </c>
      <c r="AE1120" s="5">
        <v>2.1797644965709333</v>
      </c>
      <c r="AF1120">
        <v>1</v>
      </c>
    </row>
    <row r="1121" spans="27:32" x14ac:dyDescent="0.3">
      <c r="AA1121" s="3">
        <v>9610.93</v>
      </c>
      <c r="AB1121">
        <v>1E-4</v>
      </c>
      <c r="AC1121">
        <v>8</v>
      </c>
      <c r="AD1121" s="5">
        <v>4.8673937736816013</v>
      </c>
      <c r="AE1121" s="5">
        <v>2.2048017355663689</v>
      </c>
      <c r="AF1121">
        <v>1</v>
      </c>
    </row>
    <row r="1122" spans="27:32" x14ac:dyDescent="0.3">
      <c r="AA1122" s="3">
        <v>27355.52</v>
      </c>
      <c r="AB1122">
        <v>1E-4</v>
      </c>
      <c r="AC1122">
        <v>8</v>
      </c>
      <c r="AD1122" s="5">
        <v>5.024525768162512</v>
      </c>
      <c r="AE1122" s="5">
        <v>2.2502111769709883</v>
      </c>
      <c r="AF1122">
        <v>1</v>
      </c>
    </row>
    <row r="1123" spans="27:32" x14ac:dyDescent="0.3">
      <c r="AA1123" s="3">
        <v>4936.5600000000004</v>
      </c>
      <c r="AB1123">
        <v>1E-4</v>
      </c>
      <c r="AC1123">
        <v>8</v>
      </c>
      <c r="AD1123" s="5">
        <v>4.8322176708541811</v>
      </c>
      <c r="AE1123" s="5">
        <v>2.2179356535544992</v>
      </c>
      <c r="AF1123">
        <v>1</v>
      </c>
    </row>
    <row r="1124" spans="27:32" x14ac:dyDescent="0.3">
      <c r="AA1124" s="3">
        <v>10415.07</v>
      </c>
      <c r="AB1124">
        <v>1E-4</v>
      </c>
      <c r="AC1124">
        <v>8</v>
      </c>
      <c r="AD1124" s="5">
        <v>4.9656019574395431</v>
      </c>
      <c r="AE1124" s="5">
        <v>2.3105894037146473</v>
      </c>
      <c r="AF1124">
        <v>1</v>
      </c>
    </row>
    <row r="1125" spans="27:32" x14ac:dyDescent="0.3">
      <c r="AA1125" s="3">
        <v>23994.46</v>
      </c>
      <c r="AB1125">
        <v>1E-4</v>
      </c>
      <c r="AC1125">
        <v>8</v>
      </c>
      <c r="AD1125" s="5">
        <v>5.1812734999001169</v>
      </c>
      <c r="AE1125" s="5">
        <v>2.2217181043662699</v>
      </c>
      <c r="AF1125">
        <v>1</v>
      </c>
    </row>
    <row r="1126" spans="27:32" x14ac:dyDescent="0.3">
      <c r="AA1126" s="3">
        <v>-10811.31</v>
      </c>
      <c r="AB1126">
        <v>1E-4</v>
      </c>
      <c r="AC1126">
        <v>9</v>
      </c>
      <c r="AD1126" s="5">
        <v>5.0237140635633422</v>
      </c>
      <c r="AE1126" s="5">
        <v>2.2144835220156094</v>
      </c>
      <c r="AF1126">
        <v>1</v>
      </c>
    </row>
    <row r="1127" spans="27:32" x14ac:dyDescent="0.3">
      <c r="AA1127" s="3">
        <v>9045.41</v>
      </c>
      <c r="AB1127">
        <v>1E-4</v>
      </c>
      <c r="AC1127">
        <v>8</v>
      </c>
      <c r="AD1127" s="5">
        <v>4.9819082106454022</v>
      </c>
      <c r="AE1127" s="5">
        <v>2.2372068449178228</v>
      </c>
      <c r="AF1127">
        <v>1</v>
      </c>
    </row>
    <row r="1128" spans="27:32" x14ac:dyDescent="0.3">
      <c r="AA1128" s="3">
        <v>38126.21</v>
      </c>
      <c r="AB1128">
        <v>1E-4</v>
      </c>
      <c r="AC1128">
        <v>7</v>
      </c>
      <c r="AD1128" s="5">
        <v>4.9843432279557023</v>
      </c>
      <c r="AE1128" s="5">
        <v>2.2459421852895471</v>
      </c>
      <c r="AF1128">
        <v>1</v>
      </c>
    </row>
    <row r="1129" spans="27:32" x14ac:dyDescent="0.3">
      <c r="AA1129" s="3">
        <v>22480.1</v>
      </c>
      <c r="AB1129">
        <v>1E-4</v>
      </c>
      <c r="AC1129">
        <v>8</v>
      </c>
      <c r="AD1129" s="5">
        <v>5.0529148299835613</v>
      </c>
      <c r="AE1129" s="5">
        <v>2.1768944042962137</v>
      </c>
      <c r="AF1129">
        <v>1</v>
      </c>
    </row>
    <row r="1130" spans="27:32" x14ac:dyDescent="0.3">
      <c r="AA1130" s="3">
        <v>-12172.97</v>
      </c>
      <c r="AB1130">
        <v>1E-4</v>
      </c>
      <c r="AC1130">
        <v>9</v>
      </c>
      <c r="AD1130" s="5">
        <v>5.115215662517814</v>
      </c>
      <c r="AE1130" s="5">
        <v>2.2363986191765246</v>
      </c>
      <c r="AF1130">
        <v>1</v>
      </c>
    </row>
    <row r="1131" spans="27:32" x14ac:dyDescent="0.3">
      <c r="AA1131" s="3">
        <v>9389.2800000000007</v>
      </c>
      <c r="AB1131">
        <v>1E-4</v>
      </c>
      <c r="AC1131">
        <v>8</v>
      </c>
      <c r="AD1131" s="5">
        <v>4.7452768710644095</v>
      </c>
      <c r="AE1131" s="5">
        <v>2.2568584701802279</v>
      </c>
      <c r="AF1131">
        <v>1</v>
      </c>
    </row>
    <row r="1132" spans="27:32" x14ac:dyDescent="0.3">
      <c r="AA1132" s="3">
        <v>-29180.669235586469</v>
      </c>
      <c r="AB1132">
        <v>1E-4</v>
      </c>
      <c r="AC1132">
        <v>9</v>
      </c>
      <c r="AD1132" s="5">
        <v>4.906316751833729</v>
      </c>
      <c r="AE1132" s="5">
        <v>2.2406867719303634</v>
      </c>
      <c r="AF1132">
        <v>0</v>
      </c>
    </row>
    <row r="1133" spans="27:32" x14ac:dyDescent="0.3">
      <c r="AA1133" s="3">
        <v>35487.24</v>
      </c>
      <c r="AB1133">
        <v>1E-4</v>
      </c>
      <c r="AC1133">
        <v>7</v>
      </c>
      <c r="AD1133" s="5">
        <v>4.8729671794934291</v>
      </c>
      <c r="AE1133" s="5">
        <v>2.1464234324401503</v>
      </c>
      <c r="AF1133">
        <v>1</v>
      </c>
    </row>
    <row r="1134" spans="27:32" x14ac:dyDescent="0.3">
      <c r="AA1134" s="3">
        <v>25165.27</v>
      </c>
      <c r="AB1134">
        <v>1E-4</v>
      </c>
      <c r="AC1134">
        <v>8</v>
      </c>
      <c r="AD1134" s="5">
        <v>4.8075827672176068</v>
      </c>
      <c r="AE1134" s="5">
        <v>2.159852895528982</v>
      </c>
      <c r="AF1134">
        <v>1</v>
      </c>
    </row>
    <row r="1135" spans="27:32" x14ac:dyDescent="0.3">
      <c r="AA1135" s="3">
        <v>37715.019999999997</v>
      </c>
      <c r="AB1135">
        <v>1E-4</v>
      </c>
      <c r="AC1135">
        <v>7</v>
      </c>
      <c r="AD1135" s="5">
        <v>5.0353765620794277</v>
      </c>
      <c r="AE1135" s="5">
        <v>2.1683048552612325</v>
      </c>
      <c r="AF1135">
        <v>1</v>
      </c>
    </row>
    <row r="1136" spans="27:32" x14ac:dyDescent="0.3">
      <c r="AA1136" s="3">
        <v>33599.43</v>
      </c>
      <c r="AB1136">
        <v>1E-4</v>
      </c>
      <c r="AC1136">
        <v>7</v>
      </c>
      <c r="AD1136" s="5">
        <v>4.9444124296358094</v>
      </c>
      <c r="AE1136" s="5">
        <v>2.1399487585470194</v>
      </c>
      <c r="AF1136">
        <v>1</v>
      </c>
    </row>
    <row r="1137" spans="27:32" x14ac:dyDescent="0.3">
      <c r="AA1137" s="3">
        <v>-5067.5200000000004</v>
      </c>
      <c r="AB1137">
        <v>1E-4</v>
      </c>
      <c r="AC1137">
        <v>9</v>
      </c>
      <c r="AD1137" s="5">
        <v>4.8860395723302084</v>
      </c>
      <c r="AE1137" s="5">
        <v>2.2970597792701066</v>
      </c>
      <c r="AF1137">
        <v>1</v>
      </c>
    </row>
    <row r="1138" spans="27:32" x14ac:dyDescent="0.3">
      <c r="AA1138" s="3">
        <v>794.59</v>
      </c>
      <c r="AB1138">
        <v>1E-4</v>
      </c>
      <c r="AC1138">
        <v>8</v>
      </c>
      <c r="AD1138" s="5">
        <v>5.038901206309327</v>
      </c>
      <c r="AE1138" s="5">
        <v>2.202519368891509</v>
      </c>
      <c r="AF1138">
        <v>1</v>
      </c>
    </row>
    <row r="1139" spans="27:32" x14ac:dyDescent="0.3">
      <c r="AA1139" s="3">
        <v>22633.59</v>
      </c>
      <c r="AB1139">
        <v>1E-4</v>
      </c>
      <c r="AC1139">
        <v>8</v>
      </c>
      <c r="AD1139" s="5">
        <v>5.0468547527079606</v>
      </c>
      <c r="AE1139" s="5">
        <v>2.2041674503556039</v>
      </c>
      <c r="AF1139">
        <v>1</v>
      </c>
    </row>
    <row r="1140" spans="27:32" x14ac:dyDescent="0.3">
      <c r="AA1140" s="3">
        <v>47542.93</v>
      </c>
      <c r="AB1140">
        <v>1E-4</v>
      </c>
      <c r="AC1140">
        <v>7</v>
      </c>
      <c r="AD1140" s="5">
        <v>4.9994647048758507</v>
      </c>
      <c r="AE1140" s="5">
        <v>2.2274362670661656</v>
      </c>
      <c r="AF1140">
        <v>1</v>
      </c>
    </row>
    <row r="1141" spans="27:32" x14ac:dyDescent="0.3">
      <c r="AA1141" s="3">
        <v>-1473.74</v>
      </c>
      <c r="AB1141">
        <v>1E-4</v>
      </c>
      <c r="AC1141">
        <v>9</v>
      </c>
      <c r="AD1141" s="5">
        <v>4.8867936288898317</v>
      </c>
      <c r="AE1141" s="5">
        <v>2.1633200113067175</v>
      </c>
      <c r="AF1141">
        <v>1</v>
      </c>
    </row>
    <row r="1142" spans="27:32" x14ac:dyDescent="0.3">
      <c r="AA1142" s="3">
        <v>28685.14</v>
      </c>
      <c r="AB1142">
        <v>1E-4</v>
      </c>
      <c r="AC1142">
        <v>8</v>
      </c>
      <c r="AD1142" s="5">
        <v>5.019811796753344</v>
      </c>
      <c r="AE1142" s="5">
        <v>2.142216850349671</v>
      </c>
      <c r="AF1142">
        <v>1</v>
      </c>
    </row>
    <row r="1143" spans="27:32" x14ac:dyDescent="0.3">
      <c r="AA1143" s="3">
        <v>46638.53</v>
      </c>
      <c r="AB1143">
        <v>1E-4</v>
      </c>
      <c r="AC1143">
        <v>6</v>
      </c>
      <c r="AD1143" s="5">
        <v>5.1045553031367019</v>
      </c>
      <c r="AE1143" s="5">
        <v>2.1910167682468922</v>
      </c>
      <c r="AF1143">
        <v>1</v>
      </c>
    </row>
    <row r="1144" spans="27:32" x14ac:dyDescent="0.3">
      <c r="AA1144" s="3">
        <v>34325.1</v>
      </c>
      <c r="AB1144">
        <v>1E-4</v>
      </c>
      <c r="AC1144">
        <v>7</v>
      </c>
      <c r="AD1144" s="5">
        <v>4.8838826687632411</v>
      </c>
      <c r="AE1144" s="5">
        <v>2.2102220737883957</v>
      </c>
      <c r="AF1144">
        <v>1</v>
      </c>
    </row>
    <row r="1145" spans="27:32" x14ac:dyDescent="0.3">
      <c r="AA1145" s="3">
        <v>36630.379999999997</v>
      </c>
      <c r="AB1145">
        <v>1E-4</v>
      </c>
      <c r="AC1145">
        <v>7</v>
      </c>
      <c r="AD1145" s="5">
        <v>5.0606746060932259</v>
      </c>
      <c r="AE1145" s="5">
        <v>2.2222365774936517</v>
      </c>
      <c r="AF1145">
        <v>1</v>
      </c>
    </row>
    <row r="1146" spans="27:32" x14ac:dyDescent="0.3">
      <c r="AA1146" s="3">
        <v>-8734.8700000000008</v>
      </c>
      <c r="AB1146">
        <v>1E-4</v>
      </c>
      <c r="AC1146">
        <v>9</v>
      </c>
      <c r="AD1146" s="5">
        <v>4.7822938458405782</v>
      </c>
      <c r="AE1146" s="5">
        <v>2.2294057529554308</v>
      </c>
      <c r="AF1146">
        <v>1</v>
      </c>
    </row>
    <row r="1147" spans="27:32" x14ac:dyDescent="0.3">
      <c r="AA1147" s="3">
        <v>-3018.05</v>
      </c>
      <c r="AB1147">
        <v>1E-4</v>
      </c>
      <c r="AC1147">
        <v>9</v>
      </c>
      <c r="AD1147" s="5">
        <v>4.9785923943601018</v>
      </c>
      <c r="AE1147" s="5">
        <v>2.2787925417848518</v>
      </c>
      <c r="AF1147">
        <v>1</v>
      </c>
    </row>
    <row r="1148" spans="27:32" x14ac:dyDescent="0.3">
      <c r="AA1148" s="3">
        <v>11468.24</v>
      </c>
      <c r="AB1148">
        <v>1E-4</v>
      </c>
      <c r="AC1148">
        <v>8</v>
      </c>
      <c r="AD1148" s="5">
        <v>4.9406511789824084</v>
      </c>
      <c r="AE1148" s="5">
        <v>2.2180586258328576</v>
      </c>
      <c r="AF1148">
        <v>1</v>
      </c>
    </row>
    <row r="1149" spans="27:32" x14ac:dyDescent="0.3">
      <c r="AA1149" s="3">
        <v>-17889.02</v>
      </c>
      <c r="AB1149">
        <v>1E-4</v>
      </c>
      <c r="AC1149">
        <v>9</v>
      </c>
      <c r="AD1149" s="5">
        <v>4.9187725333493404</v>
      </c>
      <c r="AE1149" s="5">
        <v>2.259043028647695</v>
      </c>
      <c r="AF1149">
        <v>1</v>
      </c>
    </row>
    <row r="1150" spans="27:32" x14ac:dyDescent="0.3">
      <c r="AA1150" s="3">
        <v>37607.97</v>
      </c>
      <c r="AB1150">
        <v>1E-4</v>
      </c>
      <c r="AC1150">
        <v>7</v>
      </c>
      <c r="AD1150" s="5">
        <v>5.0807432591408412</v>
      </c>
      <c r="AE1150" s="5">
        <v>2.2431251810076414</v>
      </c>
      <c r="AF1150">
        <v>1</v>
      </c>
    </row>
    <row r="1151" spans="27:32" x14ac:dyDescent="0.3">
      <c r="AA1151" s="3">
        <v>17116.68</v>
      </c>
      <c r="AB1151">
        <v>1E-4</v>
      </c>
      <c r="AC1151">
        <v>8</v>
      </c>
      <c r="AD1151" s="5">
        <v>4.9855469118868037</v>
      </c>
      <c r="AE1151" s="5">
        <v>2.207863544497779</v>
      </c>
      <c r="AF1151">
        <v>1</v>
      </c>
    </row>
    <row r="1152" spans="27:32" x14ac:dyDescent="0.3">
      <c r="AA1152" s="3">
        <v>8696.32</v>
      </c>
      <c r="AB1152">
        <v>1E-4</v>
      </c>
      <c r="AC1152">
        <v>8</v>
      </c>
      <c r="AD1152" s="5">
        <v>4.8589228394464108</v>
      </c>
      <c r="AE1152" s="5">
        <v>2.2288185134349106</v>
      </c>
      <c r="AF1152">
        <v>1</v>
      </c>
    </row>
    <row r="1153" spans="27:32" x14ac:dyDescent="0.3">
      <c r="AA1153" s="3">
        <v>8104.48</v>
      </c>
      <c r="AB1153">
        <v>1E-4</v>
      </c>
      <c r="AC1153">
        <v>8</v>
      </c>
      <c r="AD1153" s="5">
        <v>4.8980774201752464</v>
      </c>
      <c r="AE1153" s="5">
        <v>2.1247285386144945</v>
      </c>
      <c r="AF1153">
        <v>1</v>
      </c>
    </row>
    <row r="1154" spans="27:32" x14ac:dyDescent="0.3">
      <c r="AA1154" s="3">
        <v>-6239.63</v>
      </c>
      <c r="AB1154">
        <v>1E-4</v>
      </c>
      <c r="AC1154">
        <v>9</v>
      </c>
      <c r="AD1154" s="5">
        <v>4.9750790217993126</v>
      </c>
      <c r="AE1154" s="5">
        <v>2.2610914726633689</v>
      </c>
      <c r="AF1154">
        <v>1</v>
      </c>
    </row>
    <row r="1155" spans="27:32" x14ac:dyDescent="0.3">
      <c r="AA1155" s="3">
        <v>14213.78</v>
      </c>
      <c r="AB1155">
        <v>1E-4</v>
      </c>
      <c r="AC1155">
        <v>8</v>
      </c>
      <c r="AD1155" s="5">
        <v>5.0346992880609935</v>
      </c>
      <c r="AE1155" s="5">
        <v>2.1962233541624832</v>
      </c>
      <c r="AF1155">
        <v>1</v>
      </c>
    </row>
    <row r="1156" spans="27:32" x14ac:dyDescent="0.3">
      <c r="AA1156" s="3">
        <v>38542.300000000003</v>
      </c>
      <c r="AB1156">
        <v>1E-4</v>
      </c>
      <c r="AC1156">
        <v>7</v>
      </c>
      <c r="AD1156" s="5">
        <v>5.0741411667092402</v>
      </c>
      <c r="AE1156" s="5">
        <v>2.2440741125092263</v>
      </c>
      <c r="AF1156">
        <v>1</v>
      </c>
    </row>
    <row r="1157" spans="27:32" x14ac:dyDescent="0.3">
      <c r="AA1157" s="3">
        <v>24370.07</v>
      </c>
      <c r="AB1157">
        <v>1E-4</v>
      </c>
      <c r="AC1157">
        <v>8</v>
      </c>
      <c r="AD1157" s="5">
        <v>4.9303759035327328</v>
      </c>
      <c r="AE1157" s="5">
        <v>2.2079615203309952</v>
      </c>
      <c r="AF1157">
        <v>1</v>
      </c>
    </row>
    <row r="1158" spans="27:32" x14ac:dyDescent="0.3">
      <c r="AA1158" s="3">
        <v>-15314.99</v>
      </c>
      <c r="AB1158">
        <v>1E-4</v>
      </c>
      <c r="AC1158">
        <v>9</v>
      </c>
      <c r="AD1158" s="5">
        <v>4.8933947417140446</v>
      </c>
      <c r="AE1158" s="5">
        <v>2.1381503265837689</v>
      </c>
      <c r="AF1158">
        <v>1</v>
      </c>
    </row>
    <row r="1159" spans="27:32" x14ac:dyDescent="0.3">
      <c r="AA1159" s="3">
        <v>-27506.46</v>
      </c>
      <c r="AB1159">
        <v>1E-4</v>
      </c>
      <c r="AC1159">
        <v>9</v>
      </c>
      <c r="AD1159" s="5">
        <v>5.0006616519678637</v>
      </c>
      <c r="AE1159" s="5">
        <v>2.309992076538693</v>
      </c>
      <c r="AF1159">
        <v>1</v>
      </c>
    </row>
    <row r="1160" spans="27:32" x14ac:dyDescent="0.3">
      <c r="AA1160" s="3">
        <v>7937.06</v>
      </c>
      <c r="AB1160">
        <v>1E-4</v>
      </c>
      <c r="AC1160">
        <v>8</v>
      </c>
      <c r="AD1160" s="5">
        <v>4.9379159983570853</v>
      </c>
      <c r="AE1160" s="5">
        <v>2.204093501725251</v>
      </c>
      <c r="AF1160">
        <v>1</v>
      </c>
    </row>
    <row r="1161" spans="27:32" x14ac:dyDescent="0.3">
      <c r="AA1161" s="3">
        <v>-30280.007568913286</v>
      </c>
      <c r="AB1161">
        <v>1E-4</v>
      </c>
      <c r="AC1161">
        <v>9</v>
      </c>
      <c r="AD1161" s="5">
        <v>5.0550879251496026</v>
      </c>
      <c r="AE1161" s="5">
        <v>2.1234575707038119</v>
      </c>
      <c r="AF1161">
        <v>0</v>
      </c>
    </row>
    <row r="1162" spans="27:32" x14ac:dyDescent="0.3">
      <c r="AA1162" s="3">
        <v>-2587.11</v>
      </c>
      <c r="AB1162">
        <v>1E-4</v>
      </c>
      <c r="AC1162">
        <v>9</v>
      </c>
      <c r="AD1162" s="5">
        <v>4.9220425258800065</v>
      </c>
      <c r="AE1162" s="5">
        <v>2.1977319210387445</v>
      </c>
      <c r="AF1162">
        <v>1</v>
      </c>
    </row>
    <row r="1163" spans="27:32" x14ac:dyDescent="0.3">
      <c r="AA1163" s="3">
        <v>-9406.39</v>
      </c>
      <c r="AB1163">
        <v>1E-4</v>
      </c>
      <c r="AC1163">
        <v>9</v>
      </c>
      <c r="AD1163" s="5">
        <v>5.0587934850184579</v>
      </c>
      <c r="AE1163" s="5">
        <v>2.2524363441059974</v>
      </c>
      <c r="AF1163">
        <v>1</v>
      </c>
    </row>
    <row r="1164" spans="27:32" x14ac:dyDescent="0.3">
      <c r="AA1164" s="3">
        <v>-7626.69</v>
      </c>
      <c r="AB1164">
        <v>1E-4</v>
      </c>
      <c r="AC1164">
        <v>9</v>
      </c>
      <c r="AD1164" s="5">
        <v>5.0260969789923289</v>
      </c>
      <c r="AE1164" s="5">
        <v>2.1362598102720405</v>
      </c>
      <c r="AF1164">
        <v>1</v>
      </c>
    </row>
    <row r="1165" spans="27:32" x14ac:dyDescent="0.3">
      <c r="AA1165" s="3">
        <v>45184.55</v>
      </c>
      <c r="AB1165">
        <v>1E-4</v>
      </c>
      <c r="AC1165">
        <v>7</v>
      </c>
      <c r="AD1165" s="5">
        <v>5.0052617136357371</v>
      </c>
      <c r="AE1165" s="5">
        <v>2.1738216455393107</v>
      </c>
      <c r="AF1165">
        <v>1</v>
      </c>
    </row>
    <row r="1166" spans="27:32" x14ac:dyDescent="0.3">
      <c r="AA1166" s="3">
        <v>2761.04</v>
      </c>
      <c r="AB1166">
        <v>1E-4</v>
      </c>
      <c r="AC1166">
        <v>8</v>
      </c>
      <c r="AD1166" s="5">
        <v>4.8624378714732552</v>
      </c>
      <c r="AE1166" s="5">
        <v>2.1925763197558474</v>
      </c>
      <c r="AF1166">
        <v>1</v>
      </c>
    </row>
    <row r="1167" spans="27:32" x14ac:dyDescent="0.3">
      <c r="AA1167" s="3">
        <v>8252.5400000000009</v>
      </c>
      <c r="AB1167">
        <v>1E-4</v>
      </c>
      <c r="AC1167">
        <v>8</v>
      </c>
      <c r="AD1167" s="5">
        <v>5.1659177199796149</v>
      </c>
      <c r="AE1167" s="5">
        <v>2.2061857919552774</v>
      </c>
      <c r="AF1167">
        <v>1</v>
      </c>
    </row>
    <row r="1168" spans="27:32" x14ac:dyDescent="0.3">
      <c r="AA1168" s="3">
        <v>26955.85</v>
      </c>
      <c r="AB1168">
        <v>1E-4</v>
      </c>
      <c r="AC1168">
        <v>8</v>
      </c>
      <c r="AD1168" s="5">
        <v>5.0614440083400494</v>
      </c>
      <c r="AE1168" s="5">
        <v>2.216082412816831</v>
      </c>
      <c r="AF1168">
        <v>1</v>
      </c>
    </row>
    <row r="1169" spans="27:32" x14ac:dyDescent="0.3">
      <c r="AA1169" s="3">
        <v>28891.45</v>
      </c>
      <c r="AB1169">
        <v>1E-4</v>
      </c>
      <c r="AC1169">
        <v>7</v>
      </c>
      <c r="AD1169" s="5">
        <v>5.0256668512787961</v>
      </c>
      <c r="AE1169" s="5">
        <v>2.2157813150395502</v>
      </c>
      <c r="AF1169">
        <v>1</v>
      </c>
    </row>
    <row r="1170" spans="27:32" x14ac:dyDescent="0.3">
      <c r="AA1170" s="3">
        <v>-15890.8</v>
      </c>
      <c r="AB1170">
        <v>1E-4</v>
      </c>
      <c r="AC1170">
        <v>9</v>
      </c>
      <c r="AD1170" s="5">
        <v>4.9750162089494987</v>
      </c>
      <c r="AE1170" s="5">
        <v>2.3110320117476797</v>
      </c>
      <c r="AF1170">
        <v>1</v>
      </c>
    </row>
    <row r="1171" spans="27:32" x14ac:dyDescent="0.3">
      <c r="AA1171" s="3">
        <v>66695.350000000006</v>
      </c>
      <c r="AB1171">
        <v>1E-4</v>
      </c>
      <c r="AC1171">
        <v>6</v>
      </c>
      <c r="AD1171" s="5">
        <v>5.2104093363620798</v>
      </c>
      <c r="AE1171" s="5">
        <v>2.1137042138364448</v>
      </c>
      <c r="AF1171">
        <v>1</v>
      </c>
    </row>
    <row r="1172" spans="27:32" x14ac:dyDescent="0.3">
      <c r="AA1172" s="3">
        <v>-5016.93</v>
      </c>
      <c r="AB1172">
        <v>1E-4</v>
      </c>
      <c r="AC1172">
        <v>9</v>
      </c>
      <c r="AD1172" s="5">
        <v>4.9095820103045993</v>
      </c>
      <c r="AE1172" s="5">
        <v>2.1484013176151548</v>
      </c>
      <c r="AF1172">
        <v>1</v>
      </c>
    </row>
    <row r="1173" spans="27:32" x14ac:dyDescent="0.3">
      <c r="AA1173" s="3">
        <v>26460.07</v>
      </c>
      <c r="AB1173">
        <v>1E-4</v>
      </c>
      <c r="AC1173">
        <v>8</v>
      </c>
      <c r="AD1173" s="5">
        <v>4.9931054697945934</v>
      </c>
      <c r="AE1173" s="5">
        <v>2.214820137129605</v>
      </c>
      <c r="AF1173">
        <v>1</v>
      </c>
    </row>
    <row r="1174" spans="27:32" x14ac:dyDescent="0.3">
      <c r="AA1174" s="3">
        <v>-12853.79</v>
      </c>
      <c r="AB1174">
        <v>1E-4</v>
      </c>
      <c r="AC1174">
        <v>9</v>
      </c>
      <c r="AD1174" s="5">
        <v>4.9081583008803973</v>
      </c>
      <c r="AE1174" s="5">
        <v>2.1650142172649645</v>
      </c>
      <c r="AF1174">
        <v>1</v>
      </c>
    </row>
    <row r="1175" spans="27:32" x14ac:dyDescent="0.3">
      <c r="AA1175" s="3">
        <v>-6758.4404271922322</v>
      </c>
      <c r="AB1175">
        <v>1E-4</v>
      </c>
      <c r="AC1175">
        <v>8</v>
      </c>
      <c r="AD1175" s="5">
        <v>4.9324647343866719</v>
      </c>
      <c r="AE1175" s="5">
        <v>2.1314908742330863</v>
      </c>
      <c r="AF1175">
        <v>0</v>
      </c>
    </row>
    <row r="1176" spans="27:32" x14ac:dyDescent="0.3">
      <c r="AA1176" s="3">
        <v>49.67</v>
      </c>
      <c r="AB1176">
        <v>1E-4</v>
      </c>
      <c r="AC1176">
        <v>8</v>
      </c>
      <c r="AD1176" s="5">
        <v>5.0866689279964437</v>
      </c>
      <c r="AE1176" s="5">
        <v>2.2431397306693275</v>
      </c>
      <c r="AF1176">
        <v>1</v>
      </c>
    </row>
    <row r="1177" spans="27:32" x14ac:dyDescent="0.3">
      <c r="AA1177" s="3">
        <v>15854.03</v>
      </c>
      <c r="AB1177">
        <v>1E-4</v>
      </c>
      <c r="AC1177">
        <v>8</v>
      </c>
      <c r="AD1177" s="5">
        <v>4.9395892423377541</v>
      </c>
      <c r="AE1177" s="5">
        <v>2.2200508424392504</v>
      </c>
      <c r="AF1177">
        <v>1</v>
      </c>
    </row>
    <row r="1178" spans="27:32" x14ac:dyDescent="0.3">
      <c r="AA1178" s="3">
        <v>-3644.67</v>
      </c>
      <c r="AB1178">
        <v>1E-4</v>
      </c>
      <c r="AC1178">
        <v>9</v>
      </c>
      <c r="AD1178" s="5">
        <v>5.0054542610654424</v>
      </c>
      <c r="AE1178" s="5">
        <v>2.1479078826793141</v>
      </c>
      <c r="AF1178">
        <v>1</v>
      </c>
    </row>
    <row r="1179" spans="27:32" x14ac:dyDescent="0.3">
      <c r="AA1179" s="3">
        <v>12383.21</v>
      </c>
      <c r="AB1179">
        <v>1E-4</v>
      </c>
      <c r="AC1179">
        <v>8</v>
      </c>
      <c r="AD1179" s="5">
        <v>4.9713334928967061</v>
      </c>
      <c r="AE1179" s="5">
        <v>2.1747371739635906</v>
      </c>
      <c r="AF1179">
        <v>1</v>
      </c>
    </row>
    <row r="1180" spans="27:32" x14ac:dyDescent="0.3">
      <c r="AA1180" s="3">
        <v>7556.4</v>
      </c>
      <c r="AB1180">
        <v>1E-4</v>
      </c>
      <c r="AC1180">
        <v>8</v>
      </c>
      <c r="AD1180" s="5">
        <v>5.0186398369152849</v>
      </c>
      <c r="AE1180" s="5">
        <v>2.1116737741734948</v>
      </c>
      <c r="AF1180">
        <v>1</v>
      </c>
    </row>
    <row r="1181" spans="27:32" x14ac:dyDescent="0.3">
      <c r="AA1181" s="3">
        <v>17387.93</v>
      </c>
      <c r="AB1181">
        <v>1E-4</v>
      </c>
      <c r="AC1181">
        <v>8</v>
      </c>
      <c r="AD1181" s="5">
        <v>5.0718661005718459</v>
      </c>
      <c r="AE1181" s="5">
        <v>2.1762472527524155</v>
      </c>
      <c r="AF1181">
        <v>1</v>
      </c>
    </row>
    <row r="1182" spans="27:32" x14ac:dyDescent="0.3">
      <c r="AA1182" s="3">
        <v>24682.92</v>
      </c>
      <c r="AB1182">
        <v>1E-4</v>
      </c>
      <c r="AC1182">
        <v>8</v>
      </c>
      <c r="AD1182" s="5">
        <v>5.0446791361385319</v>
      </c>
      <c r="AE1182" s="5">
        <v>2.2049075448333495</v>
      </c>
      <c r="AF1182">
        <v>1</v>
      </c>
    </row>
    <row r="1183" spans="27:32" x14ac:dyDescent="0.3">
      <c r="AA1183" s="3">
        <v>49159.01</v>
      </c>
      <c r="AB1183">
        <v>1E-4</v>
      </c>
      <c r="AC1183">
        <v>7</v>
      </c>
      <c r="AD1183" s="5">
        <v>5.149262766890196</v>
      </c>
      <c r="AE1183" s="5">
        <v>2.218207631580023</v>
      </c>
      <c r="AF1183">
        <v>1</v>
      </c>
    </row>
    <row r="1184" spans="27:32" x14ac:dyDescent="0.3">
      <c r="AA1184" s="3">
        <v>10309.49</v>
      </c>
      <c r="AB1184">
        <v>1E-4</v>
      </c>
      <c r="AC1184">
        <v>8</v>
      </c>
      <c r="AD1184" s="5">
        <v>5.1226187111445709</v>
      </c>
      <c r="AE1184" s="5">
        <v>2.2420170948417915</v>
      </c>
      <c r="AF1184">
        <v>1</v>
      </c>
    </row>
    <row r="1185" spans="27:32" x14ac:dyDescent="0.3">
      <c r="AA1185" s="3">
        <v>23004.78</v>
      </c>
      <c r="AB1185">
        <v>1E-4</v>
      </c>
      <c r="AC1185">
        <v>8</v>
      </c>
      <c r="AD1185" s="5">
        <v>4.9269578944591448</v>
      </c>
      <c r="AE1185" s="5">
        <v>2.2927942238539063</v>
      </c>
      <c r="AF1185">
        <v>1</v>
      </c>
    </row>
    <row r="1186" spans="27:32" x14ac:dyDescent="0.3">
      <c r="AA1186" s="3">
        <v>-8852.57</v>
      </c>
      <c r="AB1186">
        <v>1E-4</v>
      </c>
      <c r="AC1186">
        <v>9</v>
      </c>
      <c r="AD1186" s="5">
        <v>5.0629575327776415</v>
      </c>
      <c r="AE1186" s="5">
        <v>2.2496598187186305</v>
      </c>
      <c r="AF1186">
        <v>1</v>
      </c>
    </row>
    <row r="1187" spans="27:32" x14ac:dyDescent="0.3">
      <c r="AA1187" s="3">
        <v>24621.56</v>
      </c>
      <c r="AB1187">
        <v>1E-4</v>
      </c>
      <c r="AC1187">
        <v>8</v>
      </c>
      <c r="AD1187" s="5">
        <v>4.9536712439693842</v>
      </c>
      <c r="AE1187" s="5">
        <v>2.1457524759419142</v>
      </c>
      <c r="AF1187">
        <v>1</v>
      </c>
    </row>
    <row r="1188" spans="27:32" x14ac:dyDescent="0.3">
      <c r="AA1188" s="3">
        <v>25607.98</v>
      </c>
      <c r="AB1188">
        <v>1E-4</v>
      </c>
      <c r="AC1188">
        <v>8</v>
      </c>
      <c r="AD1188" s="5">
        <v>4.8908417506884341</v>
      </c>
      <c r="AE1188" s="5">
        <v>2.1532426210168594</v>
      </c>
      <c r="AF1188">
        <v>1</v>
      </c>
    </row>
    <row r="1189" spans="27:32" x14ac:dyDescent="0.3">
      <c r="AA1189" s="3">
        <v>57839.51</v>
      </c>
      <c r="AB1189">
        <v>1E-4</v>
      </c>
      <c r="AC1189">
        <v>6</v>
      </c>
      <c r="AD1189" s="5">
        <v>5.0488196777836771</v>
      </c>
      <c r="AE1189" s="5">
        <v>2.2139203472389246</v>
      </c>
      <c r="AF1189">
        <v>1</v>
      </c>
    </row>
    <row r="1190" spans="27:32" x14ac:dyDescent="0.3">
      <c r="AA1190" s="3">
        <v>-23650.63</v>
      </c>
      <c r="AB1190">
        <v>1E-4</v>
      </c>
      <c r="AC1190">
        <v>9</v>
      </c>
      <c r="AD1190" s="5">
        <v>4.9481496222832675</v>
      </c>
      <c r="AE1190" s="5">
        <v>2.2606499401365636</v>
      </c>
      <c r="AF1190">
        <v>1</v>
      </c>
    </row>
    <row r="1191" spans="27:32" x14ac:dyDescent="0.3">
      <c r="AA1191" s="3">
        <v>26655.31</v>
      </c>
      <c r="AB1191">
        <v>1E-4</v>
      </c>
      <c r="AC1191">
        <v>8</v>
      </c>
      <c r="AD1191" s="5">
        <v>4.9351358132897181</v>
      </c>
      <c r="AE1191" s="5">
        <v>2.2185464359660645</v>
      </c>
      <c r="AF1191">
        <v>1</v>
      </c>
    </row>
    <row r="1192" spans="27:32" x14ac:dyDescent="0.3">
      <c r="AA1192" s="3">
        <v>746.36</v>
      </c>
      <c r="AB1192">
        <v>1E-4</v>
      </c>
      <c r="AC1192">
        <v>8</v>
      </c>
      <c r="AD1192" s="5">
        <v>5.046461326457746</v>
      </c>
      <c r="AE1192" s="5">
        <v>2.2347435712112489</v>
      </c>
      <c r="AF1192">
        <v>1</v>
      </c>
    </row>
    <row r="1193" spans="27:32" x14ac:dyDescent="0.3">
      <c r="AA1193" s="3">
        <v>26518.58</v>
      </c>
      <c r="AB1193">
        <v>1E-4</v>
      </c>
      <c r="AC1193">
        <v>8</v>
      </c>
      <c r="AD1193" s="5">
        <v>5.0319453924288888</v>
      </c>
      <c r="AE1193" s="5">
        <v>2.1840368921904716</v>
      </c>
      <c r="AF1193">
        <v>1</v>
      </c>
    </row>
    <row r="1194" spans="27:32" x14ac:dyDescent="0.3">
      <c r="AA1194" s="3">
        <v>-6681.42</v>
      </c>
      <c r="AB1194">
        <v>1E-4</v>
      </c>
      <c r="AC1194">
        <v>9</v>
      </c>
      <c r="AD1194" s="5">
        <v>4.926537983600821</v>
      </c>
      <c r="AE1194" s="5">
        <v>2.2446995869879114</v>
      </c>
      <c r="AF1194">
        <v>1</v>
      </c>
    </row>
    <row r="1195" spans="27:32" x14ac:dyDescent="0.3">
      <c r="AA1195" s="3">
        <v>20599.97</v>
      </c>
      <c r="AB1195">
        <v>1E-4</v>
      </c>
      <c r="AC1195">
        <v>8</v>
      </c>
      <c r="AD1195" s="5">
        <v>4.9695759269530155</v>
      </c>
      <c r="AE1195" s="5">
        <v>2.1512935324608713</v>
      </c>
      <c r="AF1195">
        <v>1</v>
      </c>
    </row>
    <row r="1196" spans="27:32" x14ac:dyDescent="0.3">
      <c r="AA1196" s="3">
        <v>12668.6</v>
      </c>
      <c r="AB1196">
        <v>1E-4</v>
      </c>
      <c r="AC1196">
        <v>8</v>
      </c>
      <c r="AD1196" s="5">
        <v>5.0572653476956031</v>
      </c>
      <c r="AE1196" s="5">
        <v>2.2046953428800471</v>
      </c>
      <c r="AF1196">
        <v>1</v>
      </c>
    </row>
    <row r="1197" spans="27:32" x14ac:dyDescent="0.3">
      <c r="AA1197" s="3">
        <v>16472.28</v>
      </c>
      <c r="AB1197">
        <v>1E-4</v>
      </c>
      <c r="AC1197">
        <v>8</v>
      </c>
      <c r="AD1197" s="5">
        <v>4.9149533664151885</v>
      </c>
      <c r="AE1197" s="5">
        <v>2.1448131188776389</v>
      </c>
      <c r="AF1197">
        <v>1</v>
      </c>
    </row>
    <row r="1198" spans="27:32" x14ac:dyDescent="0.3">
      <c r="AA1198" s="3">
        <v>-12774.13</v>
      </c>
      <c r="AB1198">
        <v>1E-4</v>
      </c>
      <c r="AC1198">
        <v>9</v>
      </c>
      <c r="AD1198" s="5">
        <v>4.9913241969943867</v>
      </c>
      <c r="AE1198" s="5">
        <v>2.2564339962937918</v>
      </c>
      <c r="AF1198">
        <v>1</v>
      </c>
    </row>
    <row r="1199" spans="27:32" x14ac:dyDescent="0.3">
      <c r="AA1199" s="3">
        <v>7348.14</v>
      </c>
      <c r="AB1199">
        <v>1E-4</v>
      </c>
      <c r="AC1199">
        <v>8</v>
      </c>
      <c r="AD1199" s="5">
        <v>5.0219242114032543</v>
      </c>
      <c r="AE1199" s="5">
        <v>2.1739615031391049</v>
      </c>
      <c r="AF1199">
        <v>1</v>
      </c>
    </row>
    <row r="1200" spans="27:32" x14ac:dyDescent="0.3">
      <c r="AA1200" s="3">
        <v>29974.61</v>
      </c>
      <c r="AB1200">
        <v>1E-4</v>
      </c>
      <c r="AC1200">
        <v>7</v>
      </c>
      <c r="AD1200" s="5">
        <v>4.9507649206616984</v>
      </c>
      <c r="AE1200" s="5">
        <v>2.2036190876128554</v>
      </c>
      <c r="AF1200">
        <v>1</v>
      </c>
    </row>
    <row r="1201" spans="27:32" x14ac:dyDescent="0.3">
      <c r="AA1201" s="3">
        <v>39587.33</v>
      </c>
      <c r="AB1201">
        <v>1E-4</v>
      </c>
      <c r="AC1201">
        <v>7</v>
      </c>
      <c r="AD1201" s="5">
        <v>5.2080324886065199</v>
      </c>
      <c r="AE1201" s="5">
        <v>2.1387684077169817</v>
      </c>
      <c r="AF1201">
        <v>1</v>
      </c>
    </row>
    <row r="1202" spans="27:32" x14ac:dyDescent="0.3">
      <c r="AA1202" s="3">
        <v>22883.43</v>
      </c>
      <c r="AB1202">
        <v>1E-4</v>
      </c>
      <c r="AC1202">
        <v>8</v>
      </c>
      <c r="AD1202" s="5">
        <v>5.0371637031915153</v>
      </c>
      <c r="AE1202" s="5">
        <v>2.1968189635275737</v>
      </c>
      <c r="AF1202">
        <v>1</v>
      </c>
    </row>
    <row r="1203" spans="27:32" x14ac:dyDescent="0.3">
      <c r="AA1203" s="3">
        <v>9594.98</v>
      </c>
      <c r="AB1203">
        <v>1E-4</v>
      </c>
      <c r="AC1203">
        <v>8</v>
      </c>
      <c r="AD1203" s="5">
        <v>5.0273837260852723</v>
      </c>
      <c r="AE1203" s="5">
        <v>2.2796525415889222</v>
      </c>
      <c r="AF1203">
        <v>1</v>
      </c>
    </row>
    <row r="1204" spans="27:32" x14ac:dyDescent="0.3">
      <c r="AA1204" s="3">
        <v>10087.82</v>
      </c>
      <c r="AB1204">
        <v>1E-4</v>
      </c>
      <c r="AC1204">
        <v>8</v>
      </c>
      <c r="AD1204" s="5">
        <v>5.0929056252518139</v>
      </c>
      <c r="AE1204" s="5">
        <v>2.190806501103193</v>
      </c>
      <c r="AF1204">
        <v>1</v>
      </c>
    </row>
    <row r="1205" spans="27:32" x14ac:dyDescent="0.3">
      <c r="AA1205" s="3">
        <v>17701.919999999998</v>
      </c>
      <c r="AB1205">
        <v>1E-4</v>
      </c>
      <c r="AC1205">
        <v>8</v>
      </c>
      <c r="AD1205" s="5">
        <v>4.9934026632337973</v>
      </c>
      <c r="AE1205" s="5">
        <v>2.1943424721864293</v>
      </c>
      <c r="AF1205">
        <v>1</v>
      </c>
    </row>
    <row r="1206" spans="27:32" x14ac:dyDescent="0.3">
      <c r="AA1206" s="3">
        <v>8561.06</v>
      </c>
      <c r="AB1206">
        <v>1E-4</v>
      </c>
      <c r="AC1206">
        <v>8</v>
      </c>
      <c r="AD1206" s="5">
        <v>5.0379053858471989</v>
      </c>
      <c r="AE1206" s="5">
        <v>2.1655267499883331</v>
      </c>
      <c r="AF1206">
        <v>1</v>
      </c>
    </row>
    <row r="1207" spans="27:32" x14ac:dyDescent="0.3">
      <c r="AA1207" s="3">
        <v>34161.97</v>
      </c>
      <c r="AB1207">
        <v>1E-4</v>
      </c>
      <c r="AC1207">
        <v>7</v>
      </c>
      <c r="AD1207" s="5">
        <v>5.2130430108187893</v>
      </c>
      <c r="AE1207" s="5">
        <v>2.1899499462323946</v>
      </c>
      <c r="AF1207">
        <v>1</v>
      </c>
    </row>
    <row r="1208" spans="27:32" x14ac:dyDescent="0.3">
      <c r="AA1208" s="3">
        <v>15179.68</v>
      </c>
      <c r="AB1208">
        <v>1E-4</v>
      </c>
      <c r="AC1208">
        <v>8</v>
      </c>
      <c r="AD1208" s="5">
        <v>4.9471670608163798</v>
      </c>
      <c r="AE1208" s="5">
        <v>2.180231095441064</v>
      </c>
      <c r="AF1208">
        <v>1</v>
      </c>
    </row>
    <row r="1209" spans="27:32" x14ac:dyDescent="0.3">
      <c r="AA1209" s="3">
        <v>44716.57</v>
      </c>
      <c r="AB1209">
        <v>1E-4</v>
      </c>
      <c r="AC1209">
        <v>7</v>
      </c>
      <c r="AD1209" s="5">
        <v>5.1016978785412661</v>
      </c>
      <c r="AE1209" s="5">
        <v>2.2148846900773798</v>
      </c>
      <c r="AF1209">
        <v>1</v>
      </c>
    </row>
    <row r="1210" spans="27:32" x14ac:dyDescent="0.3">
      <c r="AA1210" s="3">
        <v>42349.53</v>
      </c>
      <c r="AB1210">
        <v>1E-4</v>
      </c>
      <c r="AC1210">
        <v>7</v>
      </c>
      <c r="AD1210" s="5">
        <v>5.0459412070884868</v>
      </c>
      <c r="AE1210" s="5">
        <v>2.2249592783935976</v>
      </c>
      <c r="AF1210">
        <v>1</v>
      </c>
    </row>
    <row r="1211" spans="27:32" x14ac:dyDescent="0.3">
      <c r="AA1211" s="3">
        <v>6873.09</v>
      </c>
      <c r="AB1211">
        <v>1E-4</v>
      </c>
      <c r="AC1211">
        <v>8</v>
      </c>
      <c r="AD1211" s="5">
        <v>5.0634074023501539</v>
      </c>
      <c r="AE1211" s="5">
        <v>2.1340456146975502</v>
      </c>
      <c r="AF1211">
        <v>1</v>
      </c>
    </row>
    <row r="1212" spans="27:32" x14ac:dyDescent="0.3">
      <c r="AA1212" s="3">
        <v>13639.49</v>
      </c>
      <c r="AB1212">
        <v>1E-4</v>
      </c>
      <c r="AC1212">
        <v>8</v>
      </c>
      <c r="AD1212" s="5">
        <v>5.102107952052684</v>
      </c>
      <c r="AE1212" s="5">
        <v>2.2128423173076888</v>
      </c>
      <c r="AF1212">
        <v>1</v>
      </c>
    </row>
    <row r="1213" spans="27:32" x14ac:dyDescent="0.3">
      <c r="AA1213" s="3">
        <v>-4228.05</v>
      </c>
      <c r="AB1213">
        <v>1E-4</v>
      </c>
      <c r="AC1213">
        <v>9</v>
      </c>
      <c r="AD1213" s="5">
        <v>5.0426013811664152</v>
      </c>
      <c r="AE1213" s="5">
        <v>2.2809118338531253</v>
      </c>
      <c r="AF1213">
        <v>1</v>
      </c>
    </row>
    <row r="1214" spans="27:32" x14ac:dyDescent="0.3">
      <c r="AA1214" s="3">
        <v>6978.19</v>
      </c>
      <c r="AB1214">
        <v>1E-4</v>
      </c>
      <c r="AC1214">
        <v>8</v>
      </c>
      <c r="AD1214" s="5">
        <v>4.9474963056588273</v>
      </c>
      <c r="AE1214" s="5">
        <v>2.3247454175162678</v>
      </c>
      <c r="AF1214">
        <v>1</v>
      </c>
    </row>
    <row r="1215" spans="27:32" x14ac:dyDescent="0.3">
      <c r="AA1215" s="3">
        <v>3936.97</v>
      </c>
      <c r="AB1215">
        <v>1E-4</v>
      </c>
      <c r="AC1215">
        <v>8</v>
      </c>
      <c r="AD1215" s="5">
        <v>5.0942228583583722</v>
      </c>
      <c r="AE1215" s="5">
        <v>2.25506761644542</v>
      </c>
      <c r="AF1215">
        <v>1</v>
      </c>
    </row>
    <row r="1216" spans="27:32" x14ac:dyDescent="0.3">
      <c r="AA1216" s="3">
        <v>20135.349999999999</v>
      </c>
      <c r="AB1216">
        <v>1E-4</v>
      </c>
      <c r="AC1216">
        <v>8</v>
      </c>
      <c r="AD1216" s="5">
        <v>4.917037218615774</v>
      </c>
      <c r="AE1216" s="5">
        <v>2.1071598559149569</v>
      </c>
      <c r="AF1216">
        <v>1</v>
      </c>
    </row>
    <row r="1217" spans="27:32" x14ac:dyDescent="0.3">
      <c r="AA1217" s="3">
        <v>2117.9699999999998</v>
      </c>
      <c r="AB1217">
        <v>1E-4</v>
      </c>
      <c r="AC1217">
        <v>8</v>
      </c>
      <c r="AD1217" s="5">
        <v>5.1074072459457041</v>
      </c>
      <c r="AE1217" s="5">
        <v>2.2199147816433693</v>
      </c>
      <c r="AF1217">
        <v>1</v>
      </c>
    </row>
    <row r="1218" spans="27:32" x14ac:dyDescent="0.3">
      <c r="AA1218" s="3">
        <v>16184.82</v>
      </c>
      <c r="AB1218">
        <v>1E-4</v>
      </c>
      <c r="AC1218">
        <v>8</v>
      </c>
      <c r="AD1218" s="5">
        <v>4.8559775521307103</v>
      </c>
      <c r="AE1218" s="5">
        <v>2.2505040767065365</v>
      </c>
      <c r="AF1218">
        <v>1</v>
      </c>
    </row>
    <row r="1219" spans="27:32" x14ac:dyDescent="0.3">
      <c r="AA1219" s="3">
        <v>26691.5</v>
      </c>
      <c r="AB1219">
        <v>1E-4</v>
      </c>
      <c r="AC1219">
        <v>7</v>
      </c>
      <c r="AD1219" s="5">
        <v>4.8650289006372738</v>
      </c>
      <c r="AE1219" s="5">
        <v>2.1518108454079439</v>
      </c>
      <c r="AF1219">
        <v>1</v>
      </c>
    </row>
    <row r="1220" spans="27:32" x14ac:dyDescent="0.3">
      <c r="AA1220" s="3">
        <v>46147.92</v>
      </c>
      <c r="AB1220">
        <v>1E-4</v>
      </c>
      <c r="AC1220">
        <v>7</v>
      </c>
      <c r="AD1220" s="5">
        <v>5.1351759572188769</v>
      </c>
      <c r="AE1220" s="5">
        <v>2.2209006654394532</v>
      </c>
      <c r="AF1220">
        <v>1</v>
      </c>
    </row>
    <row r="1221" spans="27:32" x14ac:dyDescent="0.3">
      <c r="AA1221" s="3">
        <v>53807.12</v>
      </c>
      <c r="AB1221">
        <v>1E-4</v>
      </c>
      <c r="AC1221">
        <v>6</v>
      </c>
      <c r="AD1221" s="5">
        <v>5.1716258118995304</v>
      </c>
      <c r="AE1221" s="5">
        <v>2.1712899650562343</v>
      </c>
      <c r="AF1221">
        <v>1</v>
      </c>
    </row>
    <row r="1222" spans="27:32" x14ac:dyDescent="0.3">
      <c r="AA1222" s="3">
        <v>18994.7</v>
      </c>
      <c r="AB1222">
        <v>1E-4</v>
      </c>
      <c r="AC1222">
        <v>8</v>
      </c>
      <c r="AD1222" s="5">
        <v>5.0164295616045349</v>
      </c>
      <c r="AE1222" s="5">
        <v>2.2653191959279058</v>
      </c>
      <c r="AF1222">
        <v>1</v>
      </c>
    </row>
    <row r="1223" spans="27:32" x14ac:dyDescent="0.3">
      <c r="AA1223" s="3">
        <v>1088.93</v>
      </c>
      <c r="AB1223">
        <v>1E-4</v>
      </c>
      <c r="AC1223">
        <v>8</v>
      </c>
      <c r="AD1223" s="5">
        <v>4.9894976508419102</v>
      </c>
      <c r="AE1223" s="5">
        <v>2.2138505921206448</v>
      </c>
      <c r="AF1223">
        <v>1</v>
      </c>
    </row>
    <row r="1224" spans="27:32" x14ac:dyDescent="0.3">
      <c r="AA1224" s="3">
        <v>-7017.96</v>
      </c>
      <c r="AB1224">
        <v>1E-4</v>
      </c>
      <c r="AC1224">
        <v>9</v>
      </c>
      <c r="AD1224" s="5">
        <v>4.8864747074101196</v>
      </c>
      <c r="AE1224" s="5">
        <v>2.2470485401844038</v>
      </c>
      <c r="AF1224">
        <v>1</v>
      </c>
    </row>
    <row r="1225" spans="27:32" x14ac:dyDescent="0.3">
      <c r="AA1225" s="3">
        <v>23241.13</v>
      </c>
      <c r="AB1225">
        <v>1E-4</v>
      </c>
      <c r="AC1225">
        <v>7</v>
      </c>
      <c r="AD1225" s="5">
        <v>5.0135844776363205</v>
      </c>
      <c r="AE1225" s="5">
        <v>2.1738849186783913</v>
      </c>
      <c r="AF1225">
        <v>1</v>
      </c>
    </row>
    <row r="1226" spans="27:32" x14ac:dyDescent="0.3">
      <c r="AA1226" s="3">
        <v>35373.83</v>
      </c>
      <c r="AB1226">
        <v>1E-4</v>
      </c>
      <c r="AC1226">
        <v>7</v>
      </c>
      <c r="AD1226" s="5">
        <v>4.8330872376259109</v>
      </c>
      <c r="AE1226" s="5">
        <v>2.1988023065904718</v>
      </c>
      <c r="AF1226">
        <v>1</v>
      </c>
    </row>
    <row r="1227" spans="27:32" x14ac:dyDescent="0.3">
      <c r="AA1227" s="3">
        <v>-4010.7</v>
      </c>
      <c r="AB1227">
        <v>1E-4</v>
      </c>
      <c r="AC1227">
        <v>9</v>
      </c>
      <c r="AD1227" s="5">
        <v>5.0486692708282339</v>
      </c>
      <c r="AE1227" s="5">
        <v>2.1521843495192341</v>
      </c>
      <c r="AF1227">
        <v>1</v>
      </c>
    </row>
    <row r="1228" spans="27:32" x14ac:dyDescent="0.3">
      <c r="AA1228" s="3">
        <v>12002.45</v>
      </c>
      <c r="AB1228">
        <v>1E-4</v>
      </c>
      <c r="AC1228">
        <v>8</v>
      </c>
      <c r="AD1228" s="5">
        <v>5.041184280684468</v>
      </c>
      <c r="AE1228" s="5">
        <v>2.1542191688702315</v>
      </c>
      <c r="AF1228">
        <v>1</v>
      </c>
    </row>
    <row r="1229" spans="27:32" x14ac:dyDescent="0.3">
      <c r="AA1229" s="3">
        <v>17224.59</v>
      </c>
      <c r="AB1229">
        <v>1E-4</v>
      </c>
      <c r="AC1229">
        <v>8</v>
      </c>
      <c r="AD1229" s="5">
        <v>5.0517949348068747</v>
      </c>
      <c r="AE1229" s="5">
        <v>2.1816381830936136</v>
      </c>
      <c r="AF1229">
        <v>1</v>
      </c>
    </row>
    <row r="1230" spans="27:32" x14ac:dyDescent="0.3">
      <c r="AA1230" s="3">
        <v>12904.53</v>
      </c>
      <c r="AB1230">
        <v>1E-4</v>
      </c>
      <c r="AC1230">
        <v>8</v>
      </c>
      <c r="AD1230" s="5">
        <v>4.8641064256058355</v>
      </c>
      <c r="AE1230" s="5">
        <v>2.1290587852747964</v>
      </c>
      <c r="AF1230">
        <v>1</v>
      </c>
    </row>
    <row r="1231" spans="27:32" x14ac:dyDescent="0.3">
      <c r="AA1231" s="3">
        <v>8639.81</v>
      </c>
      <c r="AB1231">
        <v>1E-4</v>
      </c>
      <c r="AC1231">
        <v>8</v>
      </c>
      <c r="AD1231" s="5">
        <v>4.9734103637292408</v>
      </c>
      <c r="AE1231" s="5">
        <v>2.3455836391251448</v>
      </c>
      <c r="AF1231">
        <v>1</v>
      </c>
    </row>
    <row r="1232" spans="27:32" x14ac:dyDescent="0.3">
      <c r="AA1232" s="3">
        <v>10756.1</v>
      </c>
      <c r="AB1232">
        <v>1E-4</v>
      </c>
      <c r="AC1232">
        <v>8</v>
      </c>
      <c r="AD1232" s="5">
        <v>4.9342559544542803</v>
      </c>
      <c r="AE1232" s="5">
        <v>2.1991279750495445</v>
      </c>
      <c r="AF1232">
        <v>1</v>
      </c>
    </row>
    <row r="1233" spans="27:32" x14ac:dyDescent="0.3">
      <c r="AA1233" s="3">
        <v>23352.28</v>
      </c>
      <c r="AB1233">
        <v>1E-4</v>
      </c>
      <c r="AC1233">
        <v>8</v>
      </c>
      <c r="AD1233" s="5">
        <v>5.0315918212626043</v>
      </c>
      <c r="AE1233" s="5">
        <v>2.1336569511601096</v>
      </c>
      <c r="AF1233">
        <v>1</v>
      </c>
    </row>
    <row r="1234" spans="27:32" x14ac:dyDescent="0.3">
      <c r="AA1234" s="3">
        <v>-694.35</v>
      </c>
      <c r="AB1234">
        <v>1E-4</v>
      </c>
      <c r="AC1234">
        <v>9</v>
      </c>
      <c r="AD1234" s="5">
        <v>4.8994641770018283</v>
      </c>
      <c r="AE1234" s="5">
        <v>2.2055134072145215</v>
      </c>
      <c r="AF1234">
        <v>1</v>
      </c>
    </row>
    <row r="1235" spans="27:32" x14ac:dyDescent="0.3">
      <c r="AA1235" s="3">
        <v>6513.76</v>
      </c>
      <c r="AB1235">
        <v>1E-4</v>
      </c>
      <c r="AC1235">
        <v>8</v>
      </c>
      <c r="AD1235" s="5">
        <v>4.8500106312718376</v>
      </c>
      <c r="AE1235" s="5">
        <v>2.1884623707502087</v>
      </c>
      <c r="AF1235">
        <v>1</v>
      </c>
    </row>
    <row r="1236" spans="27:32" x14ac:dyDescent="0.3">
      <c r="AA1236" s="3">
        <v>-11232.86</v>
      </c>
      <c r="AB1236">
        <v>1E-4</v>
      </c>
      <c r="AC1236">
        <v>9</v>
      </c>
      <c r="AD1236" s="5">
        <v>4.8373252297174725</v>
      </c>
      <c r="AE1236" s="5">
        <v>2.1830234932175814</v>
      </c>
      <c r="AF1236">
        <v>1</v>
      </c>
    </row>
    <row r="1237" spans="27:32" x14ac:dyDescent="0.3">
      <c r="AA1237" s="3">
        <v>-6928.42</v>
      </c>
      <c r="AB1237">
        <v>1E-4</v>
      </c>
      <c r="AC1237">
        <v>9</v>
      </c>
      <c r="AD1237" s="5">
        <v>4.9764493539645347</v>
      </c>
      <c r="AE1237" s="5">
        <v>2.2060566458694906</v>
      </c>
      <c r="AF1237">
        <v>1</v>
      </c>
    </row>
    <row r="1238" spans="27:32" x14ac:dyDescent="0.3">
      <c r="AA1238" s="3">
        <v>12744.05</v>
      </c>
      <c r="AB1238">
        <v>1E-4</v>
      </c>
      <c r="AC1238">
        <v>8</v>
      </c>
      <c r="AD1238" s="5">
        <v>4.9553305936955141</v>
      </c>
      <c r="AE1238" s="5">
        <v>2.2145769364450016</v>
      </c>
      <c r="AF1238">
        <v>1</v>
      </c>
    </row>
    <row r="1239" spans="27:32" x14ac:dyDescent="0.3">
      <c r="AA1239" s="3">
        <v>-14687.31</v>
      </c>
      <c r="AB1239">
        <v>1E-4</v>
      </c>
      <c r="AC1239">
        <v>9</v>
      </c>
      <c r="AD1239" s="5">
        <v>4.906536521048718</v>
      </c>
      <c r="AE1239" s="5">
        <v>2.2364770120085011</v>
      </c>
      <c r="AF1239">
        <v>1</v>
      </c>
    </row>
    <row r="1240" spans="27:32" x14ac:dyDescent="0.3">
      <c r="AA1240" s="3">
        <v>18450.52</v>
      </c>
      <c r="AB1240">
        <v>1E-4</v>
      </c>
      <c r="AC1240">
        <v>8</v>
      </c>
      <c r="AD1240" s="5">
        <v>5.1398649682770063</v>
      </c>
      <c r="AE1240" s="5">
        <v>2.2285044159772078</v>
      </c>
      <c r="AF1240">
        <v>1</v>
      </c>
    </row>
    <row r="1241" spans="27:32" x14ac:dyDescent="0.3">
      <c r="AA1241" s="3">
        <v>-18739.72</v>
      </c>
      <c r="AB1241">
        <v>1E-4</v>
      </c>
      <c r="AC1241">
        <v>9</v>
      </c>
      <c r="AD1241" s="5">
        <v>4.8464934202140286</v>
      </c>
      <c r="AE1241" s="5">
        <v>2.2080928543143665</v>
      </c>
      <c r="AF1241">
        <v>1</v>
      </c>
    </row>
    <row r="1242" spans="27:32" x14ac:dyDescent="0.3">
      <c r="AA1242" s="3">
        <v>2235.79</v>
      </c>
      <c r="AB1242">
        <v>1E-4</v>
      </c>
      <c r="AC1242">
        <v>8</v>
      </c>
      <c r="AD1242" s="5">
        <v>4.8778404636735564</v>
      </c>
      <c r="AE1242" s="5">
        <v>2.0545119615395286</v>
      </c>
      <c r="AF1242">
        <v>1</v>
      </c>
    </row>
    <row r="1243" spans="27:32" x14ac:dyDescent="0.3">
      <c r="AA1243" s="3">
        <v>14026.65</v>
      </c>
      <c r="AB1243">
        <v>1E-4</v>
      </c>
      <c r="AC1243">
        <v>8</v>
      </c>
      <c r="AD1243" s="5">
        <v>4.9178496961701592</v>
      </c>
      <c r="AE1243" s="5">
        <v>2.2729794330439566</v>
      </c>
      <c r="AF1243">
        <v>1</v>
      </c>
    </row>
    <row r="1244" spans="27:32" x14ac:dyDescent="0.3">
      <c r="AA1244" s="3">
        <v>3508.23</v>
      </c>
      <c r="AB1244">
        <v>1E-4</v>
      </c>
      <c r="AC1244">
        <v>8</v>
      </c>
      <c r="AD1244" s="5">
        <v>4.9885111560491486</v>
      </c>
      <c r="AE1244" s="5">
        <v>2.1610881875926387</v>
      </c>
      <c r="AF1244">
        <v>1</v>
      </c>
    </row>
    <row r="1245" spans="27:32" x14ac:dyDescent="0.3">
      <c r="AA1245" s="3">
        <v>25645.03</v>
      </c>
      <c r="AB1245">
        <v>1E-4</v>
      </c>
      <c r="AC1245">
        <v>8</v>
      </c>
      <c r="AD1245" s="5">
        <v>5.0218856787648631</v>
      </c>
      <c r="AE1245" s="5">
        <v>2.1175126759099121</v>
      </c>
      <c r="AF1245">
        <v>1</v>
      </c>
    </row>
    <row r="1246" spans="27:32" x14ac:dyDescent="0.3">
      <c r="AA1246" s="3">
        <v>38399.9</v>
      </c>
      <c r="AB1246">
        <v>1E-4</v>
      </c>
      <c r="AC1246">
        <v>7</v>
      </c>
      <c r="AD1246" s="5">
        <v>4.9724896920131689</v>
      </c>
      <c r="AE1246" s="5">
        <v>2.1326650908459341</v>
      </c>
      <c r="AF1246">
        <v>1</v>
      </c>
    </row>
    <row r="1247" spans="27:32" x14ac:dyDescent="0.3">
      <c r="AA1247" s="3">
        <v>12503.17</v>
      </c>
      <c r="AB1247">
        <v>1E-4</v>
      </c>
      <c r="AC1247">
        <v>8</v>
      </c>
      <c r="AD1247" s="5">
        <v>4.9951573359580408</v>
      </c>
      <c r="AE1247" s="5">
        <v>2.1598063186312286</v>
      </c>
      <c r="AF1247">
        <v>1</v>
      </c>
    </row>
    <row r="1248" spans="27:32" x14ac:dyDescent="0.3">
      <c r="AA1248" s="3">
        <v>11048.34</v>
      </c>
      <c r="AB1248">
        <v>1E-4</v>
      </c>
      <c r="AC1248">
        <v>8</v>
      </c>
      <c r="AD1248" s="5">
        <v>4.9080033079729652</v>
      </c>
      <c r="AE1248" s="5">
        <v>2.221697914416668</v>
      </c>
      <c r="AF1248">
        <v>1</v>
      </c>
    </row>
    <row r="1249" spans="27:32" x14ac:dyDescent="0.3">
      <c r="AA1249" s="3">
        <v>-3311.25</v>
      </c>
      <c r="AB1249">
        <v>1E-4</v>
      </c>
      <c r="AC1249">
        <v>9</v>
      </c>
      <c r="AD1249" s="5">
        <v>4.8882699892603139</v>
      </c>
      <c r="AE1249" s="5">
        <v>2.1321191317334192</v>
      </c>
      <c r="AF1249">
        <v>1</v>
      </c>
    </row>
    <row r="1250" spans="27:32" x14ac:dyDescent="0.3">
      <c r="AA1250" s="3">
        <v>41550.68</v>
      </c>
      <c r="AB1250">
        <v>1E-4</v>
      </c>
      <c r="AC1250">
        <v>7</v>
      </c>
      <c r="AD1250" s="5">
        <v>5.1254595244729693</v>
      </c>
      <c r="AE1250" s="5">
        <v>2.2430368481362368</v>
      </c>
      <c r="AF1250">
        <v>1</v>
      </c>
    </row>
    <row r="1251" spans="27:32" x14ac:dyDescent="0.3">
      <c r="AA1251" s="3">
        <v>-19040.39</v>
      </c>
      <c r="AB1251">
        <v>1E-4</v>
      </c>
      <c r="AC1251">
        <v>9</v>
      </c>
      <c r="AD1251" s="5">
        <v>5.0402906638514997</v>
      </c>
      <c r="AE1251" s="5">
        <v>2.2195918280389315</v>
      </c>
      <c r="AF1251">
        <v>1</v>
      </c>
    </row>
    <row r="1252" spans="27:32" x14ac:dyDescent="0.3">
      <c r="AA1252" s="3">
        <v>-27972.17</v>
      </c>
      <c r="AB1252">
        <v>1E-4</v>
      </c>
      <c r="AC1252">
        <v>9</v>
      </c>
      <c r="AD1252" s="5">
        <v>4.9143710156015317</v>
      </c>
      <c r="AE1252" s="5">
        <v>2.2867415902021584</v>
      </c>
      <c r="AF1252">
        <v>1</v>
      </c>
    </row>
    <row r="1253" spans="27:32" x14ac:dyDescent="0.3">
      <c r="AA1253" s="3">
        <v>8985.85</v>
      </c>
      <c r="AB1253">
        <v>1E-4</v>
      </c>
      <c r="AC1253">
        <v>8</v>
      </c>
      <c r="AD1253" s="5">
        <v>5.0751215213521297</v>
      </c>
      <c r="AE1253" s="5">
        <v>2.1255015407704576</v>
      </c>
      <c r="AF1253">
        <v>1</v>
      </c>
    </row>
    <row r="1254" spans="27:32" x14ac:dyDescent="0.3">
      <c r="AA1254" s="3">
        <v>33733.769999999997</v>
      </c>
      <c r="AB1254">
        <v>1E-4</v>
      </c>
      <c r="AC1254">
        <v>7</v>
      </c>
      <c r="AD1254" s="5">
        <v>5.0049819997861729</v>
      </c>
      <c r="AE1254" s="5">
        <v>2.11355554396801</v>
      </c>
      <c r="AF1254">
        <v>1</v>
      </c>
    </row>
    <row r="1255" spans="27:32" x14ac:dyDescent="0.3">
      <c r="AA1255" s="3">
        <v>8906.2999999999993</v>
      </c>
      <c r="AB1255">
        <v>1E-4</v>
      </c>
      <c r="AC1255">
        <v>8</v>
      </c>
      <c r="AD1255" s="5">
        <v>5.0758923159285576</v>
      </c>
      <c r="AE1255" s="5">
        <v>2.2566421196013851</v>
      </c>
      <c r="AF1255">
        <v>1</v>
      </c>
    </row>
    <row r="1256" spans="27:32" x14ac:dyDescent="0.3">
      <c r="AA1256" s="3">
        <v>21301.13</v>
      </c>
      <c r="AB1256">
        <v>1E-4</v>
      </c>
      <c r="AC1256">
        <v>8</v>
      </c>
      <c r="AD1256" s="5">
        <v>5.0269267073451731</v>
      </c>
      <c r="AE1256" s="5">
        <v>2.1875274508712943</v>
      </c>
      <c r="AF1256">
        <v>1</v>
      </c>
    </row>
    <row r="1257" spans="27:32" x14ac:dyDescent="0.3">
      <c r="AA1257" s="3">
        <v>38390.89</v>
      </c>
      <c r="AB1257">
        <v>1E-4</v>
      </c>
      <c r="AC1257">
        <v>7</v>
      </c>
      <c r="AD1257" s="5">
        <v>5.0377550213599749</v>
      </c>
      <c r="AE1257" s="5">
        <v>2.1797640793006101</v>
      </c>
      <c r="AF1257">
        <v>1</v>
      </c>
    </row>
    <row r="1258" spans="27:32" x14ac:dyDescent="0.3">
      <c r="AA1258" s="3">
        <v>5553.27</v>
      </c>
      <c r="AB1258">
        <v>1E-4</v>
      </c>
      <c r="AC1258">
        <v>8</v>
      </c>
      <c r="AD1258" s="5">
        <v>5.1399384410583382</v>
      </c>
      <c r="AE1258" s="5">
        <v>2.2352825736287234</v>
      </c>
      <c r="AF1258">
        <v>1</v>
      </c>
    </row>
    <row r="1259" spans="27:32" x14ac:dyDescent="0.3">
      <c r="AA1259" s="3">
        <v>23493.31</v>
      </c>
      <c r="AB1259">
        <v>1E-4</v>
      </c>
      <c r="AC1259">
        <v>8</v>
      </c>
      <c r="AD1259" s="5">
        <v>5.0877085041191243</v>
      </c>
      <c r="AE1259" s="5">
        <v>2.2180974535888831</v>
      </c>
      <c r="AF1259">
        <v>1</v>
      </c>
    </row>
    <row r="1260" spans="27:32" x14ac:dyDescent="0.3">
      <c r="AA1260" s="3">
        <v>43860.85</v>
      </c>
      <c r="AB1260">
        <v>1E-4</v>
      </c>
      <c r="AC1260">
        <v>7</v>
      </c>
      <c r="AD1260" s="5">
        <v>5.0853058316222377</v>
      </c>
      <c r="AE1260" s="5">
        <v>2.2420142135711307</v>
      </c>
      <c r="AF1260">
        <v>1</v>
      </c>
    </row>
    <row r="1261" spans="27:32" x14ac:dyDescent="0.3">
      <c r="AA1261" s="3">
        <v>44037.01</v>
      </c>
      <c r="AB1261">
        <v>1E-4</v>
      </c>
      <c r="AC1261">
        <v>7</v>
      </c>
      <c r="AD1261" s="5">
        <v>4.9079528903291454</v>
      </c>
      <c r="AE1261" s="5">
        <v>2.2109648421573258</v>
      </c>
      <c r="AF1261">
        <v>1</v>
      </c>
    </row>
    <row r="1262" spans="27:32" x14ac:dyDescent="0.3">
      <c r="AA1262" s="3">
        <v>14318.98</v>
      </c>
      <c r="AB1262">
        <v>1E-4</v>
      </c>
      <c r="AC1262">
        <v>8</v>
      </c>
      <c r="AD1262" s="5">
        <v>4.8789494527528836</v>
      </c>
      <c r="AE1262" s="5">
        <v>2.158719905322056</v>
      </c>
      <c r="AF1262">
        <v>1</v>
      </c>
    </row>
    <row r="1263" spans="27:32" x14ac:dyDescent="0.3">
      <c r="AA1263" s="3">
        <v>34168.25</v>
      </c>
      <c r="AB1263">
        <v>1E-4</v>
      </c>
      <c r="AC1263">
        <v>7</v>
      </c>
      <c r="AD1263" s="5">
        <v>4.9320405871986992</v>
      </c>
      <c r="AE1263" s="5">
        <v>2.1479620766499261</v>
      </c>
      <c r="AF1263">
        <v>1</v>
      </c>
    </row>
    <row r="1264" spans="27:32" x14ac:dyDescent="0.3">
      <c r="AA1264" s="3">
        <v>5329.73</v>
      </c>
      <c r="AB1264">
        <v>1E-4</v>
      </c>
      <c r="AC1264">
        <v>8</v>
      </c>
      <c r="AD1264" s="5">
        <v>4.8266118339253712</v>
      </c>
      <c r="AE1264" s="5">
        <v>2.2525861144087549</v>
      </c>
      <c r="AF1264">
        <v>1</v>
      </c>
    </row>
    <row r="1265" spans="27:32" x14ac:dyDescent="0.3">
      <c r="AA1265" s="3">
        <v>30620.32</v>
      </c>
      <c r="AB1265">
        <v>1E-4</v>
      </c>
      <c r="AC1265">
        <v>7</v>
      </c>
      <c r="AD1265" s="5">
        <v>5.168186786352412</v>
      </c>
      <c r="AE1265" s="5">
        <v>2.2326441431803663</v>
      </c>
      <c r="AF1265">
        <v>1</v>
      </c>
    </row>
    <row r="1266" spans="27:32" x14ac:dyDescent="0.3">
      <c r="AA1266" s="3">
        <v>6784.39</v>
      </c>
      <c r="AB1266">
        <v>1E-4</v>
      </c>
      <c r="AC1266">
        <v>8</v>
      </c>
      <c r="AD1266" s="5">
        <v>5.0407843964479948</v>
      </c>
      <c r="AE1266" s="5">
        <v>2.174060968193575</v>
      </c>
      <c r="AF1266">
        <v>1</v>
      </c>
    </row>
    <row r="1267" spans="27:32" x14ac:dyDescent="0.3">
      <c r="AA1267" s="3">
        <v>2673.6863185853144</v>
      </c>
      <c r="AB1267">
        <v>1E-4</v>
      </c>
      <c r="AC1267">
        <v>8</v>
      </c>
      <c r="AD1267" s="5">
        <v>4.9566351255081784</v>
      </c>
      <c r="AE1267" s="5">
        <v>2.197580303256395</v>
      </c>
      <c r="AF1267">
        <v>0</v>
      </c>
    </row>
    <row r="1268" spans="27:32" x14ac:dyDescent="0.3">
      <c r="AA1268" s="3">
        <v>12201.63</v>
      </c>
      <c r="AB1268">
        <v>1E-4</v>
      </c>
      <c r="AC1268">
        <v>8</v>
      </c>
      <c r="AD1268" s="5">
        <v>5.0293030687539746</v>
      </c>
      <c r="AE1268" s="5">
        <v>2.3355037680488344</v>
      </c>
      <c r="AF1268">
        <v>1</v>
      </c>
    </row>
    <row r="1269" spans="27:32" x14ac:dyDescent="0.3">
      <c r="AA1269" s="3">
        <v>29081.23</v>
      </c>
      <c r="AB1269">
        <v>1E-4</v>
      </c>
      <c r="AC1269">
        <v>8</v>
      </c>
      <c r="AD1269" s="5">
        <v>5.034553026650376</v>
      </c>
      <c r="AE1269" s="5">
        <v>2.2263236534186874</v>
      </c>
      <c r="AF1269">
        <v>1</v>
      </c>
    </row>
    <row r="1270" spans="27:32" x14ac:dyDescent="0.3">
      <c r="AA1270" s="3">
        <v>-2194.39</v>
      </c>
      <c r="AB1270">
        <v>1E-4</v>
      </c>
      <c r="AC1270">
        <v>9</v>
      </c>
      <c r="AD1270" s="5">
        <v>4.8526571636197477</v>
      </c>
      <c r="AE1270" s="5">
        <v>2.2443543678439766</v>
      </c>
      <c r="AF1270">
        <v>1</v>
      </c>
    </row>
    <row r="1271" spans="27:32" x14ac:dyDescent="0.3">
      <c r="AA1271" s="3">
        <v>6406.57</v>
      </c>
      <c r="AB1271">
        <v>1E-4</v>
      </c>
      <c r="AC1271">
        <v>8</v>
      </c>
      <c r="AD1271" s="5">
        <v>5.1255946258400469</v>
      </c>
      <c r="AE1271" s="5">
        <v>2.1462380340618359</v>
      </c>
      <c r="AF1271">
        <v>1</v>
      </c>
    </row>
    <row r="1272" spans="27:32" x14ac:dyDescent="0.3">
      <c r="AA1272" s="3">
        <v>19513.509999999998</v>
      </c>
      <c r="AB1272">
        <v>1E-4</v>
      </c>
      <c r="AC1272">
        <v>8</v>
      </c>
      <c r="AD1272" s="5">
        <v>4.9847902199497334</v>
      </c>
      <c r="AE1272" s="5">
        <v>2.2291946075169893</v>
      </c>
      <c r="AF1272">
        <v>1</v>
      </c>
    </row>
    <row r="1273" spans="27:32" x14ac:dyDescent="0.3">
      <c r="AA1273" s="3">
        <v>31722.67</v>
      </c>
      <c r="AB1273">
        <v>1E-4</v>
      </c>
      <c r="AC1273">
        <v>7</v>
      </c>
      <c r="AD1273" s="5">
        <v>5.1356930928288351</v>
      </c>
      <c r="AE1273" s="5">
        <v>2.1312142109800898</v>
      </c>
      <c r="AF1273">
        <v>1</v>
      </c>
    </row>
    <row r="1274" spans="27:32" x14ac:dyDescent="0.3">
      <c r="AA1274" s="3">
        <v>-402.07</v>
      </c>
      <c r="AB1274">
        <v>1E-4</v>
      </c>
      <c r="AC1274">
        <v>9</v>
      </c>
      <c r="AD1274" s="5">
        <v>4.9855342043980526</v>
      </c>
      <c r="AE1274" s="5">
        <v>2.2976043406358069</v>
      </c>
      <c r="AF1274">
        <v>1</v>
      </c>
    </row>
    <row r="1275" spans="27:32" x14ac:dyDescent="0.3">
      <c r="AA1275" s="3">
        <v>-2568.9299999999998</v>
      </c>
      <c r="AB1275">
        <v>1E-4</v>
      </c>
      <c r="AC1275">
        <v>9</v>
      </c>
      <c r="AD1275" s="5">
        <v>4.9127730546382002</v>
      </c>
      <c r="AE1275" s="5">
        <v>2.2587872703824332</v>
      </c>
      <c r="AF1275">
        <v>1</v>
      </c>
    </row>
    <row r="1276" spans="27:32" x14ac:dyDescent="0.3">
      <c r="AA1276" s="3">
        <v>2784.34</v>
      </c>
      <c r="AB1276">
        <v>1E-4</v>
      </c>
      <c r="AC1276">
        <v>8</v>
      </c>
      <c r="AD1276" s="5">
        <v>4.8347322913859099</v>
      </c>
      <c r="AE1276" s="5">
        <v>2.1946479917255006</v>
      </c>
      <c r="AF1276">
        <v>1</v>
      </c>
    </row>
    <row r="1277" spans="27:32" x14ac:dyDescent="0.3">
      <c r="AA1277" s="3">
        <v>26382.9</v>
      </c>
      <c r="AB1277">
        <v>1E-4</v>
      </c>
      <c r="AC1277">
        <v>8</v>
      </c>
      <c r="AD1277" s="5">
        <v>5.0047070188013434</v>
      </c>
      <c r="AE1277" s="5">
        <v>2.1828758711048075</v>
      </c>
      <c r="AF1277">
        <v>1</v>
      </c>
    </row>
    <row r="1278" spans="27:32" x14ac:dyDescent="0.3">
      <c r="AA1278" s="3">
        <v>20081.41</v>
      </c>
      <c r="AB1278">
        <v>1E-4</v>
      </c>
      <c r="AC1278">
        <v>8</v>
      </c>
      <c r="AD1278" s="5">
        <v>5.0228491004349385</v>
      </c>
      <c r="AE1278" s="5">
        <v>2.1233346334638785</v>
      </c>
      <c r="AF1278">
        <v>1</v>
      </c>
    </row>
    <row r="1279" spans="27:32" x14ac:dyDescent="0.3">
      <c r="AA1279" s="3">
        <v>36164.78</v>
      </c>
      <c r="AB1279">
        <v>1E-4</v>
      </c>
      <c r="AC1279">
        <v>7</v>
      </c>
      <c r="AD1279" s="5">
        <v>5.1510327497675723</v>
      </c>
      <c r="AE1279" s="5">
        <v>2.259356932505713</v>
      </c>
      <c r="AF1279">
        <v>1</v>
      </c>
    </row>
    <row r="1280" spans="27:32" x14ac:dyDescent="0.3">
      <c r="AA1280" s="3">
        <v>47445.09</v>
      </c>
      <c r="AB1280">
        <v>1E-4</v>
      </c>
      <c r="AC1280">
        <v>7</v>
      </c>
      <c r="AD1280" s="5">
        <v>4.9468382758269085</v>
      </c>
      <c r="AE1280" s="5">
        <v>2.1804051786883489</v>
      </c>
      <c r="AF1280">
        <v>1</v>
      </c>
    </row>
    <row r="1281" spans="27:32" x14ac:dyDescent="0.3">
      <c r="AA1281" s="3">
        <v>18947.830000000002</v>
      </c>
      <c r="AB1281">
        <v>1E-4</v>
      </c>
      <c r="AC1281">
        <v>8</v>
      </c>
      <c r="AD1281" s="5">
        <v>4.9991194098183538</v>
      </c>
      <c r="AE1281" s="5">
        <v>2.2769483127351515</v>
      </c>
      <c r="AF1281">
        <v>1</v>
      </c>
    </row>
    <row r="1282" spans="27:32" x14ac:dyDescent="0.3">
      <c r="AA1282" s="3">
        <v>19912.64</v>
      </c>
      <c r="AB1282">
        <v>1E-4</v>
      </c>
      <c r="AC1282">
        <v>8</v>
      </c>
      <c r="AD1282" s="5">
        <v>5.129287399060475</v>
      </c>
      <c r="AE1282" s="5">
        <v>2.1830437215298866</v>
      </c>
      <c r="AF1282">
        <v>1</v>
      </c>
    </row>
    <row r="1283" spans="27:32" x14ac:dyDescent="0.3">
      <c r="AA1283" s="3">
        <v>50999.29</v>
      </c>
      <c r="AB1283">
        <v>1E-4</v>
      </c>
      <c r="AC1283">
        <v>6</v>
      </c>
      <c r="AD1283" s="5">
        <v>5.0218111405433881</v>
      </c>
      <c r="AE1283" s="5">
        <v>2.1655682277423409</v>
      </c>
      <c r="AF1283">
        <v>1</v>
      </c>
    </row>
    <row r="1284" spans="27:32" x14ac:dyDescent="0.3">
      <c r="AA1284" s="3">
        <v>38846.39</v>
      </c>
      <c r="AB1284">
        <v>1E-4</v>
      </c>
      <c r="AC1284">
        <v>7</v>
      </c>
      <c r="AD1284" s="5">
        <v>5.0408921824729784</v>
      </c>
      <c r="AE1284" s="5">
        <v>2.1117567216814552</v>
      </c>
      <c r="AF1284">
        <v>1</v>
      </c>
    </row>
    <row r="1285" spans="27:32" x14ac:dyDescent="0.3">
      <c r="AA1285" s="3">
        <v>22812.16</v>
      </c>
      <c r="AB1285">
        <v>1E-4</v>
      </c>
      <c r="AC1285">
        <v>8</v>
      </c>
      <c r="AD1285" s="5">
        <v>5.0341138093445306</v>
      </c>
      <c r="AE1285" s="5">
        <v>2.2348365965433112</v>
      </c>
      <c r="AF1285">
        <v>1</v>
      </c>
    </row>
    <row r="1286" spans="27:32" x14ac:dyDescent="0.3">
      <c r="AA1286" s="3">
        <v>-6740.29</v>
      </c>
      <c r="AB1286">
        <v>1E-4</v>
      </c>
      <c r="AC1286">
        <v>9</v>
      </c>
      <c r="AD1286" s="5">
        <v>5.1089967653572401</v>
      </c>
      <c r="AE1286" s="5">
        <v>2.1954607134396107</v>
      </c>
      <c r="AF1286">
        <v>1</v>
      </c>
    </row>
    <row r="1287" spans="27:32" x14ac:dyDescent="0.3">
      <c r="AA1287" s="3">
        <v>-20860.009999999998</v>
      </c>
      <c r="AB1287">
        <v>1E-4</v>
      </c>
      <c r="AC1287">
        <v>9</v>
      </c>
      <c r="AD1287" s="5">
        <v>5.0190029297166445</v>
      </c>
      <c r="AE1287" s="5">
        <v>2.1993695657910748</v>
      </c>
      <c r="AF1287">
        <v>1</v>
      </c>
    </row>
    <row r="1288" spans="27:32" x14ac:dyDescent="0.3">
      <c r="AA1288" s="3">
        <v>-4302.2700000000004</v>
      </c>
      <c r="AB1288">
        <v>1E-4</v>
      </c>
      <c r="AC1288">
        <v>9</v>
      </c>
      <c r="AD1288" s="5">
        <v>5.0081005577614723</v>
      </c>
      <c r="AE1288" s="5">
        <v>2.1828303560403342</v>
      </c>
      <c r="AF1288">
        <v>1</v>
      </c>
    </row>
    <row r="1289" spans="27:32" x14ac:dyDescent="0.3">
      <c r="AA1289" s="3">
        <v>3222.74</v>
      </c>
      <c r="AB1289">
        <v>1E-4</v>
      </c>
      <c r="AC1289">
        <v>8</v>
      </c>
      <c r="AD1289" s="5">
        <v>4.9369635284849647</v>
      </c>
      <c r="AE1289" s="5">
        <v>2.1484678834988182</v>
      </c>
      <c r="AF1289">
        <v>1</v>
      </c>
    </row>
    <row r="1290" spans="27:32" x14ac:dyDescent="0.3">
      <c r="AA1290" s="3">
        <v>3608.33</v>
      </c>
      <c r="AB1290">
        <v>1E-4</v>
      </c>
      <c r="AC1290">
        <v>8</v>
      </c>
      <c r="AD1290" s="5">
        <v>5.0393432698039593</v>
      </c>
      <c r="AE1290" s="5">
        <v>2.1726403174236815</v>
      </c>
      <c r="AF1290">
        <v>1</v>
      </c>
    </row>
    <row r="1291" spans="27:32" x14ac:dyDescent="0.3">
      <c r="AA1291" s="3">
        <v>-4561.74</v>
      </c>
      <c r="AB1291">
        <v>1E-4</v>
      </c>
      <c r="AC1291">
        <v>9</v>
      </c>
      <c r="AD1291" s="5">
        <v>5.0309505830177539</v>
      </c>
      <c r="AE1291" s="5">
        <v>2.1609286643787211</v>
      </c>
      <c r="AF1291">
        <v>1</v>
      </c>
    </row>
    <row r="1292" spans="27:32" x14ac:dyDescent="0.3">
      <c r="AA1292" s="3">
        <v>26306.58</v>
      </c>
      <c r="AB1292">
        <v>1E-4</v>
      </c>
      <c r="AC1292">
        <v>8</v>
      </c>
      <c r="AD1292" s="5">
        <v>4.9443346006009419</v>
      </c>
      <c r="AE1292" s="5">
        <v>2.2181365633999874</v>
      </c>
      <c r="AF1292">
        <v>1</v>
      </c>
    </row>
    <row r="1293" spans="27:32" x14ac:dyDescent="0.3">
      <c r="AA1293" s="3">
        <v>23432.01</v>
      </c>
      <c r="AB1293">
        <v>1E-4</v>
      </c>
      <c r="AC1293">
        <v>8</v>
      </c>
      <c r="AD1293" s="5">
        <v>4.9661814922082028</v>
      </c>
      <c r="AE1293" s="5">
        <v>2.2065138631999703</v>
      </c>
      <c r="AF1293">
        <v>1</v>
      </c>
    </row>
    <row r="1294" spans="27:32" x14ac:dyDescent="0.3">
      <c r="AA1294" s="3">
        <v>13899.69</v>
      </c>
      <c r="AB1294">
        <v>1E-4</v>
      </c>
      <c r="AC1294">
        <v>8</v>
      </c>
      <c r="AD1294" s="5">
        <v>4.8845479871340221</v>
      </c>
      <c r="AE1294" s="5">
        <v>2.1087564116952922</v>
      </c>
      <c r="AF1294">
        <v>1</v>
      </c>
    </row>
    <row r="1295" spans="27:32" x14ac:dyDescent="0.3">
      <c r="AA1295" s="3">
        <v>11453.72</v>
      </c>
      <c r="AB1295">
        <v>1E-4</v>
      </c>
      <c r="AC1295">
        <v>8</v>
      </c>
      <c r="AD1295" s="5">
        <v>5.1297452751290518</v>
      </c>
      <c r="AE1295" s="5">
        <v>2.2941302097136829</v>
      </c>
      <c r="AF1295">
        <v>1</v>
      </c>
    </row>
    <row r="1296" spans="27:32" x14ac:dyDescent="0.3">
      <c r="AA1296" s="3">
        <v>15341.3</v>
      </c>
      <c r="AB1296">
        <v>1E-4</v>
      </c>
      <c r="AC1296">
        <v>8</v>
      </c>
      <c r="AD1296" s="5">
        <v>4.9185894722540144</v>
      </c>
      <c r="AE1296" s="5">
        <v>2.1682124757603694</v>
      </c>
      <c r="AF1296">
        <v>1</v>
      </c>
    </row>
    <row r="1297" spans="27:32" x14ac:dyDescent="0.3">
      <c r="AA1297" s="3">
        <v>37987.449999999997</v>
      </c>
      <c r="AB1297">
        <v>1E-4</v>
      </c>
      <c r="AC1297">
        <v>7</v>
      </c>
      <c r="AD1297" s="5">
        <v>4.9956692443951543</v>
      </c>
      <c r="AE1297" s="5">
        <v>2.1901400176936168</v>
      </c>
      <c r="AF1297">
        <v>1</v>
      </c>
    </row>
    <row r="1298" spans="27:32" x14ac:dyDescent="0.3">
      <c r="AA1298" s="3">
        <v>13345.28</v>
      </c>
      <c r="AB1298">
        <v>1E-4</v>
      </c>
      <c r="AC1298">
        <v>8</v>
      </c>
      <c r="AD1298" s="5">
        <v>4.8973752374730513</v>
      </c>
      <c r="AE1298" s="5">
        <v>2.2794934889108118</v>
      </c>
      <c r="AF1298">
        <v>1</v>
      </c>
    </row>
    <row r="1299" spans="27:32" x14ac:dyDescent="0.3">
      <c r="AA1299" s="3">
        <v>53799.64</v>
      </c>
      <c r="AB1299">
        <v>1E-4</v>
      </c>
      <c r="AC1299">
        <v>6</v>
      </c>
      <c r="AD1299" s="5">
        <v>5.0125029388219549</v>
      </c>
      <c r="AE1299" s="5">
        <v>2.0771687878505123</v>
      </c>
      <c r="AF1299">
        <v>1</v>
      </c>
    </row>
    <row r="1300" spans="27:32" x14ac:dyDescent="0.3">
      <c r="AA1300" s="3">
        <v>805.18</v>
      </c>
      <c r="AB1300">
        <v>1E-4</v>
      </c>
      <c r="AC1300">
        <v>8</v>
      </c>
      <c r="AD1300" s="5">
        <v>5.0021588928073495</v>
      </c>
      <c r="AE1300" s="5">
        <v>2.2404241642433469</v>
      </c>
      <c r="AF1300">
        <v>1</v>
      </c>
    </row>
    <row r="1301" spans="27:32" x14ac:dyDescent="0.3">
      <c r="AA1301" s="3">
        <v>10859.23</v>
      </c>
      <c r="AB1301">
        <v>1E-4</v>
      </c>
      <c r="AC1301">
        <v>8</v>
      </c>
      <c r="AD1301" s="5">
        <v>5.0399487167676504</v>
      </c>
      <c r="AE1301" s="5">
        <v>2.180413081636055</v>
      </c>
      <c r="AF1301">
        <v>1</v>
      </c>
    </row>
    <row r="1302" spans="27:32" x14ac:dyDescent="0.3">
      <c r="AA1302" s="3">
        <v>4132.05</v>
      </c>
      <c r="AB1302">
        <v>1E-4</v>
      </c>
      <c r="AC1302">
        <v>8</v>
      </c>
      <c r="AD1302" s="5">
        <v>4.9767137411732829</v>
      </c>
      <c r="AE1302" s="5">
        <v>2.2066343046505477</v>
      </c>
      <c r="AF1302">
        <v>1</v>
      </c>
    </row>
    <row r="1303" spans="27:32" x14ac:dyDescent="0.3">
      <c r="AA1303" s="3">
        <v>10159.77</v>
      </c>
      <c r="AB1303">
        <v>1E-4</v>
      </c>
      <c r="AC1303">
        <v>8</v>
      </c>
      <c r="AD1303" s="5">
        <v>5.0244865137366732</v>
      </c>
      <c r="AE1303" s="5">
        <v>2.1218312124763283</v>
      </c>
      <c r="AF1303">
        <v>1</v>
      </c>
    </row>
    <row r="1304" spans="27:32" x14ac:dyDescent="0.3">
      <c r="AA1304" s="3">
        <v>53579.28</v>
      </c>
      <c r="AB1304">
        <v>1E-4</v>
      </c>
      <c r="AC1304">
        <v>7</v>
      </c>
      <c r="AD1304" s="5">
        <v>5.1771992036768024</v>
      </c>
      <c r="AE1304" s="5">
        <v>2.1151659252451047</v>
      </c>
      <c r="AF1304">
        <v>1</v>
      </c>
    </row>
    <row r="1305" spans="27:32" x14ac:dyDescent="0.3">
      <c r="AA1305" s="3">
        <v>-5952.45</v>
      </c>
      <c r="AB1305">
        <v>1E-4</v>
      </c>
      <c r="AC1305">
        <v>9</v>
      </c>
      <c r="AD1305" s="5">
        <v>4.8549869823910523</v>
      </c>
      <c r="AE1305" s="5">
        <v>2.2382422312878782</v>
      </c>
      <c r="AF1305">
        <v>1</v>
      </c>
    </row>
    <row r="1306" spans="27:32" x14ac:dyDescent="0.3">
      <c r="AA1306" s="3">
        <v>10632.96</v>
      </c>
      <c r="AB1306">
        <v>1E-4</v>
      </c>
      <c r="AC1306">
        <v>8</v>
      </c>
      <c r="AD1306" s="5">
        <v>5.0049818648774673</v>
      </c>
      <c r="AE1306" s="5">
        <v>2.1348515019571646</v>
      </c>
      <c r="AF1306">
        <v>1</v>
      </c>
    </row>
    <row r="1307" spans="27:32" x14ac:dyDescent="0.3">
      <c r="AA1307" s="3">
        <v>16211.78</v>
      </c>
      <c r="AB1307">
        <v>1E-4</v>
      </c>
      <c r="AC1307">
        <v>8</v>
      </c>
      <c r="AD1307" s="5">
        <v>5.0345023853982651</v>
      </c>
      <c r="AE1307" s="5">
        <v>2.1949437653165722</v>
      </c>
      <c r="AF1307">
        <v>1</v>
      </c>
    </row>
    <row r="1308" spans="27:32" x14ac:dyDescent="0.3">
      <c r="AA1308" s="3">
        <v>28625.34</v>
      </c>
      <c r="AB1308">
        <v>1E-4</v>
      </c>
      <c r="AC1308">
        <v>8</v>
      </c>
      <c r="AD1308" s="5">
        <v>5.0294128607695514</v>
      </c>
      <c r="AE1308" s="5">
        <v>2.2707883909307554</v>
      </c>
      <c r="AF1308">
        <v>1</v>
      </c>
    </row>
    <row r="1309" spans="27:32" x14ac:dyDescent="0.3">
      <c r="AA1309" s="3">
        <v>2824.37</v>
      </c>
      <c r="AB1309">
        <v>1E-4</v>
      </c>
      <c r="AC1309">
        <v>8</v>
      </c>
      <c r="AD1309" s="5">
        <v>4.8943113309860378</v>
      </c>
      <c r="AE1309" s="5">
        <v>2.1658333491689712</v>
      </c>
      <c r="AF1309">
        <v>1</v>
      </c>
    </row>
    <row r="1310" spans="27:32" x14ac:dyDescent="0.3">
      <c r="AA1310" s="3">
        <v>9674.3799999999992</v>
      </c>
      <c r="AB1310">
        <v>1E-4</v>
      </c>
      <c r="AC1310">
        <v>8</v>
      </c>
      <c r="AD1310" s="5">
        <v>4.9487213416446156</v>
      </c>
      <c r="AE1310" s="5">
        <v>2.2216590288341562</v>
      </c>
      <c r="AF1310">
        <v>1</v>
      </c>
    </row>
    <row r="1311" spans="27:32" x14ac:dyDescent="0.3">
      <c r="AA1311" s="3">
        <v>25373.15</v>
      </c>
      <c r="AB1311">
        <v>1E-4</v>
      </c>
      <c r="AC1311">
        <v>8</v>
      </c>
      <c r="AD1311" s="5">
        <v>4.9910631584128788</v>
      </c>
      <c r="AE1311" s="5">
        <v>2.1960896323713759</v>
      </c>
      <c r="AF1311">
        <v>1</v>
      </c>
    </row>
    <row r="1312" spans="27:32" x14ac:dyDescent="0.3">
      <c r="AA1312" s="3">
        <v>18031.82</v>
      </c>
      <c r="AB1312">
        <v>1E-4</v>
      </c>
      <c r="AC1312">
        <v>8</v>
      </c>
      <c r="AD1312" s="5">
        <v>4.9676949460616209</v>
      </c>
      <c r="AE1312" s="5">
        <v>2.2418876434794037</v>
      </c>
      <c r="AF1312">
        <v>1</v>
      </c>
    </row>
    <row r="1313" spans="27:32" x14ac:dyDescent="0.3">
      <c r="AA1313" s="3">
        <v>-22243.561778655727</v>
      </c>
      <c r="AB1313">
        <v>1E-4</v>
      </c>
      <c r="AC1313">
        <v>9</v>
      </c>
      <c r="AD1313" s="5">
        <v>5.0366449610432023</v>
      </c>
      <c r="AE1313" s="5">
        <v>2.0775220690526197</v>
      </c>
      <c r="AF1313">
        <v>0</v>
      </c>
    </row>
    <row r="1314" spans="27:32" x14ac:dyDescent="0.3">
      <c r="AA1314" s="3">
        <v>23467.37</v>
      </c>
      <c r="AB1314">
        <v>1E-4</v>
      </c>
      <c r="AC1314">
        <v>8</v>
      </c>
      <c r="AD1314" s="5">
        <v>5.0287319499844578</v>
      </c>
      <c r="AE1314" s="5">
        <v>2.1363708098953147</v>
      </c>
      <c r="AF1314">
        <v>1</v>
      </c>
    </row>
    <row r="1315" spans="27:32" x14ac:dyDescent="0.3">
      <c r="AA1315" s="3">
        <v>38690.67</v>
      </c>
      <c r="AB1315">
        <v>1E-4</v>
      </c>
      <c r="AC1315">
        <v>7</v>
      </c>
      <c r="AD1315" s="5">
        <v>5.0203065053777216</v>
      </c>
      <c r="AE1315" s="5">
        <v>2.2048552403607902</v>
      </c>
      <c r="AF1315">
        <v>1</v>
      </c>
    </row>
    <row r="1316" spans="27:32" x14ac:dyDescent="0.3">
      <c r="AA1316" s="3">
        <v>51828.83</v>
      </c>
      <c r="AB1316">
        <v>1E-4</v>
      </c>
      <c r="AC1316">
        <v>6</v>
      </c>
      <c r="AD1316" s="5">
        <v>5.1696221069878261</v>
      </c>
      <c r="AE1316" s="5">
        <v>2.2362099647495728</v>
      </c>
      <c r="AF1316">
        <v>1</v>
      </c>
    </row>
    <row r="1317" spans="27:32" x14ac:dyDescent="0.3">
      <c r="AA1317" s="3">
        <v>36474.1</v>
      </c>
      <c r="AB1317">
        <v>1E-4</v>
      </c>
      <c r="AC1317">
        <v>7</v>
      </c>
      <c r="AD1317" s="5">
        <v>4.8927894299431305</v>
      </c>
      <c r="AE1317" s="5">
        <v>2.2269422808534731</v>
      </c>
      <c r="AF1317">
        <v>1</v>
      </c>
    </row>
    <row r="1318" spans="27:32" x14ac:dyDescent="0.3">
      <c r="AA1318" s="3">
        <v>31590.98</v>
      </c>
      <c r="AB1318">
        <v>1E-4</v>
      </c>
      <c r="AC1318">
        <v>7</v>
      </c>
      <c r="AD1318" s="5">
        <v>4.9997097578758183</v>
      </c>
      <c r="AE1318" s="5">
        <v>2.2368502418452936</v>
      </c>
      <c r="AF1318">
        <v>1</v>
      </c>
    </row>
    <row r="1319" spans="27:32" x14ac:dyDescent="0.3">
      <c r="AA1319" s="3">
        <v>33323.1</v>
      </c>
      <c r="AB1319">
        <v>1E-4</v>
      </c>
      <c r="AC1319">
        <v>7</v>
      </c>
      <c r="AD1319" s="5">
        <v>5.0310780636642969</v>
      </c>
      <c r="AE1319" s="5">
        <v>2.2117341446362642</v>
      </c>
      <c r="AF1319">
        <v>1</v>
      </c>
    </row>
    <row r="1320" spans="27:32" x14ac:dyDescent="0.3">
      <c r="AA1320" s="3">
        <v>-6598.31</v>
      </c>
      <c r="AB1320">
        <v>1E-4</v>
      </c>
      <c r="AC1320">
        <v>9</v>
      </c>
      <c r="AD1320" s="5">
        <v>5.0374138897819938</v>
      </c>
      <c r="AE1320" s="5">
        <v>2.3137010808340523</v>
      </c>
      <c r="AF1320">
        <v>1</v>
      </c>
    </row>
    <row r="1321" spans="27:32" x14ac:dyDescent="0.3">
      <c r="AA1321" s="3">
        <v>439.3</v>
      </c>
      <c r="AB1321">
        <v>1E-4</v>
      </c>
      <c r="AC1321">
        <v>8</v>
      </c>
      <c r="AD1321" s="5">
        <v>5.0503632495598003</v>
      </c>
      <c r="AE1321" s="5">
        <v>2.1032828673422004</v>
      </c>
      <c r="AF1321">
        <v>1</v>
      </c>
    </row>
    <row r="1322" spans="27:32" x14ac:dyDescent="0.3">
      <c r="AA1322" s="3">
        <v>-25540.65</v>
      </c>
      <c r="AB1322">
        <v>1E-4</v>
      </c>
      <c r="AC1322">
        <v>9</v>
      </c>
      <c r="AD1322" s="5">
        <v>4.8704272697530699</v>
      </c>
      <c r="AE1322" s="5">
        <v>2.1661042265550345</v>
      </c>
      <c r="AF1322">
        <v>1</v>
      </c>
    </row>
    <row r="1323" spans="27:32" x14ac:dyDescent="0.3">
      <c r="AA1323" s="3">
        <v>-5724.57</v>
      </c>
      <c r="AB1323">
        <v>1E-4</v>
      </c>
      <c r="AC1323">
        <v>9</v>
      </c>
      <c r="AD1323" s="5">
        <v>4.8368943313934292</v>
      </c>
      <c r="AE1323" s="5">
        <v>2.2225716048354247</v>
      </c>
      <c r="AF1323">
        <v>1</v>
      </c>
    </row>
    <row r="1324" spans="27:32" x14ac:dyDescent="0.3">
      <c r="AA1324" s="3">
        <v>-807.2</v>
      </c>
      <c r="AB1324">
        <v>1E-4</v>
      </c>
      <c r="AC1324">
        <v>9</v>
      </c>
      <c r="AD1324" s="5">
        <v>4.9000496335008181</v>
      </c>
      <c r="AE1324" s="5">
        <v>2.2579342599729952</v>
      </c>
      <c r="AF1324">
        <v>1</v>
      </c>
    </row>
    <row r="1325" spans="27:32" x14ac:dyDescent="0.3">
      <c r="AA1325" s="3">
        <v>7662.05</v>
      </c>
      <c r="AB1325">
        <v>1E-4</v>
      </c>
      <c r="AC1325">
        <v>8</v>
      </c>
      <c r="AD1325" s="5">
        <v>4.840764034531408</v>
      </c>
      <c r="AE1325" s="5">
        <v>2.2303966006089158</v>
      </c>
      <c r="AF1325">
        <v>1</v>
      </c>
    </row>
    <row r="1326" spans="27:32" x14ac:dyDescent="0.3">
      <c r="AA1326" s="3">
        <v>-4459.3599999999997</v>
      </c>
      <c r="AB1326">
        <v>1E-4</v>
      </c>
      <c r="AC1326">
        <v>9</v>
      </c>
      <c r="AD1326" s="5">
        <v>5.2234331573299659</v>
      </c>
      <c r="AE1326" s="5">
        <v>2.2368832902670581</v>
      </c>
      <c r="AF1326">
        <v>1</v>
      </c>
    </row>
    <row r="1327" spans="27:32" x14ac:dyDescent="0.3">
      <c r="AA1327" s="3">
        <v>26412.32</v>
      </c>
      <c r="AB1327">
        <v>1E-4</v>
      </c>
      <c r="AC1327">
        <v>8</v>
      </c>
      <c r="AD1327" s="5">
        <v>5.0206271635935602</v>
      </c>
      <c r="AE1327" s="5">
        <v>2.1869054476877996</v>
      </c>
      <c r="AF1327">
        <v>1</v>
      </c>
    </row>
    <row r="1328" spans="27:32" x14ac:dyDescent="0.3">
      <c r="AA1328" s="3">
        <v>4857.04</v>
      </c>
      <c r="AB1328">
        <v>1E-4</v>
      </c>
      <c r="AC1328">
        <v>8</v>
      </c>
      <c r="AD1328" s="5">
        <v>4.8299518405267126</v>
      </c>
      <c r="AE1328" s="5">
        <v>2.2263824597937103</v>
      </c>
      <c r="AF1328">
        <v>1</v>
      </c>
    </row>
    <row r="1329" spans="27:32" x14ac:dyDescent="0.3">
      <c r="AA1329" s="3">
        <v>6937.23</v>
      </c>
      <c r="AB1329">
        <v>1E-4</v>
      </c>
      <c r="AC1329">
        <v>8</v>
      </c>
      <c r="AD1329" s="5">
        <v>5.0300579651174271</v>
      </c>
      <c r="AE1329" s="5">
        <v>2.2069968140758962</v>
      </c>
      <c r="AF1329">
        <v>1</v>
      </c>
    </row>
    <row r="1330" spans="27:32" x14ac:dyDescent="0.3">
      <c r="AA1330" s="3">
        <v>18468.28</v>
      </c>
      <c r="AB1330">
        <v>1E-4</v>
      </c>
      <c r="AC1330">
        <v>8</v>
      </c>
      <c r="AD1330" s="5">
        <v>4.9534518928245843</v>
      </c>
      <c r="AE1330" s="5">
        <v>2.247717474505428</v>
      </c>
      <c r="AF1330">
        <v>1</v>
      </c>
    </row>
    <row r="1331" spans="27:32" x14ac:dyDescent="0.3">
      <c r="AA1331" s="3">
        <v>-5034.71</v>
      </c>
      <c r="AB1331">
        <v>1E-4</v>
      </c>
      <c r="AC1331">
        <v>9</v>
      </c>
      <c r="AD1331" s="5">
        <v>4.8987505856646596</v>
      </c>
      <c r="AE1331" s="5">
        <v>2.2512258760989305</v>
      </c>
      <c r="AF1331">
        <v>1</v>
      </c>
    </row>
    <row r="1332" spans="27:32" x14ac:dyDescent="0.3">
      <c r="AA1332" s="3">
        <v>40391.53</v>
      </c>
      <c r="AB1332">
        <v>1E-4</v>
      </c>
      <c r="AC1332">
        <v>7</v>
      </c>
      <c r="AD1332" s="5">
        <v>5.0371050371933173</v>
      </c>
      <c r="AE1332" s="5">
        <v>2.2636745153855244</v>
      </c>
      <c r="AF1332">
        <v>1</v>
      </c>
    </row>
    <row r="1333" spans="27:32" x14ac:dyDescent="0.3">
      <c r="AA1333" s="3">
        <v>5612.19</v>
      </c>
      <c r="AB1333">
        <v>1E-4</v>
      </c>
      <c r="AC1333">
        <v>8</v>
      </c>
      <c r="AD1333" s="5">
        <v>4.9905480211971298</v>
      </c>
      <c r="AE1333" s="5">
        <v>2.1031823706823096</v>
      </c>
      <c r="AF1333">
        <v>1</v>
      </c>
    </row>
    <row r="1334" spans="27:32" x14ac:dyDescent="0.3">
      <c r="AA1334" s="3">
        <v>14201.75</v>
      </c>
      <c r="AB1334">
        <v>1E-4</v>
      </c>
      <c r="AC1334">
        <v>8</v>
      </c>
      <c r="AD1334" s="5">
        <v>4.8891959538306917</v>
      </c>
      <c r="AE1334" s="5">
        <v>2.1981861523332369</v>
      </c>
      <c r="AF1334">
        <v>1</v>
      </c>
    </row>
    <row r="1335" spans="27:32" x14ac:dyDescent="0.3">
      <c r="AA1335" s="3">
        <v>38644.720000000001</v>
      </c>
      <c r="AB1335">
        <v>1E-4</v>
      </c>
      <c r="AC1335">
        <v>7</v>
      </c>
      <c r="AD1335" s="5">
        <v>5.1028635117333527</v>
      </c>
      <c r="AE1335" s="5">
        <v>2.2229276257928752</v>
      </c>
      <c r="AF1335">
        <v>1</v>
      </c>
    </row>
    <row r="1336" spans="27:32" x14ac:dyDescent="0.3">
      <c r="AA1336" s="3">
        <v>2608.59</v>
      </c>
      <c r="AB1336">
        <v>1E-4</v>
      </c>
      <c r="AC1336">
        <v>8</v>
      </c>
      <c r="AD1336" s="5">
        <v>4.8269485160895691</v>
      </c>
      <c r="AE1336" s="5">
        <v>2.1754510859907632</v>
      </c>
      <c r="AF1336">
        <v>1</v>
      </c>
    </row>
    <row r="1337" spans="27:32" x14ac:dyDescent="0.3">
      <c r="AA1337" s="3">
        <v>10078.23</v>
      </c>
      <c r="AB1337">
        <v>1E-4</v>
      </c>
      <c r="AC1337">
        <v>8</v>
      </c>
      <c r="AD1337" s="5">
        <v>5.0191747824160222</v>
      </c>
      <c r="AE1337" s="5">
        <v>2.2054112077521375</v>
      </c>
      <c r="AF1337">
        <v>1</v>
      </c>
    </row>
    <row r="1338" spans="27:32" x14ac:dyDescent="0.3">
      <c r="AA1338" s="3">
        <v>-15000.75</v>
      </c>
      <c r="AB1338">
        <v>1E-4</v>
      </c>
      <c r="AC1338">
        <v>9</v>
      </c>
      <c r="AD1338" s="5">
        <v>5.0110004618951214</v>
      </c>
      <c r="AE1338" s="5">
        <v>2.1570011652393157</v>
      </c>
      <c r="AF1338">
        <v>1</v>
      </c>
    </row>
    <row r="1339" spans="27:32" x14ac:dyDescent="0.3">
      <c r="AA1339" s="3">
        <v>-5979.19</v>
      </c>
      <c r="AB1339">
        <v>1E-4</v>
      </c>
      <c r="AC1339">
        <v>9</v>
      </c>
      <c r="AD1339" s="5">
        <v>4.8496457685673962</v>
      </c>
      <c r="AE1339" s="5">
        <v>2.2647831405733623</v>
      </c>
      <c r="AF1339">
        <v>1</v>
      </c>
    </row>
    <row r="1340" spans="27:32" x14ac:dyDescent="0.3">
      <c r="AA1340" s="3">
        <v>15561.29</v>
      </c>
      <c r="AB1340">
        <v>1E-4</v>
      </c>
      <c r="AC1340">
        <v>8</v>
      </c>
      <c r="AD1340" s="5">
        <v>5.0144735022829847</v>
      </c>
      <c r="AE1340" s="5">
        <v>2.1771543974563277</v>
      </c>
      <c r="AF1340">
        <v>1</v>
      </c>
    </row>
    <row r="1341" spans="27:32" x14ac:dyDescent="0.3">
      <c r="AA1341" s="3">
        <v>3460.95</v>
      </c>
      <c r="AB1341">
        <v>1E-4</v>
      </c>
      <c r="AC1341">
        <v>8</v>
      </c>
      <c r="AD1341" s="5">
        <v>4.8970632225811297</v>
      </c>
      <c r="AE1341" s="5">
        <v>2.237604463335197</v>
      </c>
      <c r="AF1341">
        <v>1</v>
      </c>
    </row>
    <row r="1342" spans="27:32" x14ac:dyDescent="0.3">
      <c r="AA1342" s="3">
        <v>24590.39</v>
      </c>
      <c r="AB1342">
        <v>1E-4</v>
      </c>
      <c r="AC1342">
        <v>8</v>
      </c>
      <c r="AD1342" s="5">
        <v>4.9769797421838202</v>
      </c>
      <c r="AE1342" s="5">
        <v>2.1468448147183041</v>
      </c>
      <c r="AF1342">
        <v>1</v>
      </c>
    </row>
    <row r="1343" spans="27:32" x14ac:dyDescent="0.3">
      <c r="AA1343" s="3">
        <v>-2659.26</v>
      </c>
      <c r="AB1343">
        <v>1E-4</v>
      </c>
      <c r="AC1343">
        <v>9</v>
      </c>
      <c r="AD1343" s="5">
        <v>4.89486365510336</v>
      </c>
      <c r="AE1343" s="5">
        <v>2.2606013159293603</v>
      </c>
      <c r="AF1343">
        <v>1</v>
      </c>
    </row>
    <row r="1344" spans="27:32" x14ac:dyDescent="0.3">
      <c r="AA1344" s="3">
        <v>1363.8</v>
      </c>
      <c r="AB1344">
        <v>1E-4</v>
      </c>
      <c r="AC1344">
        <v>8</v>
      </c>
      <c r="AD1344" s="5">
        <v>4.9067147696765989</v>
      </c>
      <c r="AE1344" s="5">
        <v>2.1927507671824533</v>
      </c>
      <c r="AF1344">
        <v>1</v>
      </c>
    </row>
    <row r="1345" spans="27:32" x14ac:dyDescent="0.3">
      <c r="AA1345" s="3">
        <v>17770.2</v>
      </c>
      <c r="AB1345">
        <v>1E-4</v>
      </c>
      <c r="AC1345">
        <v>8</v>
      </c>
      <c r="AD1345" s="5">
        <v>5.1110103682323142</v>
      </c>
      <c r="AE1345" s="5">
        <v>2.1573850972466975</v>
      </c>
      <c r="AF1345">
        <v>1</v>
      </c>
    </row>
    <row r="1346" spans="27:32" x14ac:dyDescent="0.3">
      <c r="AA1346" s="3">
        <v>27747.47</v>
      </c>
      <c r="AB1346">
        <v>1E-4</v>
      </c>
      <c r="AC1346">
        <v>8</v>
      </c>
      <c r="AD1346" s="5">
        <v>5.0876494070539833</v>
      </c>
      <c r="AE1346" s="5">
        <v>2.1486535141830982</v>
      </c>
      <c r="AF1346">
        <v>1</v>
      </c>
    </row>
    <row r="1347" spans="27:32" x14ac:dyDescent="0.3">
      <c r="AA1347" s="3">
        <v>45990.52</v>
      </c>
      <c r="AB1347">
        <v>1E-4</v>
      </c>
      <c r="AC1347">
        <v>7</v>
      </c>
      <c r="AD1347" s="5">
        <v>5.0579343037528153</v>
      </c>
      <c r="AE1347" s="5">
        <v>2.2165659830189224</v>
      </c>
      <c r="AF1347">
        <v>1</v>
      </c>
    </row>
    <row r="1348" spans="27:32" x14ac:dyDescent="0.3">
      <c r="AA1348" s="3">
        <v>-1450.25</v>
      </c>
      <c r="AB1348">
        <v>1E-4</v>
      </c>
      <c r="AC1348">
        <v>9</v>
      </c>
      <c r="AD1348" s="5">
        <v>4.9838628430944443</v>
      </c>
      <c r="AE1348" s="5">
        <v>2.1748392753035808</v>
      </c>
      <c r="AF1348">
        <v>1</v>
      </c>
    </row>
    <row r="1349" spans="27:32" x14ac:dyDescent="0.3">
      <c r="AA1349" s="3">
        <v>25958.45</v>
      </c>
      <c r="AB1349">
        <v>1E-4</v>
      </c>
      <c r="AC1349">
        <v>8</v>
      </c>
      <c r="AD1349" s="5">
        <v>4.90765008387711</v>
      </c>
      <c r="AE1349" s="5">
        <v>2.2385866770401828</v>
      </c>
      <c r="AF1349">
        <v>1</v>
      </c>
    </row>
    <row r="1350" spans="27:32" x14ac:dyDescent="0.3">
      <c r="AA1350" s="3">
        <v>33383.1</v>
      </c>
      <c r="AB1350">
        <v>1E-4</v>
      </c>
      <c r="AC1350">
        <v>7</v>
      </c>
      <c r="AD1350" s="5">
        <v>5.0695551841170721</v>
      </c>
      <c r="AE1350" s="5">
        <v>2.139364435086323</v>
      </c>
      <c r="AF1350">
        <v>1</v>
      </c>
    </row>
    <row r="1351" spans="27:32" x14ac:dyDescent="0.3">
      <c r="AA1351" s="3">
        <v>12675.08</v>
      </c>
      <c r="AB1351">
        <v>1E-4</v>
      </c>
      <c r="AC1351">
        <v>8</v>
      </c>
      <c r="AD1351" s="5">
        <v>4.9876147854312221</v>
      </c>
      <c r="AE1351" s="5">
        <v>2.2140709175073043</v>
      </c>
      <c r="AF1351">
        <v>1</v>
      </c>
    </row>
    <row r="1352" spans="27:32" x14ac:dyDescent="0.3">
      <c r="AA1352" s="3">
        <v>12875.96</v>
      </c>
      <c r="AB1352">
        <v>1E-4</v>
      </c>
      <c r="AC1352">
        <v>8</v>
      </c>
      <c r="AD1352" s="5">
        <v>4.9367109665471816</v>
      </c>
      <c r="AE1352" s="5">
        <v>2.1417317226464943</v>
      </c>
      <c r="AF1352">
        <v>1</v>
      </c>
    </row>
    <row r="1353" spans="27:32" x14ac:dyDescent="0.3">
      <c r="AA1353" s="3">
        <v>16570.22</v>
      </c>
      <c r="AB1353">
        <v>1E-4</v>
      </c>
      <c r="AC1353">
        <v>8</v>
      </c>
      <c r="AD1353" s="5">
        <v>5.0754004333043179</v>
      </c>
      <c r="AE1353" s="5">
        <v>2.1874111356970074</v>
      </c>
      <c r="AF1353">
        <v>1</v>
      </c>
    </row>
    <row r="1354" spans="27:32" x14ac:dyDescent="0.3">
      <c r="AA1354" s="3">
        <v>16244.99</v>
      </c>
      <c r="AB1354">
        <v>1E-4</v>
      </c>
      <c r="AC1354">
        <v>8</v>
      </c>
      <c r="AD1354" s="5">
        <v>5.1163618379357887</v>
      </c>
      <c r="AE1354" s="5">
        <v>2.2075705559966172</v>
      </c>
      <c r="AF1354">
        <v>1</v>
      </c>
    </row>
    <row r="1355" spans="27:32" x14ac:dyDescent="0.3">
      <c r="AA1355" s="3">
        <v>10565.44</v>
      </c>
      <c r="AB1355">
        <v>1E-4</v>
      </c>
      <c r="AC1355">
        <v>8</v>
      </c>
      <c r="AD1355" s="5">
        <v>4.9426626889163447</v>
      </c>
      <c r="AE1355" s="5">
        <v>2.2042744994277217</v>
      </c>
      <c r="AF1355">
        <v>1</v>
      </c>
    </row>
    <row r="1356" spans="27:32" x14ac:dyDescent="0.3">
      <c r="AA1356" s="3">
        <v>35464.559999999998</v>
      </c>
      <c r="AB1356">
        <v>1E-4</v>
      </c>
      <c r="AC1356">
        <v>7</v>
      </c>
      <c r="AD1356" s="5">
        <v>5.1581154861934486</v>
      </c>
      <c r="AE1356" s="5">
        <v>2.2638439076031953</v>
      </c>
      <c r="AF1356">
        <v>1</v>
      </c>
    </row>
    <row r="1357" spans="27:32" x14ac:dyDescent="0.3">
      <c r="AA1357" s="3">
        <v>6773.83</v>
      </c>
      <c r="AB1357">
        <v>1E-4</v>
      </c>
      <c r="AC1357">
        <v>8</v>
      </c>
      <c r="AD1357" s="5">
        <v>5.1693981967911391</v>
      </c>
      <c r="AE1357" s="5">
        <v>2.1781833367315162</v>
      </c>
      <c r="AF1357">
        <v>1</v>
      </c>
    </row>
    <row r="1358" spans="27:32" x14ac:dyDescent="0.3">
      <c r="AA1358" s="3">
        <v>47701.47</v>
      </c>
      <c r="AB1358">
        <v>1E-4</v>
      </c>
      <c r="AC1358">
        <v>7</v>
      </c>
      <c r="AD1358" s="5">
        <v>5.181878023593292</v>
      </c>
      <c r="AE1358" s="5">
        <v>2.1657135409182939</v>
      </c>
      <c r="AF1358">
        <v>1</v>
      </c>
    </row>
    <row r="1359" spans="27:32" x14ac:dyDescent="0.3">
      <c r="AA1359" s="3">
        <v>20124.21</v>
      </c>
      <c r="AB1359">
        <v>1E-4</v>
      </c>
      <c r="AC1359">
        <v>8</v>
      </c>
      <c r="AD1359" s="5">
        <v>4.9656438909478453</v>
      </c>
      <c r="AE1359" s="5">
        <v>2.156695427536711</v>
      </c>
      <c r="AF1359">
        <v>1</v>
      </c>
    </row>
    <row r="1360" spans="27:32" x14ac:dyDescent="0.3">
      <c r="AA1360" s="3">
        <v>22572.880000000001</v>
      </c>
      <c r="AB1360">
        <v>1E-4</v>
      </c>
      <c r="AC1360">
        <v>8</v>
      </c>
      <c r="AD1360" s="5">
        <v>4.9941500826030634</v>
      </c>
      <c r="AE1360" s="5">
        <v>2.1481212783885661</v>
      </c>
      <c r="AF1360">
        <v>1</v>
      </c>
    </row>
    <row r="1361" spans="27:32" x14ac:dyDescent="0.3">
      <c r="AA1361" s="3">
        <v>10077.09</v>
      </c>
      <c r="AB1361">
        <v>1E-4</v>
      </c>
      <c r="AC1361">
        <v>8</v>
      </c>
      <c r="AD1361" s="5">
        <v>4.8035114720285339</v>
      </c>
      <c r="AE1361" s="5">
        <v>2.2448476633131658</v>
      </c>
      <c r="AF1361">
        <v>1</v>
      </c>
    </row>
    <row r="1362" spans="27:32" x14ac:dyDescent="0.3">
      <c r="AA1362" s="3">
        <v>19664.88</v>
      </c>
      <c r="AB1362">
        <v>1E-4</v>
      </c>
      <c r="AC1362">
        <v>8</v>
      </c>
      <c r="AD1362" s="5">
        <v>5.073348973852954</v>
      </c>
      <c r="AE1362" s="5">
        <v>2.2186157998331333</v>
      </c>
      <c r="AF1362">
        <v>1</v>
      </c>
    </row>
    <row r="1363" spans="27:32" x14ac:dyDescent="0.3">
      <c r="AA1363" s="3">
        <v>30021.68</v>
      </c>
      <c r="AB1363">
        <v>1E-4</v>
      </c>
      <c r="AC1363">
        <v>8</v>
      </c>
      <c r="AD1363" s="5">
        <v>5.1008270407973502</v>
      </c>
      <c r="AE1363" s="5">
        <v>2.2772042464103142</v>
      </c>
      <c r="AF1363">
        <v>1</v>
      </c>
    </row>
    <row r="1364" spans="27:32" x14ac:dyDescent="0.3">
      <c r="AA1364" s="3">
        <v>15801.47</v>
      </c>
      <c r="AB1364">
        <v>1E-4</v>
      </c>
      <c r="AC1364">
        <v>8</v>
      </c>
      <c r="AD1364" s="5">
        <v>4.9306078055371554</v>
      </c>
      <c r="AE1364" s="5">
        <v>2.3159343739077181</v>
      </c>
      <c r="AF1364">
        <v>1</v>
      </c>
    </row>
    <row r="1365" spans="27:32" x14ac:dyDescent="0.3">
      <c r="AA1365" s="3">
        <v>10318.370000000001</v>
      </c>
      <c r="AB1365">
        <v>1E-4</v>
      </c>
      <c r="AC1365">
        <v>8</v>
      </c>
      <c r="AD1365" s="5">
        <v>4.9593499627016611</v>
      </c>
      <c r="AE1365" s="5">
        <v>2.1677793543676209</v>
      </c>
      <c r="AF1365">
        <v>1</v>
      </c>
    </row>
    <row r="1366" spans="27:32" x14ac:dyDescent="0.3">
      <c r="AA1366" s="3">
        <v>29848.46</v>
      </c>
      <c r="AB1366">
        <v>1E-4</v>
      </c>
      <c r="AC1366">
        <v>8</v>
      </c>
      <c r="AD1366" s="5">
        <v>5.1647358521953075</v>
      </c>
      <c r="AE1366" s="5">
        <v>2.1780802516539985</v>
      </c>
      <c r="AF1366">
        <v>1</v>
      </c>
    </row>
    <row r="1367" spans="27:32" x14ac:dyDescent="0.3">
      <c r="AA1367" s="3">
        <v>7498.39</v>
      </c>
      <c r="AB1367">
        <v>1E-4</v>
      </c>
      <c r="AC1367">
        <v>8</v>
      </c>
      <c r="AD1367" s="5">
        <v>4.8951466672820798</v>
      </c>
      <c r="AE1367" s="5">
        <v>2.1804525464080728</v>
      </c>
      <c r="AF1367">
        <v>1</v>
      </c>
    </row>
    <row r="1368" spans="27:32" x14ac:dyDescent="0.3">
      <c r="AA1368" s="3">
        <v>3118.27</v>
      </c>
      <c r="AB1368">
        <v>1E-4</v>
      </c>
      <c r="AC1368">
        <v>8</v>
      </c>
      <c r="AD1368" s="5">
        <v>5.0056206122702465</v>
      </c>
      <c r="AE1368" s="5">
        <v>2.329261482678441</v>
      </c>
      <c r="AF1368">
        <v>1</v>
      </c>
    </row>
    <row r="1369" spans="27:32" x14ac:dyDescent="0.3">
      <c r="AA1369" s="3">
        <v>30194.98</v>
      </c>
      <c r="AB1369">
        <v>1E-4</v>
      </c>
      <c r="AC1369">
        <v>8</v>
      </c>
      <c r="AD1369" s="5">
        <v>5.1822600664505858</v>
      </c>
      <c r="AE1369" s="5">
        <v>2.2662881669734385</v>
      </c>
      <c r="AF1369">
        <v>1</v>
      </c>
    </row>
    <row r="1370" spans="27:32" x14ac:dyDescent="0.3">
      <c r="AA1370" s="3">
        <v>32001.83</v>
      </c>
      <c r="AB1370">
        <v>1E-4</v>
      </c>
      <c r="AC1370">
        <v>7</v>
      </c>
      <c r="AD1370" s="5">
        <v>5.0014162532373989</v>
      </c>
      <c r="AE1370" s="5">
        <v>2.1582179753004169</v>
      </c>
      <c r="AF1370">
        <v>1</v>
      </c>
    </row>
    <row r="1371" spans="27:32" x14ac:dyDescent="0.3">
      <c r="AA1371" s="3">
        <v>14913.87</v>
      </c>
      <c r="AB1371">
        <v>1E-4</v>
      </c>
      <c r="AC1371">
        <v>8</v>
      </c>
      <c r="AD1371" s="5">
        <v>4.9960476361884192</v>
      </c>
      <c r="AE1371" s="5">
        <v>2.1187226291571193</v>
      </c>
      <c r="AF1371">
        <v>1</v>
      </c>
    </row>
    <row r="1372" spans="27:32" x14ac:dyDescent="0.3">
      <c r="AA1372" s="3">
        <v>68543.88</v>
      </c>
      <c r="AB1372">
        <v>1E-4</v>
      </c>
      <c r="AC1372">
        <v>6</v>
      </c>
      <c r="AD1372" s="5">
        <v>5.163283855824953</v>
      </c>
      <c r="AE1372" s="5">
        <v>2.1316990619160823</v>
      </c>
      <c r="AF1372">
        <v>1</v>
      </c>
    </row>
    <row r="1373" spans="27:32" x14ac:dyDescent="0.3">
      <c r="AA1373" s="3">
        <v>4751.18</v>
      </c>
      <c r="AB1373">
        <v>1E-4</v>
      </c>
      <c r="AC1373">
        <v>8</v>
      </c>
      <c r="AD1373" s="5">
        <v>5.0231234024834368</v>
      </c>
      <c r="AE1373" s="5">
        <v>2.2156326689977321</v>
      </c>
      <c r="AF1373">
        <v>1</v>
      </c>
    </row>
    <row r="1374" spans="27:32" x14ac:dyDescent="0.3">
      <c r="AA1374" s="3">
        <v>3598.16</v>
      </c>
      <c r="AB1374">
        <v>1E-4</v>
      </c>
      <c r="AC1374">
        <v>8</v>
      </c>
      <c r="AD1374" s="5">
        <v>5.0270117752962262</v>
      </c>
      <c r="AE1374" s="5">
        <v>2.3289580956444169</v>
      </c>
      <c r="AF1374">
        <v>1</v>
      </c>
    </row>
    <row r="1375" spans="27:32" x14ac:dyDescent="0.3">
      <c r="AA1375" s="3">
        <v>24146.94</v>
      </c>
      <c r="AB1375">
        <v>1E-4</v>
      </c>
      <c r="AC1375">
        <v>8</v>
      </c>
      <c r="AD1375" s="5">
        <v>4.8850171838760819</v>
      </c>
      <c r="AE1375" s="5">
        <v>2.2482042570752219</v>
      </c>
      <c r="AF1375">
        <v>1</v>
      </c>
    </row>
    <row r="1376" spans="27:32" x14ac:dyDescent="0.3">
      <c r="AA1376" s="3">
        <v>38286.400000000001</v>
      </c>
      <c r="AB1376">
        <v>1E-4</v>
      </c>
      <c r="AC1376">
        <v>7</v>
      </c>
      <c r="AD1376" s="5">
        <v>4.8885555213544256</v>
      </c>
      <c r="AE1376" s="5">
        <v>2.1976897652142271</v>
      </c>
      <c r="AF1376">
        <v>1</v>
      </c>
    </row>
    <row r="1377" spans="27:32" x14ac:dyDescent="0.3">
      <c r="AA1377" s="3">
        <v>159.34</v>
      </c>
      <c r="AB1377">
        <v>1E-4</v>
      </c>
      <c r="AC1377">
        <v>8</v>
      </c>
      <c r="AD1377" s="5">
        <v>5.0206240032587912</v>
      </c>
      <c r="AE1377" s="5">
        <v>2.2112975038370575</v>
      </c>
      <c r="AF1377">
        <v>1</v>
      </c>
    </row>
    <row r="1378" spans="27:32" x14ac:dyDescent="0.3">
      <c r="AA1378" s="3">
        <v>22198.75</v>
      </c>
      <c r="AB1378">
        <v>1E-4</v>
      </c>
      <c r="AC1378">
        <v>8</v>
      </c>
      <c r="AD1378" s="5">
        <v>4.9738870994027122</v>
      </c>
      <c r="AE1378" s="5">
        <v>2.228378373639567</v>
      </c>
      <c r="AF1378">
        <v>1</v>
      </c>
    </row>
    <row r="1379" spans="27:32" x14ac:dyDescent="0.3">
      <c r="AA1379" s="3">
        <v>15107.92</v>
      </c>
      <c r="AB1379">
        <v>1E-4</v>
      </c>
      <c r="AC1379">
        <v>8</v>
      </c>
      <c r="AD1379" s="5">
        <v>5.0166400581372095</v>
      </c>
      <c r="AE1379" s="5">
        <v>2.2492821871822186</v>
      </c>
      <c r="AF1379">
        <v>1</v>
      </c>
    </row>
    <row r="1380" spans="27:32" x14ac:dyDescent="0.3">
      <c r="AA1380" s="3">
        <v>17595.05</v>
      </c>
      <c r="AB1380">
        <v>1E-4</v>
      </c>
      <c r="AC1380">
        <v>8</v>
      </c>
      <c r="AD1380" s="5">
        <v>4.8969105049044659</v>
      </c>
      <c r="AE1380" s="5">
        <v>2.1858838319838529</v>
      </c>
      <c r="AF1380">
        <v>1</v>
      </c>
    </row>
    <row r="1381" spans="27:32" x14ac:dyDescent="0.3">
      <c r="AA1381" s="3">
        <v>-7390.21</v>
      </c>
      <c r="AB1381">
        <v>1E-4</v>
      </c>
      <c r="AC1381">
        <v>9</v>
      </c>
      <c r="AD1381" s="5">
        <v>4.8167451809145199</v>
      </c>
      <c r="AE1381" s="5">
        <v>2.1426014464593948</v>
      </c>
      <c r="AF1381">
        <v>1</v>
      </c>
    </row>
    <row r="1382" spans="27:32" x14ac:dyDescent="0.3">
      <c r="AA1382" s="3">
        <v>-18046.45</v>
      </c>
      <c r="AB1382">
        <v>1E-4</v>
      </c>
      <c r="AC1382">
        <v>9</v>
      </c>
      <c r="AD1382" s="5">
        <v>5.073625909254881</v>
      </c>
      <c r="AE1382" s="5">
        <v>2.2444628748235962</v>
      </c>
      <c r="AF1382">
        <v>1</v>
      </c>
    </row>
    <row r="1383" spans="27:32" x14ac:dyDescent="0.3">
      <c r="AA1383" s="3">
        <v>-2335.1</v>
      </c>
      <c r="AB1383">
        <v>1E-4</v>
      </c>
      <c r="AC1383">
        <v>9</v>
      </c>
      <c r="AD1383" s="5">
        <v>4.9992373668954411</v>
      </c>
      <c r="AE1383" s="5">
        <v>2.222811515615204</v>
      </c>
      <c r="AF1383">
        <v>1</v>
      </c>
    </row>
    <row r="1384" spans="27:32" x14ac:dyDescent="0.3">
      <c r="AA1384" s="3">
        <v>2495.9899999999998</v>
      </c>
      <c r="AB1384">
        <v>1E-4</v>
      </c>
      <c r="AC1384">
        <v>8</v>
      </c>
      <c r="AD1384" s="5">
        <v>4.9496730006411536</v>
      </c>
      <c r="AE1384" s="5">
        <v>2.2643384144450782</v>
      </c>
      <c r="AF1384">
        <v>1</v>
      </c>
    </row>
    <row r="1385" spans="27:32" x14ac:dyDescent="0.3">
      <c r="AA1385" s="3">
        <v>52105.32</v>
      </c>
      <c r="AB1385">
        <v>1E-4</v>
      </c>
      <c r="AC1385">
        <v>6</v>
      </c>
      <c r="AD1385" s="5">
        <v>5.1107557409740441</v>
      </c>
      <c r="AE1385" s="5">
        <v>2.1904050022356252</v>
      </c>
      <c r="AF1385">
        <v>1</v>
      </c>
    </row>
    <row r="1386" spans="27:32" x14ac:dyDescent="0.3">
      <c r="AA1386" s="3">
        <v>31213.15</v>
      </c>
      <c r="AB1386">
        <v>1E-4</v>
      </c>
      <c r="AC1386">
        <v>7</v>
      </c>
      <c r="AD1386" s="5">
        <v>4.9344004549039768</v>
      </c>
      <c r="AE1386" s="5">
        <v>2.2762258043124635</v>
      </c>
      <c r="AF1386">
        <v>1</v>
      </c>
    </row>
    <row r="1387" spans="27:32" x14ac:dyDescent="0.3">
      <c r="AA1387" s="3">
        <v>20655.91</v>
      </c>
      <c r="AB1387">
        <v>1E-4</v>
      </c>
      <c r="AC1387">
        <v>8</v>
      </c>
      <c r="AD1387" s="5">
        <v>4.9368817092377304</v>
      </c>
      <c r="AE1387" s="5">
        <v>2.2885542033203681</v>
      </c>
      <c r="AF1387">
        <v>1</v>
      </c>
    </row>
    <row r="1388" spans="27:32" x14ac:dyDescent="0.3">
      <c r="AA1388" s="3">
        <v>29167.21</v>
      </c>
      <c r="AB1388">
        <v>1E-4</v>
      </c>
      <c r="AC1388">
        <v>8</v>
      </c>
      <c r="AD1388" s="5">
        <v>5.1867560562538317</v>
      </c>
      <c r="AE1388" s="5">
        <v>2.168582450537234</v>
      </c>
      <c r="AF1388">
        <v>1</v>
      </c>
    </row>
    <row r="1389" spans="27:32" x14ac:dyDescent="0.3">
      <c r="AA1389" s="3">
        <v>34880.120000000003</v>
      </c>
      <c r="AB1389">
        <v>1E-4</v>
      </c>
      <c r="AC1389">
        <v>7</v>
      </c>
      <c r="AD1389" s="5">
        <v>4.9364658854411605</v>
      </c>
      <c r="AE1389" s="5">
        <v>2.1750805550420438</v>
      </c>
      <c r="AF1389">
        <v>1</v>
      </c>
    </row>
    <row r="1390" spans="27:32" x14ac:dyDescent="0.3">
      <c r="AA1390" s="3">
        <v>22528.9</v>
      </c>
      <c r="AB1390">
        <v>1E-4</v>
      </c>
      <c r="AC1390">
        <v>8</v>
      </c>
      <c r="AD1390" s="5">
        <v>4.8404294403686743</v>
      </c>
      <c r="AE1390" s="5">
        <v>2.2014861668649335</v>
      </c>
      <c r="AF1390">
        <v>1</v>
      </c>
    </row>
    <row r="1391" spans="27:32" x14ac:dyDescent="0.3">
      <c r="AA1391" s="3">
        <v>-67369.597730367284</v>
      </c>
      <c r="AB1391">
        <v>1E-4</v>
      </c>
      <c r="AC1391">
        <v>9</v>
      </c>
      <c r="AD1391" s="5">
        <v>4.9487800510255839</v>
      </c>
      <c r="AE1391" s="5">
        <v>2.2400644451516394</v>
      </c>
      <c r="AF1391">
        <v>0</v>
      </c>
    </row>
    <row r="1392" spans="27:32" x14ac:dyDescent="0.3">
      <c r="AA1392" s="3">
        <v>-15730.23</v>
      </c>
      <c r="AB1392">
        <v>1E-4</v>
      </c>
      <c r="AC1392">
        <v>9</v>
      </c>
      <c r="AD1392" s="5">
        <v>4.8899175628015659</v>
      </c>
      <c r="AE1392" s="5">
        <v>2.2699710494838876</v>
      </c>
      <c r="AF1392">
        <v>1</v>
      </c>
    </row>
    <row r="1393" spans="27:32" x14ac:dyDescent="0.3">
      <c r="AA1393" s="3">
        <v>44970.7</v>
      </c>
      <c r="AB1393">
        <v>1E-4</v>
      </c>
      <c r="AC1393">
        <v>7</v>
      </c>
      <c r="AD1393" s="5">
        <v>5.0329979809108654</v>
      </c>
      <c r="AE1393" s="5">
        <v>2.1752286787343813</v>
      </c>
      <c r="AF1393">
        <v>1</v>
      </c>
    </row>
    <row r="1394" spans="27:32" x14ac:dyDescent="0.3">
      <c r="AA1394" s="3">
        <v>11274.08</v>
      </c>
      <c r="AB1394">
        <v>1E-4</v>
      </c>
      <c r="AC1394">
        <v>8</v>
      </c>
      <c r="AD1394" s="5">
        <v>5.0317901423658355</v>
      </c>
      <c r="AE1394" s="5">
        <v>2.2369302832378439</v>
      </c>
      <c r="AF1394">
        <v>1</v>
      </c>
    </row>
    <row r="1395" spans="27:32" x14ac:dyDescent="0.3">
      <c r="AA1395" s="3">
        <v>38768.370000000003</v>
      </c>
      <c r="AB1395">
        <v>1E-4</v>
      </c>
      <c r="AC1395">
        <v>7</v>
      </c>
      <c r="AD1395" s="5">
        <v>5.1091452606116272</v>
      </c>
      <c r="AE1395" s="5">
        <v>2.1672938575462015</v>
      </c>
      <c r="AF1395">
        <v>1</v>
      </c>
    </row>
    <row r="1396" spans="27:32" x14ac:dyDescent="0.3">
      <c r="AA1396" s="3">
        <v>15660.39</v>
      </c>
      <c r="AB1396">
        <v>1E-4</v>
      </c>
      <c r="AC1396">
        <v>8</v>
      </c>
      <c r="AD1396" s="5">
        <v>4.9031431593551424</v>
      </c>
      <c r="AE1396" s="5">
        <v>2.2061657110573987</v>
      </c>
      <c r="AF1396">
        <v>1</v>
      </c>
    </row>
    <row r="1397" spans="27:32" x14ac:dyDescent="0.3">
      <c r="AA1397" s="3">
        <v>-9002.74</v>
      </c>
      <c r="AB1397">
        <v>1E-4</v>
      </c>
      <c r="AC1397">
        <v>9</v>
      </c>
      <c r="AD1397" s="5">
        <v>4.9972272004927518</v>
      </c>
      <c r="AE1397" s="5">
        <v>2.2016869334932556</v>
      </c>
      <c r="AF1397">
        <v>1</v>
      </c>
    </row>
    <row r="1398" spans="27:32" x14ac:dyDescent="0.3">
      <c r="AA1398" s="3">
        <v>35987.22</v>
      </c>
      <c r="AB1398">
        <v>1E-4</v>
      </c>
      <c r="AC1398">
        <v>7</v>
      </c>
      <c r="AD1398" s="5">
        <v>5.1202258153429128</v>
      </c>
      <c r="AE1398" s="5">
        <v>2.1446101196224943</v>
      </c>
      <c r="AF1398">
        <v>1</v>
      </c>
    </row>
    <row r="1399" spans="27:32" x14ac:dyDescent="0.3">
      <c r="AA1399" s="3">
        <v>16797.82</v>
      </c>
      <c r="AB1399">
        <v>1E-4</v>
      </c>
      <c r="AC1399">
        <v>8</v>
      </c>
      <c r="AD1399" s="5">
        <v>4.9564947017540657</v>
      </c>
      <c r="AE1399" s="5">
        <v>2.1943971594038421</v>
      </c>
      <c r="AF1399">
        <v>1</v>
      </c>
    </row>
    <row r="1400" spans="27:32" x14ac:dyDescent="0.3">
      <c r="AA1400" s="3">
        <v>-11655.49</v>
      </c>
      <c r="AB1400">
        <v>1E-4</v>
      </c>
      <c r="AC1400">
        <v>9</v>
      </c>
      <c r="AD1400" s="5">
        <v>4.9668364067390067</v>
      </c>
      <c r="AE1400" s="5">
        <v>2.1651405931928536</v>
      </c>
      <c r="AF1400">
        <v>1</v>
      </c>
    </row>
    <row r="1401" spans="27:32" x14ac:dyDescent="0.3">
      <c r="AA1401" s="3">
        <v>1257.1500000000001</v>
      </c>
      <c r="AB1401">
        <v>1E-4</v>
      </c>
      <c r="AC1401">
        <v>8</v>
      </c>
      <c r="AD1401" s="5">
        <v>4.9711250717597322</v>
      </c>
      <c r="AE1401" s="5">
        <v>2.2989700225775116</v>
      </c>
      <c r="AF1401">
        <v>1</v>
      </c>
    </row>
    <row r="1402" spans="27:32" x14ac:dyDescent="0.3">
      <c r="AA1402" s="3">
        <v>21550.58</v>
      </c>
      <c r="AB1402">
        <v>1E-4</v>
      </c>
      <c r="AC1402">
        <v>8</v>
      </c>
      <c r="AD1402" s="5">
        <v>5.1951090802443671</v>
      </c>
      <c r="AE1402" s="5">
        <v>2.2428219685501434</v>
      </c>
      <c r="AF1402">
        <v>1</v>
      </c>
    </row>
    <row r="1403" spans="27:32" x14ac:dyDescent="0.3">
      <c r="AA1403" s="3">
        <v>33150.01</v>
      </c>
      <c r="AB1403">
        <v>1E-4</v>
      </c>
      <c r="AC1403">
        <v>7</v>
      </c>
      <c r="AD1403" s="5">
        <v>5.022197703815948</v>
      </c>
      <c r="AE1403" s="5">
        <v>2.2058616089942436</v>
      </c>
      <c r="AF1403">
        <v>1</v>
      </c>
    </row>
    <row r="1404" spans="27:32" x14ac:dyDescent="0.3">
      <c r="AA1404" s="3">
        <v>9082.02</v>
      </c>
      <c r="AB1404">
        <v>1E-4</v>
      </c>
      <c r="AC1404">
        <v>8</v>
      </c>
      <c r="AD1404" s="5">
        <v>4.8462088104551588</v>
      </c>
      <c r="AE1404" s="5">
        <v>2.2503749755790716</v>
      </c>
      <c r="AF1404">
        <v>1</v>
      </c>
    </row>
    <row r="1405" spans="27:32" x14ac:dyDescent="0.3">
      <c r="AA1405" s="3">
        <v>16940.62</v>
      </c>
      <c r="AB1405">
        <v>1E-4</v>
      </c>
      <c r="AC1405">
        <v>8</v>
      </c>
      <c r="AD1405" s="5">
        <v>5.05058999526576</v>
      </c>
      <c r="AE1405" s="5">
        <v>2.2426247913966675</v>
      </c>
      <c r="AF1405">
        <v>1</v>
      </c>
    </row>
    <row r="1406" spans="27:32" x14ac:dyDescent="0.3">
      <c r="AA1406" s="3">
        <v>28421.93</v>
      </c>
      <c r="AB1406">
        <v>1E-4</v>
      </c>
      <c r="AC1406">
        <v>7</v>
      </c>
      <c r="AD1406" s="5">
        <v>4.9567799918503983</v>
      </c>
      <c r="AE1406" s="5">
        <v>2.1698499366354387</v>
      </c>
      <c r="AF1406">
        <v>1</v>
      </c>
    </row>
    <row r="1407" spans="27:32" x14ac:dyDescent="0.3">
      <c r="AA1407" s="3">
        <v>23995.08</v>
      </c>
      <c r="AB1407">
        <v>1E-4</v>
      </c>
      <c r="AC1407">
        <v>8</v>
      </c>
      <c r="AD1407" s="5">
        <v>5.0568930503367886</v>
      </c>
      <c r="AE1407" s="5">
        <v>2.1772406311830967</v>
      </c>
      <c r="AF1407">
        <v>1</v>
      </c>
    </row>
    <row r="1408" spans="27:32" x14ac:dyDescent="0.3">
      <c r="AA1408" s="3">
        <v>9132.7999999999993</v>
      </c>
      <c r="AB1408">
        <v>1E-4</v>
      </c>
      <c r="AC1408">
        <v>8</v>
      </c>
      <c r="AD1408" s="5">
        <v>5.1898202780327942</v>
      </c>
      <c r="AE1408" s="5">
        <v>2.1578323085357547</v>
      </c>
      <c r="AF1408">
        <v>1</v>
      </c>
    </row>
    <row r="1409" spans="27:32" x14ac:dyDescent="0.3">
      <c r="AA1409" s="3">
        <v>30447.31</v>
      </c>
      <c r="AB1409">
        <v>1E-4</v>
      </c>
      <c r="AC1409">
        <v>8</v>
      </c>
      <c r="AD1409" s="5">
        <v>5.154320514144815</v>
      </c>
      <c r="AE1409" s="5">
        <v>2.1948899529054771</v>
      </c>
      <c r="AF1409">
        <v>1</v>
      </c>
    </row>
    <row r="1410" spans="27:32" x14ac:dyDescent="0.3">
      <c r="AA1410" s="3">
        <v>68013.88</v>
      </c>
      <c r="AB1410">
        <v>1E-4</v>
      </c>
      <c r="AC1410">
        <v>6</v>
      </c>
      <c r="AD1410" s="5">
        <v>5.154955152006699</v>
      </c>
      <c r="AE1410" s="5">
        <v>2.2285693009216714</v>
      </c>
      <c r="AF1410">
        <v>1</v>
      </c>
    </row>
    <row r="1411" spans="27:32" x14ac:dyDescent="0.3">
      <c r="AA1411" s="3">
        <v>-14225.67</v>
      </c>
      <c r="AB1411">
        <v>1E-4</v>
      </c>
      <c r="AC1411">
        <v>9</v>
      </c>
      <c r="AD1411" s="5">
        <v>4.8790538275319957</v>
      </c>
      <c r="AE1411" s="5">
        <v>2.2467345701523782</v>
      </c>
      <c r="AF1411">
        <v>1</v>
      </c>
    </row>
    <row r="1412" spans="27:32" x14ac:dyDescent="0.3">
      <c r="AA1412" s="3">
        <v>13743.65</v>
      </c>
      <c r="AB1412">
        <v>1E-4</v>
      </c>
      <c r="AC1412">
        <v>8</v>
      </c>
      <c r="AD1412" s="5">
        <v>4.9597795696832847</v>
      </c>
      <c r="AE1412" s="5">
        <v>2.2051509470315693</v>
      </c>
      <c r="AF1412">
        <v>1</v>
      </c>
    </row>
    <row r="1413" spans="27:32" x14ac:dyDescent="0.3">
      <c r="AA1413" s="3">
        <v>12475.61</v>
      </c>
      <c r="AB1413">
        <v>1E-4</v>
      </c>
      <c r="AC1413">
        <v>8</v>
      </c>
      <c r="AD1413" s="5">
        <v>4.8624716351613317</v>
      </c>
      <c r="AE1413" s="5">
        <v>2.2202669328466733</v>
      </c>
      <c r="AF1413">
        <v>1</v>
      </c>
    </row>
    <row r="1414" spans="27:32" x14ac:dyDescent="0.3">
      <c r="AA1414" s="3">
        <v>44673.54</v>
      </c>
      <c r="AB1414">
        <v>1E-4</v>
      </c>
      <c r="AC1414">
        <v>7</v>
      </c>
      <c r="AD1414" s="5">
        <v>5.2307443824371678</v>
      </c>
      <c r="AE1414" s="5">
        <v>2.2027804813547034</v>
      </c>
      <c r="AF1414">
        <v>1</v>
      </c>
    </row>
    <row r="1415" spans="27:32" x14ac:dyDescent="0.3">
      <c r="AA1415" s="3">
        <v>-5214.41</v>
      </c>
      <c r="AB1415">
        <v>1E-4</v>
      </c>
      <c r="AC1415">
        <v>9</v>
      </c>
      <c r="AD1415" s="5">
        <v>5.1322413189102969</v>
      </c>
      <c r="AE1415" s="5">
        <v>2.1890615629100987</v>
      </c>
      <c r="AF1415">
        <v>1</v>
      </c>
    </row>
    <row r="1416" spans="27:32" x14ac:dyDescent="0.3">
      <c r="AA1416" s="3">
        <v>4776.08</v>
      </c>
      <c r="AB1416">
        <v>1E-4</v>
      </c>
      <c r="AC1416">
        <v>8</v>
      </c>
      <c r="AD1416" s="5">
        <v>5.0566574836115574</v>
      </c>
      <c r="AE1416" s="5">
        <v>2.1357915206298794</v>
      </c>
      <c r="AF1416">
        <v>1</v>
      </c>
    </row>
    <row r="1417" spans="27:32" x14ac:dyDescent="0.3">
      <c r="AA1417" s="3">
        <v>2561.88</v>
      </c>
      <c r="AB1417">
        <v>1E-4</v>
      </c>
      <c r="AC1417">
        <v>8</v>
      </c>
      <c r="AD1417" s="5">
        <v>5.0686290329762151</v>
      </c>
      <c r="AE1417" s="5">
        <v>2.2143205246232864</v>
      </c>
      <c r="AF1417">
        <v>1</v>
      </c>
    </row>
    <row r="1418" spans="27:32" x14ac:dyDescent="0.3">
      <c r="AA1418" s="3">
        <v>9398.9500000000007</v>
      </c>
      <c r="AB1418">
        <v>1E-4</v>
      </c>
      <c r="AC1418">
        <v>8</v>
      </c>
      <c r="AD1418" s="5">
        <v>4.8589428719277556</v>
      </c>
      <c r="AE1418" s="5">
        <v>2.1584419181010657</v>
      </c>
      <c r="AF1418">
        <v>1</v>
      </c>
    </row>
    <row r="1419" spans="27:32" x14ac:dyDescent="0.3">
      <c r="AA1419" s="3">
        <v>-9178.65</v>
      </c>
      <c r="AB1419">
        <v>1E-4</v>
      </c>
      <c r="AC1419">
        <v>9</v>
      </c>
      <c r="AD1419" s="5">
        <v>5.046468438285185</v>
      </c>
      <c r="AE1419" s="5">
        <v>2.1768649153283195</v>
      </c>
      <c r="AF1419">
        <v>1</v>
      </c>
    </row>
    <row r="1420" spans="27:32" x14ac:dyDescent="0.3">
      <c r="AA1420" s="3">
        <v>10080.5</v>
      </c>
      <c r="AB1420">
        <v>1E-4</v>
      </c>
      <c r="AC1420">
        <v>8</v>
      </c>
      <c r="AD1420" s="5">
        <v>5.0038634344011816</v>
      </c>
      <c r="AE1420" s="5">
        <v>2.2291386146756875</v>
      </c>
      <c r="AF1420">
        <v>1</v>
      </c>
    </row>
    <row r="1421" spans="27:32" x14ac:dyDescent="0.3">
      <c r="AA1421" s="3">
        <v>22200.25</v>
      </c>
      <c r="AB1421">
        <v>1E-4</v>
      </c>
      <c r="AC1421">
        <v>8</v>
      </c>
      <c r="AD1421" s="5">
        <v>4.984666004330685</v>
      </c>
      <c r="AE1421" s="5">
        <v>2.1924226844433554</v>
      </c>
      <c r="AF1421">
        <v>1</v>
      </c>
    </row>
    <row r="1422" spans="27:32" x14ac:dyDescent="0.3">
      <c r="AA1422" s="3">
        <v>4112.3500000000004</v>
      </c>
      <c r="AB1422">
        <v>1E-4</v>
      </c>
      <c r="AC1422">
        <v>8</v>
      </c>
      <c r="AD1422" s="5">
        <v>4.881091270694907</v>
      </c>
      <c r="AE1422" s="5">
        <v>2.2994209149285791</v>
      </c>
      <c r="AF1422">
        <v>1</v>
      </c>
    </row>
    <row r="1423" spans="27:32" x14ac:dyDescent="0.3">
      <c r="AA1423" s="3">
        <v>34314.720000000001</v>
      </c>
      <c r="AB1423">
        <v>1E-4</v>
      </c>
      <c r="AC1423">
        <v>7</v>
      </c>
      <c r="AD1423" s="5">
        <v>4.9280431472303654</v>
      </c>
      <c r="AE1423" s="5">
        <v>2.1809256235498138</v>
      </c>
      <c r="AF1423">
        <v>1</v>
      </c>
    </row>
    <row r="1424" spans="27:32" x14ac:dyDescent="0.3">
      <c r="AA1424" s="3">
        <v>26704.23</v>
      </c>
      <c r="AB1424">
        <v>1E-4</v>
      </c>
      <c r="AC1424">
        <v>7</v>
      </c>
      <c r="AD1424" s="5">
        <v>4.9618226568748307</v>
      </c>
      <c r="AE1424" s="5">
        <v>2.2478781328808699</v>
      </c>
      <c r="AF1424">
        <v>1</v>
      </c>
    </row>
    <row r="1425" spans="27:32" x14ac:dyDescent="0.3">
      <c r="AA1425" s="3">
        <v>-14947.93</v>
      </c>
      <c r="AB1425">
        <v>1E-4</v>
      </c>
      <c r="AC1425">
        <v>9</v>
      </c>
      <c r="AD1425" s="5">
        <v>4.9060114044227738</v>
      </c>
      <c r="AE1425" s="5">
        <v>2.2204685259311492</v>
      </c>
      <c r="AF1425">
        <v>1</v>
      </c>
    </row>
    <row r="1426" spans="27:32" x14ac:dyDescent="0.3">
      <c r="AA1426" s="3">
        <v>6709.11</v>
      </c>
      <c r="AB1426">
        <v>1E-4</v>
      </c>
      <c r="AC1426">
        <v>8</v>
      </c>
      <c r="AD1426" s="5">
        <v>5.1483942460279604</v>
      </c>
      <c r="AE1426" s="5">
        <v>2.2298940996567644</v>
      </c>
      <c r="AF1426">
        <v>1</v>
      </c>
    </row>
    <row r="1427" spans="27:32" x14ac:dyDescent="0.3">
      <c r="AA1427" s="3">
        <v>-8606.2000000000007</v>
      </c>
      <c r="AB1427">
        <v>1E-4</v>
      </c>
      <c r="AC1427">
        <v>9</v>
      </c>
      <c r="AD1427" s="5">
        <v>4.9672072429102823</v>
      </c>
      <c r="AE1427" s="5">
        <v>2.2468754566608951</v>
      </c>
      <c r="AF1427">
        <v>1</v>
      </c>
    </row>
    <row r="1428" spans="27:32" x14ac:dyDescent="0.3">
      <c r="AA1428" s="3">
        <v>21322.16</v>
      </c>
      <c r="AB1428">
        <v>1E-4</v>
      </c>
      <c r="AC1428">
        <v>8</v>
      </c>
      <c r="AD1428" s="5">
        <v>5.0741719859248571</v>
      </c>
      <c r="AE1428" s="5">
        <v>2.2425380134034314</v>
      </c>
      <c r="AF1428">
        <v>1</v>
      </c>
    </row>
    <row r="1429" spans="27:32" x14ac:dyDescent="0.3">
      <c r="AA1429" s="3">
        <v>63457.77</v>
      </c>
      <c r="AB1429">
        <v>1E-4</v>
      </c>
      <c r="AC1429">
        <v>6</v>
      </c>
      <c r="AD1429" s="5">
        <v>5.1622140846051892</v>
      </c>
      <c r="AE1429" s="5">
        <v>2.1039194096644889</v>
      </c>
      <c r="AF1429">
        <v>1</v>
      </c>
    </row>
    <row r="1430" spans="27:32" x14ac:dyDescent="0.3">
      <c r="AA1430" s="3">
        <v>-2662.83</v>
      </c>
      <c r="AB1430">
        <v>1E-4</v>
      </c>
      <c r="AC1430">
        <v>9</v>
      </c>
      <c r="AD1430" s="5">
        <v>4.9687896748541061</v>
      </c>
      <c r="AE1430" s="5">
        <v>2.1967719788872295</v>
      </c>
      <c r="AF1430">
        <v>1</v>
      </c>
    </row>
    <row r="1431" spans="27:32" x14ac:dyDescent="0.3">
      <c r="AA1431" s="3">
        <v>32656.53</v>
      </c>
      <c r="AB1431">
        <v>1E-4</v>
      </c>
      <c r="AC1431">
        <v>7</v>
      </c>
      <c r="AD1431" s="5">
        <v>5.060706311580585</v>
      </c>
      <c r="AE1431" s="5">
        <v>2.1986374999153093</v>
      </c>
      <c r="AF1431">
        <v>1</v>
      </c>
    </row>
    <row r="1432" spans="27:32" x14ac:dyDescent="0.3">
      <c r="AA1432" s="3">
        <v>7587.13</v>
      </c>
      <c r="AB1432">
        <v>1E-4</v>
      </c>
      <c r="AC1432">
        <v>8</v>
      </c>
      <c r="AD1432" s="5">
        <v>4.9452924655387971</v>
      </c>
      <c r="AE1432" s="5">
        <v>2.2931610564299154</v>
      </c>
      <c r="AF1432">
        <v>1</v>
      </c>
    </row>
    <row r="1433" spans="27:32" x14ac:dyDescent="0.3">
      <c r="AA1433" s="3">
        <v>14818.6</v>
      </c>
      <c r="AB1433">
        <v>1E-4</v>
      </c>
      <c r="AC1433">
        <v>8</v>
      </c>
      <c r="AD1433" s="5">
        <v>4.9540938620931847</v>
      </c>
      <c r="AE1433" s="5">
        <v>2.1652533796664288</v>
      </c>
      <c r="AF1433">
        <v>1</v>
      </c>
    </row>
    <row r="1434" spans="27:32" x14ac:dyDescent="0.3">
      <c r="AA1434" s="3">
        <v>10880.39</v>
      </c>
      <c r="AB1434">
        <v>1E-4</v>
      </c>
      <c r="AC1434">
        <v>8</v>
      </c>
      <c r="AD1434" s="5">
        <v>4.7666057134974693</v>
      </c>
      <c r="AE1434" s="5">
        <v>2.212977149131282</v>
      </c>
      <c r="AF1434">
        <v>1</v>
      </c>
    </row>
    <row r="1435" spans="27:32" x14ac:dyDescent="0.3">
      <c r="AA1435" s="3">
        <v>14457.36</v>
      </c>
      <c r="AB1435">
        <v>1E-4</v>
      </c>
      <c r="AC1435">
        <v>8</v>
      </c>
      <c r="AD1435" s="5">
        <v>5.1110367696338557</v>
      </c>
      <c r="AE1435" s="5">
        <v>2.1439212965586432</v>
      </c>
      <c r="AF1435">
        <v>1</v>
      </c>
    </row>
    <row r="1436" spans="27:32" x14ac:dyDescent="0.3">
      <c r="AA1436" s="3">
        <v>-1672.31</v>
      </c>
      <c r="AB1436">
        <v>1E-4</v>
      </c>
      <c r="AC1436">
        <v>9</v>
      </c>
      <c r="AD1436" s="5">
        <v>4.9404438784314406</v>
      </c>
      <c r="AE1436" s="5">
        <v>2.1614893813147513</v>
      </c>
      <c r="AF1436">
        <v>1</v>
      </c>
    </row>
    <row r="1437" spans="27:32" x14ac:dyDescent="0.3">
      <c r="AA1437" s="3">
        <v>24067.29</v>
      </c>
      <c r="AB1437">
        <v>1E-4</v>
      </c>
      <c r="AC1437">
        <v>8</v>
      </c>
      <c r="AD1437" s="5">
        <v>5.0220140709678827</v>
      </c>
      <c r="AE1437" s="5">
        <v>2.1918918525290398</v>
      </c>
      <c r="AF1437">
        <v>1</v>
      </c>
    </row>
    <row r="1438" spans="27:32" x14ac:dyDescent="0.3">
      <c r="AA1438" s="3">
        <v>24820.04</v>
      </c>
      <c r="AB1438">
        <v>1E-4</v>
      </c>
      <c r="AC1438">
        <v>8</v>
      </c>
      <c r="AD1438" s="5">
        <v>5.1119723024607238</v>
      </c>
      <c r="AE1438" s="5">
        <v>2.2343015472480423</v>
      </c>
      <c r="AF1438">
        <v>1</v>
      </c>
    </row>
    <row r="1439" spans="27:32" x14ac:dyDescent="0.3">
      <c r="AA1439" s="3">
        <v>-23010.35</v>
      </c>
      <c r="AB1439">
        <v>1E-4</v>
      </c>
      <c r="AC1439">
        <v>9</v>
      </c>
      <c r="AD1439" s="5">
        <v>4.6890758590873922</v>
      </c>
      <c r="AE1439" s="5">
        <v>2.2523774487982098</v>
      </c>
      <c r="AF1439">
        <v>1</v>
      </c>
    </row>
    <row r="1440" spans="27:32" x14ac:dyDescent="0.3">
      <c r="AA1440" s="3">
        <v>52807.87</v>
      </c>
      <c r="AB1440">
        <v>1E-4</v>
      </c>
      <c r="AC1440">
        <v>6</v>
      </c>
      <c r="AD1440" s="5">
        <v>5.1020792017851875</v>
      </c>
      <c r="AE1440" s="5">
        <v>2.1693319299692213</v>
      </c>
      <c r="AF1440">
        <v>1</v>
      </c>
    </row>
    <row r="1441" spans="27:32" x14ac:dyDescent="0.3">
      <c r="AA1441" s="3">
        <v>1680.37</v>
      </c>
      <c r="AB1441">
        <v>1E-4</v>
      </c>
      <c r="AC1441">
        <v>8</v>
      </c>
      <c r="AD1441" s="5">
        <v>4.8213475362298386</v>
      </c>
      <c r="AE1441" s="5">
        <v>2.1738126396423385</v>
      </c>
      <c r="AF1441">
        <v>1</v>
      </c>
    </row>
    <row r="1442" spans="27:32" x14ac:dyDescent="0.3">
      <c r="AA1442" s="3">
        <v>9884.9500000000007</v>
      </c>
      <c r="AB1442">
        <v>1E-4</v>
      </c>
      <c r="AC1442">
        <v>8</v>
      </c>
      <c r="AD1442" s="5">
        <v>4.9374786129089374</v>
      </c>
      <c r="AE1442" s="5">
        <v>2.2394009656000096</v>
      </c>
      <c r="AF1442">
        <v>1</v>
      </c>
    </row>
    <row r="1443" spans="27:32" x14ac:dyDescent="0.3">
      <c r="AA1443" s="3">
        <v>16919.419999999998</v>
      </c>
      <c r="AB1443">
        <v>1E-4</v>
      </c>
      <c r="AC1443">
        <v>8</v>
      </c>
      <c r="AD1443" s="5">
        <v>4.9792206705722011</v>
      </c>
      <c r="AE1443" s="5">
        <v>2.1279725179778164</v>
      </c>
      <c r="AF1443">
        <v>1</v>
      </c>
    </row>
    <row r="1444" spans="27:32" x14ac:dyDescent="0.3">
      <c r="AA1444" s="3">
        <v>26799.759999999998</v>
      </c>
      <c r="AB1444">
        <v>1E-4</v>
      </c>
      <c r="AC1444">
        <v>8</v>
      </c>
      <c r="AD1444" s="5">
        <v>5.0118739044308489</v>
      </c>
      <c r="AE1444" s="5">
        <v>2.2713112924830861</v>
      </c>
      <c r="AF1444">
        <v>1</v>
      </c>
    </row>
    <row r="1445" spans="27:32" x14ac:dyDescent="0.3">
      <c r="AA1445" s="3">
        <v>10356.67</v>
      </c>
      <c r="AB1445">
        <v>1E-4</v>
      </c>
      <c r="AC1445">
        <v>8</v>
      </c>
      <c r="AD1445" s="5">
        <v>4.8618016718864521</v>
      </c>
      <c r="AE1445" s="5">
        <v>2.2156551227722634</v>
      </c>
      <c r="AF1445">
        <v>1</v>
      </c>
    </row>
    <row r="1446" spans="27:32" x14ac:dyDescent="0.3">
      <c r="AA1446" s="3">
        <v>11828.66</v>
      </c>
      <c r="AB1446">
        <v>1E-4</v>
      </c>
      <c r="AC1446">
        <v>8</v>
      </c>
      <c r="AD1446" s="5">
        <v>4.8938375590661218</v>
      </c>
      <c r="AE1446" s="5">
        <v>2.180568821485799</v>
      </c>
      <c r="AF1446">
        <v>1</v>
      </c>
    </row>
    <row r="1447" spans="27:32" x14ac:dyDescent="0.3">
      <c r="AA1447" s="3">
        <v>7971.12</v>
      </c>
      <c r="AB1447">
        <v>1E-4</v>
      </c>
      <c r="AC1447">
        <v>8</v>
      </c>
      <c r="AD1447" s="5">
        <v>5.0426581009752836</v>
      </c>
      <c r="AE1447" s="5">
        <v>2.145574313719552</v>
      </c>
      <c r="AF1447">
        <v>1</v>
      </c>
    </row>
    <row r="1448" spans="27:32" x14ac:dyDescent="0.3">
      <c r="AA1448" s="3">
        <v>46893.34</v>
      </c>
      <c r="AB1448">
        <v>1E-4</v>
      </c>
      <c r="AC1448">
        <v>7</v>
      </c>
      <c r="AD1448" s="5">
        <v>5.1138917428778727</v>
      </c>
      <c r="AE1448" s="5">
        <v>2.1925392212651529</v>
      </c>
      <c r="AF1448">
        <v>1</v>
      </c>
    </row>
    <row r="1449" spans="27:32" x14ac:dyDescent="0.3">
      <c r="AA1449" s="3">
        <v>-15433.48</v>
      </c>
      <c r="AB1449">
        <v>1E-4</v>
      </c>
      <c r="AC1449">
        <v>9</v>
      </c>
      <c r="AD1449" s="5">
        <v>4.9177879767921278</v>
      </c>
      <c r="AE1449" s="5">
        <v>2.2262955453292954</v>
      </c>
      <c r="AF1449">
        <v>1</v>
      </c>
    </row>
    <row r="1450" spans="27:32" x14ac:dyDescent="0.3">
      <c r="AA1450" s="3">
        <v>5915.76</v>
      </c>
      <c r="AB1450">
        <v>1E-4</v>
      </c>
      <c r="AC1450">
        <v>8</v>
      </c>
      <c r="AD1450" s="5">
        <v>5.0178559513923515</v>
      </c>
      <c r="AE1450" s="5">
        <v>2.2014169151059826</v>
      </c>
      <c r="AF1450">
        <v>1</v>
      </c>
    </row>
    <row r="1451" spans="27:32" x14ac:dyDescent="0.3">
      <c r="AA1451" s="3">
        <v>19031.02</v>
      </c>
      <c r="AB1451">
        <v>1E-4</v>
      </c>
      <c r="AC1451">
        <v>8</v>
      </c>
      <c r="AD1451" s="5">
        <v>5.0881265715928423</v>
      </c>
      <c r="AE1451" s="5">
        <v>2.214064479334414</v>
      </c>
      <c r="AF1451">
        <v>1</v>
      </c>
    </row>
    <row r="1452" spans="27:32" x14ac:dyDescent="0.3">
      <c r="AA1452" s="3">
        <v>12052.69</v>
      </c>
      <c r="AB1452">
        <v>1E-4</v>
      </c>
      <c r="AC1452">
        <v>8</v>
      </c>
      <c r="AD1452" s="5">
        <v>4.8588191353709727</v>
      </c>
      <c r="AE1452" s="5">
        <v>2.251540059818105</v>
      </c>
      <c r="AF1452">
        <v>1</v>
      </c>
    </row>
    <row r="1453" spans="27:32" x14ac:dyDescent="0.3">
      <c r="AA1453" s="3">
        <v>15504.12</v>
      </c>
      <c r="AB1453">
        <v>1E-4</v>
      </c>
      <c r="AC1453">
        <v>8</v>
      </c>
      <c r="AD1453" s="5">
        <v>4.9449047815893694</v>
      </c>
      <c r="AE1453" s="5">
        <v>2.2217746815900568</v>
      </c>
      <c r="AF1453">
        <v>1</v>
      </c>
    </row>
    <row r="1454" spans="27:32" x14ac:dyDescent="0.3">
      <c r="AA1454" s="3">
        <v>12425.32</v>
      </c>
      <c r="AB1454">
        <v>1E-4</v>
      </c>
      <c r="AC1454">
        <v>8</v>
      </c>
      <c r="AD1454" s="5">
        <v>4.9278184139263956</v>
      </c>
      <c r="AE1454" s="5">
        <v>2.1510161233695135</v>
      </c>
      <c r="AF1454">
        <v>1</v>
      </c>
    </row>
    <row r="1455" spans="27:32" x14ac:dyDescent="0.3">
      <c r="AA1455" s="3">
        <v>-5894.76</v>
      </c>
      <c r="AB1455">
        <v>1E-4</v>
      </c>
      <c r="AC1455">
        <v>9</v>
      </c>
      <c r="AD1455" s="5">
        <v>4.9430720380403459</v>
      </c>
      <c r="AE1455" s="5">
        <v>2.185629656851285</v>
      </c>
      <c r="AF1455">
        <v>1</v>
      </c>
    </row>
    <row r="1456" spans="27:32" x14ac:dyDescent="0.3">
      <c r="AA1456" s="3">
        <v>28204.53</v>
      </c>
      <c r="AB1456">
        <v>1E-4</v>
      </c>
      <c r="AC1456">
        <v>8</v>
      </c>
      <c r="AD1456" s="5">
        <v>4.9993266889631771</v>
      </c>
      <c r="AE1456" s="5">
        <v>2.2920429288718491</v>
      </c>
      <c r="AF1456">
        <v>1</v>
      </c>
    </row>
    <row r="1457" spans="27:32" x14ac:dyDescent="0.3">
      <c r="AA1457" s="3">
        <v>24667.54</v>
      </c>
      <c r="AB1457">
        <v>1E-4</v>
      </c>
      <c r="AC1457">
        <v>8</v>
      </c>
      <c r="AD1457" s="5">
        <v>4.9467476088354081</v>
      </c>
      <c r="AE1457" s="5">
        <v>2.1852959962984659</v>
      </c>
      <c r="AF1457">
        <v>1</v>
      </c>
    </row>
    <row r="1458" spans="27:32" x14ac:dyDescent="0.3">
      <c r="AA1458" s="3">
        <v>31746.959999999999</v>
      </c>
      <c r="AB1458">
        <v>1E-4</v>
      </c>
      <c r="AC1458">
        <v>7</v>
      </c>
      <c r="AD1458" s="5">
        <v>5.065340199691037</v>
      </c>
      <c r="AE1458" s="5">
        <v>2.2580650251329932</v>
      </c>
      <c r="AF1458">
        <v>1</v>
      </c>
    </row>
    <row r="1459" spans="27:32" x14ac:dyDescent="0.3">
      <c r="AA1459" s="3">
        <v>16306.24</v>
      </c>
      <c r="AB1459">
        <v>1E-4</v>
      </c>
      <c r="AC1459">
        <v>8</v>
      </c>
      <c r="AD1459" s="5">
        <v>4.9742257512416002</v>
      </c>
      <c r="AE1459" s="5">
        <v>2.1241653627815311</v>
      </c>
      <c r="AF1459">
        <v>1</v>
      </c>
    </row>
    <row r="1460" spans="27:32" x14ac:dyDescent="0.3">
      <c r="AA1460" s="3">
        <v>17234.28</v>
      </c>
      <c r="AB1460">
        <v>1E-4</v>
      </c>
      <c r="AC1460">
        <v>8</v>
      </c>
      <c r="AD1460" s="5">
        <v>4.933735035282333</v>
      </c>
      <c r="AE1460" s="5">
        <v>2.2114561240836177</v>
      </c>
      <c r="AF1460">
        <v>1</v>
      </c>
    </row>
    <row r="1461" spans="27:32" x14ac:dyDescent="0.3">
      <c r="AA1461" s="3">
        <v>19040.09</v>
      </c>
      <c r="AB1461">
        <v>1E-4</v>
      </c>
      <c r="AC1461">
        <v>8</v>
      </c>
      <c r="AD1461" s="5">
        <v>4.9720021490622566</v>
      </c>
      <c r="AE1461" s="5">
        <v>2.1952465927602556</v>
      </c>
      <c r="AF1461">
        <v>1</v>
      </c>
    </row>
    <row r="1462" spans="27:32" x14ac:dyDescent="0.3">
      <c r="AA1462" s="3">
        <v>-2414.75</v>
      </c>
      <c r="AB1462">
        <v>1E-4</v>
      </c>
      <c r="AC1462">
        <v>9</v>
      </c>
      <c r="AD1462" s="5">
        <v>4.8728241825681691</v>
      </c>
      <c r="AE1462" s="5">
        <v>2.2389096238839503</v>
      </c>
      <c r="AF1462">
        <v>1</v>
      </c>
    </row>
    <row r="1463" spans="27:32" x14ac:dyDescent="0.3">
      <c r="AA1463" s="3">
        <v>-23578.07</v>
      </c>
      <c r="AB1463">
        <v>1E-4</v>
      </c>
      <c r="AC1463">
        <v>9</v>
      </c>
      <c r="AD1463" s="5">
        <v>4.9266778742265638</v>
      </c>
      <c r="AE1463" s="5">
        <v>2.191706299414089</v>
      </c>
      <c r="AF1463">
        <v>1</v>
      </c>
    </row>
    <row r="1464" spans="27:32" x14ac:dyDescent="0.3">
      <c r="AA1464" s="3">
        <v>15767.35</v>
      </c>
      <c r="AB1464">
        <v>1E-4</v>
      </c>
      <c r="AC1464">
        <v>8</v>
      </c>
      <c r="AD1464" s="5">
        <v>4.9109080292241041</v>
      </c>
      <c r="AE1464" s="5">
        <v>2.1321471584689422</v>
      </c>
      <c r="AF1464">
        <v>1</v>
      </c>
    </row>
    <row r="1465" spans="27:32" x14ac:dyDescent="0.3">
      <c r="AA1465" s="3">
        <v>-6824.3911468921451</v>
      </c>
      <c r="AB1465">
        <v>1E-4</v>
      </c>
      <c r="AC1465">
        <v>8</v>
      </c>
      <c r="AD1465" s="5">
        <v>5.0472494021699825</v>
      </c>
      <c r="AE1465" s="5">
        <v>2.2342476224548382</v>
      </c>
      <c r="AF1465">
        <v>0</v>
      </c>
    </row>
    <row r="1466" spans="27:32" x14ac:dyDescent="0.3">
      <c r="AA1466" s="3">
        <v>47960.27</v>
      </c>
      <c r="AB1466">
        <v>1E-4</v>
      </c>
      <c r="AC1466">
        <v>7</v>
      </c>
      <c r="AD1466" s="5">
        <v>5.2097083095843573</v>
      </c>
      <c r="AE1466" s="5">
        <v>2.221085128323756</v>
      </c>
      <c r="AF1466">
        <v>1</v>
      </c>
    </row>
    <row r="1467" spans="27:32" x14ac:dyDescent="0.3">
      <c r="AA1467" s="3">
        <v>23004.44</v>
      </c>
      <c r="AB1467">
        <v>1E-4</v>
      </c>
      <c r="AC1467">
        <v>8</v>
      </c>
      <c r="AD1467" s="5">
        <v>5.0443875161881939</v>
      </c>
      <c r="AE1467" s="5">
        <v>2.2271360134643365</v>
      </c>
      <c r="AF1467">
        <v>1</v>
      </c>
    </row>
    <row r="1468" spans="27:32" x14ac:dyDescent="0.3">
      <c r="AA1468" s="3">
        <v>-3055.44</v>
      </c>
      <c r="AB1468">
        <v>1E-4</v>
      </c>
      <c r="AC1468">
        <v>9</v>
      </c>
      <c r="AD1468" s="5">
        <v>4.9168695841018284</v>
      </c>
      <c r="AE1468" s="5">
        <v>2.1912553551871636</v>
      </c>
      <c r="AF1468">
        <v>1</v>
      </c>
    </row>
    <row r="1469" spans="27:32" x14ac:dyDescent="0.3">
      <c r="AA1469" s="3">
        <v>45402.48</v>
      </c>
      <c r="AB1469">
        <v>1E-4</v>
      </c>
      <c r="AC1469">
        <v>7</v>
      </c>
      <c r="AD1469" s="5">
        <v>5.0750686438519832</v>
      </c>
      <c r="AE1469" s="5">
        <v>2.1002025276133467</v>
      </c>
      <c r="AF1469">
        <v>1</v>
      </c>
    </row>
    <row r="1470" spans="27:32" x14ac:dyDescent="0.3">
      <c r="AA1470" s="3">
        <v>-37657.32</v>
      </c>
      <c r="AB1470">
        <v>1E-4</v>
      </c>
      <c r="AC1470">
        <v>9</v>
      </c>
      <c r="AD1470" s="5">
        <v>4.9593359549656162</v>
      </c>
      <c r="AE1470" s="5">
        <v>2.2111251587147582</v>
      </c>
      <c r="AF1470">
        <v>1</v>
      </c>
    </row>
    <row r="1471" spans="27:32" x14ac:dyDescent="0.3">
      <c r="AA1471" s="3">
        <v>15888.39</v>
      </c>
      <c r="AB1471">
        <v>1E-4</v>
      </c>
      <c r="AC1471">
        <v>8</v>
      </c>
      <c r="AD1471" s="5">
        <v>4.9436279283804394</v>
      </c>
      <c r="AE1471" s="5">
        <v>2.1781128818042053</v>
      </c>
      <c r="AF1471">
        <v>1</v>
      </c>
    </row>
    <row r="1472" spans="27:32" x14ac:dyDescent="0.3">
      <c r="AA1472" s="3">
        <v>-8474.0400000000009</v>
      </c>
      <c r="AB1472">
        <v>1E-4</v>
      </c>
      <c r="AC1472">
        <v>9</v>
      </c>
      <c r="AD1472" s="5">
        <v>4.9572923628726464</v>
      </c>
      <c r="AE1472" s="5">
        <v>2.1906180646405398</v>
      </c>
      <c r="AF1472">
        <v>1</v>
      </c>
    </row>
    <row r="1473" spans="27:32" x14ac:dyDescent="0.3">
      <c r="AA1473" s="3">
        <v>31196.69</v>
      </c>
      <c r="AB1473">
        <v>1E-4</v>
      </c>
      <c r="AC1473">
        <v>8</v>
      </c>
      <c r="AD1473" s="5">
        <v>5.0672180840022172</v>
      </c>
      <c r="AE1473" s="5">
        <v>2.1117654105405563</v>
      </c>
      <c r="AF1473">
        <v>1</v>
      </c>
    </row>
    <row r="1474" spans="27:32" x14ac:dyDescent="0.3">
      <c r="AA1474" s="3">
        <v>20281.939999999999</v>
      </c>
      <c r="AB1474">
        <v>1E-4</v>
      </c>
      <c r="AC1474">
        <v>8</v>
      </c>
      <c r="AD1474" s="5">
        <v>4.96575943185589</v>
      </c>
      <c r="AE1474" s="5">
        <v>2.1167906552826699</v>
      </c>
      <c r="AF1474">
        <v>1</v>
      </c>
    </row>
    <row r="1475" spans="27:32" x14ac:dyDescent="0.3">
      <c r="AA1475" s="3">
        <v>14739.24</v>
      </c>
      <c r="AB1475">
        <v>1E-4</v>
      </c>
      <c r="AC1475">
        <v>8</v>
      </c>
      <c r="AD1475" s="5">
        <v>4.8908056526532491</v>
      </c>
      <c r="AE1475" s="5">
        <v>2.184507658126674</v>
      </c>
      <c r="AF1475">
        <v>1</v>
      </c>
    </row>
    <row r="1476" spans="27:32" x14ac:dyDescent="0.3">
      <c r="AA1476" s="3">
        <v>11557.68</v>
      </c>
      <c r="AB1476">
        <v>1E-4</v>
      </c>
      <c r="AC1476">
        <v>8</v>
      </c>
      <c r="AD1476" s="5">
        <v>5.1752143810501376</v>
      </c>
      <c r="AE1476" s="5">
        <v>2.1236099313231542</v>
      </c>
      <c r="AF1476">
        <v>1</v>
      </c>
    </row>
    <row r="1477" spans="27:32" x14ac:dyDescent="0.3">
      <c r="AA1477" s="3">
        <v>7774.11</v>
      </c>
      <c r="AB1477">
        <v>1E-4</v>
      </c>
      <c r="AC1477">
        <v>8</v>
      </c>
      <c r="AD1477" s="5">
        <v>5.0273197309963447</v>
      </c>
      <c r="AE1477" s="5">
        <v>2.2181988927511793</v>
      </c>
      <c r="AF1477">
        <v>1</v>
      </c>
    </row>
    <row r="1478" spans="27:32" x14ac:dyDescent="0.3">
      <c r="AA1478" s="3">
        <v>34629.26</v>
      </c>
      <c r="AB1478">
        <v>1E-4</v>
      </c>
      <c r="AC1478">
        <v>7</v>
      </c>
      <c r="AD1478" s="5">
        <v>4.9695400513855015</v>
      </c>
      <c r="AE1478" s="5">
        <v>2.1774992723849214</v>
      </c>
      <c r="AF1478">
        <v>1</v>
      </c>
    </row>
    <row r="1479" spans="27:32" x14ac:dyDescent="0.3">
      <c r="AA1479" s="3">
        <v>27724.65</v>
      </c>
      <c r="AB1479">
        <v>1E-4</v>
      </c>
      <c r="AC1479">
        <v>8</v>
      </c>
      <c r="AD1479" s="5">
        <v>5.1710284561271758</v>
      </c>
      <c r="AE1479" s="5">
        <v>2.259708785831414</v>
      </c>
      <c r="AF1479">
        <v>1</v>
      </c>
    </row>
    <row r="1480" spans="27:32" x14ac:dyDescent="0.3">
      <c r="AA1480" s="3">
        <v>9458.27</v>
      </c>
      <c r="AB1480">
        <v>1E-4</v>
      </c>
      <c r="AC1480">
        <v>8</v>
      </c>
      <c r="AD1480" s="5">
        <v>4.9742632360266734</v>
      </c>
      <c r="AE1480" s="5">
        <v>2.1644469341900963</v>
      </c>
      <c r="AF1480">
        <v>1</v>
      </c>
    </row>
    <row r="1481" spans="27:32" x14ac:dyDescent="0.3">
      <c r="AA1481" s="3">
        <v>-1693.76</v>
      </c>
      <c r="AB1481">
        <v>1E-4</v>
      </c>
      <c r="AC1481">
        <v>9</v>
      </c>
      <c r="AD1481" s="5">
        <v>4.9884147326148929</v>
      </c>
      <c r="AE1481" s="5">
        <v>2.2244505320273595</v>
      </c>
      <c r="AF1481">
        <v>1</v>
      </c>
    </row>
    <row r="1482" spans="27:32" x14ac:dyDescent="0.3">
      <c r="AA1482" s="3">
        <v>19013.689999999999</v>
      </c>
      <c r="AB1482">
        <v>1E-4</v>
      </c>
      <c r="AC1482">
        <v>8</v>
      </c>
      <c r="AD1482" s="5">
        <v>4.9394641075727872</v>
      </c>
      <c r="AE1482" s="5">
        <v>2.206857160596571</v>
      </c>
      <c r="AF1482">
        <v>1</v>
      </c>
    </row>
    <row r="1483" spans="27:32" x14ac:dyDescent="0.3">
      <c r="AA1483" s="3">
        <v>24930.17</v>
      </c>
      <c r="AB1483">
        <v>1E-4</v>
      </c>
      <c r="AC1483">
        <v>8</v>
      </c>
      <c r="AD1483" s="5">
        <v>5.0226105552793312</v>
      </c>
      <c r="AE1483" s="5">
        <v>2.0965609461264068</v>
      </c>
      <c r="AF1483">
        <v>1</v>
      </c>
    </row>
    <row r="1484" spans="27:32" x14ac:dyDescent="0.3">
      <c r="AA1484" s="3">
        <v>39407.32</v>
      </c>
      <c r="AB1484">
        <v>1E-4</v>
      </c>
      <c r="AC1484">
        <v>7</v>
      </c>
      <c r="AD1484" s="5">
        <v>5.0828004405063787</v>
      </c>
      <c r="AE1484" s="5">
        <v>2.2009332808132984</v>
      </c>
      <c r="AF1484">
        <v>1</v>
      </c>
    </row>
    <row r="1485" spans="27:32" x14ac:dyDescent="0.3">
      <c r="AA1485" s="3">
        <v>3077.35</v>
      </c>
      <c r="AB1485">
        <v>1E-4</v>
      </c>
      <c r="AC1485">
        <v>8</v>
      </c>
      <c r="AD1485" s="5">
        <v>4.9314374760385347</v>
      </c>
      <c r="AE1485" s="5">
        <v>2.2758802197884034</v>
      </c>
      <c r="AF1485">
        <v>1</v>
      </c>
    </row>
    <row r="1486" spans="27:32" x14ac:dyDescent="0.3">
      <c r="AA1486" s="3">
        <v>10596.5</v>
      </c>
      <c r="AB1486">
        <v>1E-4</v>
      </c>
      <c r="AC1486">
        <v>8</v>
      </c>
      <c r="AD1486" s="5">
        <v>4.9325899850155297</v>
      </c>
      <c r="AE1486" s="5">
        <v>2.2442953527274123</v>
      </c>
      <c r="AF1486">
        <v>1</v>
      </c>
    </row>
    <row r="1487" spans="27:32" x14ac:dyDescent="0.3">
      <c r="AA1487" s="3">
        <v>15131.53</v>
      </c>
      <c r="AB1487">
        <v>1E-4</v>
      </c>
      <c r="AC1487">
        <v>8</v>
      </c>
      <c r="AD1487" s="5">
        <v>5.0859799692216434</v>
      </c>
      <c r="AE1487" s="5">
        <v>2.2744995880057375</v>
      </c>
      <c r="AF1487">
        <v>1</v>
      </c>
    </row>
    <row r="1488" spans="27:32" x14ac:dyDescent="0.3">
      <c r="AA1488" s="3">
        <v>18546.830000000002</v>
      </c>
      <c r="AB1488">
        <v>1E-4</v>
      </c>
      <c r="AC1488">
        <v>8</v>
      </c>
      <c r="AD1488" s="5">
        <v>5.0017825863568834</v>
      </c>
      <c r="AE1488" s="5">
        <v>2.2114233535633807</v>
      </c>
      <c r="AF1488">
        <v>1</v>
      </c>
    </row>
    <row r="1489" spans="27:32" x14ac:dyDescent="0.3">
      <c r="AA1489" s="3">
        <v>10608.04</v>
      </c>
      <c r="AB1489">
        <v>1E-4</v>
      </c>
      <c r="AC1489">
        <v>8</v>
      </c>
      <c r="AD1489" s="5">
        <v>5.0505090707123355</v>
      </c>
      <c r="AE1489" s="5">
        <v>2.138138833927095</v>
      </c>
      <c r="AF1489">
        <v>1</v>
      </c>
    </row>
    <row r="1490" spans="27:32" x14ac:dyDescent="0.3">
      <c r="AA1490" s="3">
        <v>-366.7</v>
      </c>
      <c r="AB1490">
        <v>1E-4</v>
      </c>
      <c r="AC1490">
        <v>9</v>
      </c>
      <c r="AD1490" s="5">
        <v>4.9442611868870774</v>
      </c>
      <c r="AE1490" s="5">
        <v>2.2998763134222462</v>
      </c>
      <c r="AF1490">
        <v>1</v>
      </c>
    </row>
    <row r="1491" spans="27:32" x14ac:dyDescent="0.3">
      <c r="AA1491" s="3">
        <v>9422.59</v>
      </c>
      <c r="AB1491">
        <v>1E-4</v>
      </c>
      <c r="AC1491">
        <v>8</v>
      </c>
      <c r="AD1491" s="5">
        <v>4.9997726407180565</v>
      </c>
      <c r="AE1491" s="5">
        <v>2.1618472063781176</v>
      </c>
      <c r="AF1491">
        <v>1</v>
      </c>
    </row>
    <row r="1492" spans="27:32" x14ac:dyDescent="0.3">
      <c r="AA1492" s="3">
        <v>14257.53</v>
      </c>
      <c r="AB1492">
        <v>1E-4</v>
      </c>
      <c r="AC1492">
        <v>8</v>
      </c>
      <c r="AD1492" s="5">
        <v>5.0174372169998156</v>
      </c>
      <c r="AE1492" s="5">
        <v>2.1989762085257261</v>
      </c>
      <c r="AF1492">
        <v>1</v>
      </c>
    </row>
    <row r="1493" spans="27:32" x14ac:dyDescent="0.3">
      <c r="AA1493" s="3">
        <v>4439.83</v>
      </c>
      <c r="AB1493">
        <v>1E-4</v>
      </c>
      <c r="AC1493">
        <v>8</v>
      </c>
      <c r="AD1493" s="5">
        <v>5.0021857627040784</v>
      </c>
      <c r="AE1493" s="5">
        <v>2.2006725794725366</v>
      </c>
      <c r="AF1493">
        <v>1</v>
      </c>
    </row>
    <row r="1494" spans="27:32" x14ac:dyDescent="0.3">
      <c r="AA1494" s="3">
        <v>430.83</v>
      </c>
      <c r="AB1494">
        <v>1E-4</v>
      </c>
      <c r="AC1494">
        <v>8</v>
      </c>
      <c r="AD1494" s="5">
        <v>4.8713423713490185</v>
      </c>
      <c r="AE1494" s="5">
        <v>2.1455240067069905</v>
      </c>
      <c r="AF1494">
        <v>1</v>
      </c>
    </row>
    <row r="1495" spans="27:32" x14ac:dyDescent="0.3">
      <c r="AA1495" s="3">
        <v>20598.41</v>
      </c>
      <c r="AB1495">
        <v>1E-4</v>
      </c>
      <c r="AC1495">
        <v>8</v>
      </c>
      <c r="AD1495" s="5">
        <v>5.0033061336118525</v>
      </c>
      <c r="AE1495" s="5">
        <v>2.1772816460635909</v>
      </c>
      <c r="AF1495">
        <v>1</v>
      </c>
    </row>
    <row r="1496" spans="27:32" x14ac:dyDescent="0.3">
      <c r="AA1496" s="3">
        <v>11214.56</v>
      </c>
      <c r="AB1496">
        <v>1E-4</v>
      </c>
      <c r="AC1496">
        <v>8</v>
      </c>
      <c r="AD1496" s="5">
        <v>5.1097903750611033</v>
      </c>
      <c r="AE1496" s="5">
        <v>2.2225311596069086</v>
      </c>
      <c r="AF1496">
        <v>1</v>
      </c>
    </row>
    <row r="1497" spans="27:32" x14ac:dyDescent="0.3">
      <c r="AA1497" s="3">
        <v>10625.91</v>
      </c>
      <c r="AB1497">
        <v>1E-4</v>
      </c>
      <c r="AC1497">
        <v>8</v>
      </c>
      <c r="AD1497" s="5">
        <v>4.9701298319193841</v>
      </c>
      <c r="AE1497" s="5">
        <v>2.1696190562741839</v>
      </c>
      <c r="AF1497">
        <v>1</v>
      </c>
    </row>
    <row r="1498" spans="27:32" x14ac:dyDescent="0.3">
      <c r="AA1498" s="3">
        <v>40593.33</v>
      </c>
      <c r="AB1498">
        <v>1E-4</v>
      </c>
      <c r="AC1498">
        <v>7</v>
      </c>
      <c r="AD1498" s="5">
        <v>4.9869801949437269</v>
      </c>
      <c r="AE1498" s="5">
        <v>2.1554806397560062</v>
      </c>
      <c r="AF1498">
        <v>1</v>
      </c>
    </row>
    <row r="1499" spans="27:32" x14ac:dyDescent="0.3">
      <c r="AA1499" s="3">
        <v>4082.65</v>
      </c>
      <c r="AB1499">
        <v>1E-4</v>
      </c>
      <c r="AC1499">
        <v>8</v>
      </c>
      <c r="AD1499" s="5">
        <v>4.9172710072125518</v>
      </c>
      <c r="AE1499" s="5">
        <v>2.1607949084833753</v>
      </c>
      <c r="AF1499">
        <v>1</v>
      </c>
    </row>
    <row r="1500" spans="27:32" x14ac:dyDescent="0.3">
      <c r="AA1500" s="3">
        <v>22491.040000000001</v>
      </c>
      <c r="AB1500">
        <v>1E-4</v>
      </c>
      <c r="AC1500">
        <v>8</v>
      </c>
      <c r="AD1500" s="5">
        <v>5.0807062787538033</v>
      </c>
      <c r="AE1500" s="5">
        <v>2.1673297989427045</v>
      </c>
      <c r="AF1500">
        <v>1</v>
      </c>
    </row>
    <row r="1501" spans="27:32" x14ac:dyDescent="0.3">
      <c r="AA1501" s="3">
        <v>-12550.7</v>
      </c>
      <c r="AB1501">
        <v>1E-4</v>
      </c>
      <c r="AC1501">
        <v>9</v>
      </c>
      <c r="AD1501" s="5">
        <v>5.0889626364044904</v>
      </c>
      <c r="AE1501" s="5">
        <v>2.201957712341799</v>
      </c>
      <c r="AF1501">
        <v>1</v>
      </c>
    </row>
    <row r="1502" spans="27:32" x14ac:dyDescent="0.3">
      <c r="AA1502" s="3">
        <v>20838.11</v>
      </c>
      <c r="AB1502">
        <v>1E-4</v>
      </c>
      <c r="AC1502">
        <v>8</v>
      </c>
      <c r="AD1502" s="5">
        <v>5.0364893536701789</v>
      </c>
      <c r="AE1502" s="5">
        <v>2.2122754237771067</v>
      </c>
      <c r="AF1502">
        <v>1</v>
      </c>
    </row>
    <row r="1503" spans="27:32" x14ac:dyDescent="0.3">
      <c r="AA1503" s="3">
        <v>46750.91</v>
      </c>
      <c r="AB1503">
        <v>1E-4</v>
      </c>
      <c r="AC1503">
        <v>7</v>
      </c>
      <c r="AD1503" s="5">
        <v>4.9736990077787135</v>
      </c>
      <c r="AE1503" s="5">
        <v>2.2201620991395168</v>
      </c>
      <c r="AF1503">
        <v>1</v>
      </c>
    </row>
    <row r="1504" spans="27:32" x14ac:dyDescent="0.3">
      <c r="AA1504" s="3">
        <v>-5238.2700000000004</v>
      </c>
      <c r="AB1504">
        <v>1E-4</v>
      </c>
      <c r="AC1504">
        <v>9</v>
      </c>
      <c r="AD1504" s="5">
        <v>5.1275493526804867</v>
      </c>
      <c r="AE1504" s="5">
        <v>2.1971029439227014</v>
      </c>
      <c r="AF1504">
        <v>1</v>
      </c>
    </row>
    <row r="1505" spans="27:32" x14ac:dyDescent="0.3">
      <c r="AA1505" s="3">
        <v>1721.21</v>
      </c>
      <c r="AB1505">
        <v>1E-4</v>
      </c>
      <c r="AC1505">
        <v>8</v>
      </c>
      <c r="AD1505" s="5">
        <v>5.0263886059720351</v>
      </c>
      <c r="AE1505" s="5">
        <v>2.2133772048692553</v>
      </c>
      <c r="AF1505">
        <v>1</v>
      </c>
    </row>
    <row r="1506" spans="27:32" x14ac:dyDescent="0.3">
      <c r="AA1506" s="3">
        <v>31198.29</v>
      </c>
      <c r="AB1506">
        <v>1E-4</v>
      </c>
      <c r="AC1506">
        <v>7</v>
      </c>
      <c r="AD1506" s="5">
        <v>4.9496459903609846</v>
      </c>
      <c r="AE1506" s="5">
        <v>2.2533710677353</v>
      </c>
      <c r="AF1506">
        <v>1</v>
      </c>
    </row>
    <row r="1507" spans="27:32" x14ac:dyDescent="0.3">
      <c r="AA1507" s="3">
        <v>22528.799999999999</v>
      </c>
      <c r="AB1507">
        <v>1E-4</v>
      </c>
      <c r="AC1507">
        <v>8</v>
      </c>
      <c r="AD1507" s="5">
        <v>5.0529275553510979</v>
      </c>
      <c r="AE1507" s="5">
        <v>2.226309593903713</v>
      </c>
      <c r="AF1507">
        <v>1</v>
      </c>
    </row>
    <row r="1508" spans="27:32" x14ac:dyDescent="0.3">
      <c r="AA1508" s="3">
        <v>3986.55</v>
      </c>
      <c r="AB1508">
        <v>1E-4</v>
      </c>
      <c r="AC1508">
        <v>8</v>
      </c>
      <c r="AD1508" s="5">
        <v>5.0063273854833641</v>
      </c>
      <c r="AE1508" s="5">
        <v>2.2886152049503172</v>
      </c>
      <c r="AF1508">
        <v>1</v>
      </c>
    </row>
    <row r="1509" spans="27:32" x14ac:dyDescent="0.3">
      <c r="AA1509" s="3">
        <v>15781.09</v>
      </c>
      <c r="AB1509">
        <v>1E-4</v>
      </c>
      <c r="AC1509">
        <v>8</v>
      </c>
      <c r="AD1509" s="5">
        <v>4.9902318989389656</v>
      </c>
      <c r="AE1509" s="5">
        <v>2.16403362973473</v>
      </c>
      <c r="AF1509">
        <v>1</v>
      </c>
    </row>
    <row r="1510" spans="27:32" x14ac:dyDescent="0.3">
      <c r="AA1510" s="3">
        <v>21495.57</v>
      </c>
      <c r="AB1510">
        <v>1E-4</v>
      </c>
      <c r="AC1510">
        <v>8</v>
      </c>
      <c r="AD1510" s="5">
        <v>4.8616352027454628</v>
      </c>
      <c r="AE1510" s="5">
        <v>2.1839257352623482</v>
      </c>
      <c r="AF1510">
        <v>1</v>
      </c>
    </row>
    <row r="1511" spans="27:32" x14ac:dyDescent="0.3">
      <c r="AA1511" s="3">
        <v>6641.3</v>
      </c>
      <c r="AB1511">
        <v>1E-4</v>
      </c>
      <c r="AC1511">
        <v>8</v>
      </c>
      <c r="AD1511" s="5">
        <v>5.0594593376751336</v>
      </c>
      <c r="AE1511" s="5">
        <v>2.1602551118162059</v>
      </c>
      <c r="AF1511">
        <v>1</v>
      </c>
    </row>
    <row r="1512" spans="27:32" x14ac:dyDescent="0.3">
      <c r="AA1512" s="3">
        <v>8635.1200000000008</v>
      </c>
      <c r="AB1512">
        <v>1E-4</v>
      </c>
      <c r="AC1512">
        <v>8</v>
      </c>
      <c r="AD1512" s="5">
        <v>5.170295143904891</v>
      </c>
      <c r="AE1512" s="5">
        <v>2.1453859991961157</v>
      </c>
      <c r="AF1512">
        <v>1</v>
      </c>
    </row>
    <row r="1513" spans="27:32" x14ac:dyDescent="0.3">
      <c r="AA1513" s="3">
        <v>-3176.64</v>
      </c>
      <c r="AB1513">
        <v>1E-4</v>
      </c>
      <c r="AC1513">
        <v>9</v>
      </c>
      <c r="AD1513" s="5">
        <v>4.959783825065128</v>
      </c>
      <c r="AE1513" s="5">
        <v>2.1534607662201806</v>
      </c>
      <c r="AF1513">
        <v>1</v>
      </c>
    </row>
    <row r="1514" spans="27:32" x14ac:dyDescent="0.3">
      <c r="AA1514" s="3">
        <v>-36882.74</v>
      </c>
      <c r="AB1514">
        <v>1E-4</v>
      </c>
      <c r="AC1514">
        <v>9</v>
      </c>
      <c r="AD1514" s="5">
        <v>4.9359612223627138</v>
      </c>
      <c r="AE1514" s="5">
        <v>2.245474524549925</v>
      </c>
      <c r="AF1514">
        <v>1</v>
      </c>
    </row>
    <row r="1515" spans="27:32" x14ac:dyDescent="0.3">
      <c r="AA1515" s="3">
        <v>16413.650000000001</v>
      </c>
      <c r="AB1515">
        <v>1E-4</v>
      </c>
      <c r="AC1515">
        <v>8</v>
      </c>
      <c r="AD1515" s="5">
        <v>4.9169739616850476</v>
      </c>
      <c r="AE1515" s="5">
        <v>2.1685049096153168</v>
      </c>
      <c r="AF1515">
        <v>1</v>
      </c>
    </row>
    <row r="1516" spans="27:32" x14ac:dyDescent="0.3">
      <c r="AA1516" s="3">
        <v>38474.1</v>
      </c>
      <c r="AB1516">
        <v>1E-4</v>
      </c>
      <c r="AC1516">
        <v>7</v>
      </c>
      <c r="AD1516" s="5">
        <v>5.1408553136670365</v>
      </c>
      <c r="AE1516" s="5">
        <v>2.1411038503302531</v>
      </c>
      <c r="AF1516">
        <v>1</v>
      </c>
    </row>
    <row r="1517" spans="27:32" x14ac:dyDescent="0.3">
      <c r="AA1517" s="3">
        <v>27066.22</v>
      </c>
      <c r="AB1517">
        <v>1E-4</v>
      </c>
      <c r="AC1517">
        <v>8</v>
      </c>
      <c r="AD1517" s="5">
        <v>5.0745793459048762</v>
      </c>
      <c r="AE1517" s="5">
        <v>2.2583767869791598</v>
      </c>
      <c r="AF1517">
        <v>1</v>
      </c>
    </row>
    <row r="1518" spans="27:32" x14ac:dyDescent="0.3">
      <c r="AA1518" s="3">
        <v>31961.41</v>
      </c>
      <c r="AB1518">
        <v>1E-4</v>
      </c>
      <c r="AC1518">
        <v>7</v>
      </c>
      <c r="AD1518" s="5">
        <v>4.8611010184880392</v>
      </c>
      <c r="AE1518" s="5">
        <v>2.2099920701640317</v>
      </c>
      <c r="AF1518">
        <v>1</v>
      </c>
    </row>
    <row r="1519" spans="27:32" x14ac:dyDescent="0.3">
      <c r="AA1519" s="3">
        <v>9948.69</v>
      </c>
      <c r="AB1519">
        <v>1E-4</v>
      </c>
      <c r="AC1519">
        <v>8</v>
      </c>
      <c r="AD1519" s="5">
        <v>5.0413356192440615</v>
      </c>
      <c r="AE1519" s="5">
        <v>2.1761365961399317</v>
      </c>
      <c r="AF1519">
        <v>1</v>
      </c>
    </row>
    <row r="1520" spans="27:32" x14ac:dyDescent="0.3">
      <c r="AA1520" s="3">
        <v>19507.52</v>
      </c>
      <c r="AB1520">
        <v>1E-4</v>
      </c>
      <c r="AC1520">
        <v>8</v>
      </c>
      <c r="AD1520" s="5">
        <v>5.0092317851996881</v>
      </c>
      <c r="AE1520" s="5">
        <v>2.1859566425295331</v>
      </c>
      <c r="AF1520">
        <v>1</v>
      </c>
    </row>
    <row r="1521" spans="27:32" x14ac:dyDescent="0.3">
      <c r="AA1521" s="3">
        <v>38006.29</v>
      </c>
      <c r="AB1521">
        <v>1E-4</v>
      </c>
      <c r="AC1521">
        <v>7</v>
      </c>
      <c r="AD1521" s="5">
        <v>5.0102340635983236</v>
      </c>
      <c r="AE1521" s="5">
        <v>2.3060051402826192</v>
      </c>
      <c r="AF1521">
        <v>1</v>
      </c>
    </row>
    <row r="1522" spans="27:32" x14ac:dyDescent="0.3">
      <c r="AA1522" s="3">
        <v>22133.5</v>
      </c>
      <c r="AB1522">
        <v>1E-4</v>
      </c>
      <c r="AC1522">
        <v>8</v>
      </c>
      <c r="AD1522" s="5">
        <v>4.9951603639789299</v>
      </c>
      <c r="AE1522" s="5">
        <v>2.214073908189921</v>
      </c>
      <c r="AF1522">
        <v>1</v>
      </c>
    </row>
    <row r="1523" spans="27:32" x14ac:dyDescent="0.3">
      <c r="AA1523" s="3">
        <v>-6720.54</v>
      </c>
      <c r="AB1523">
        <v>1E-4</v>
      </c>
      <c r="AC1523">
        <v>9</v>
      </c>
      <c r="AD1523" s="5">
        <v>4.9565056573779573</v>
      </c>
      <c r="AE1523" s="5">
        <v>2.2167336085664129</v>
      </c>
      <c r="AF1523">
        <v>1</v>
      </c>
    </row>
    <row r="1524" spans="27:32" x14ac:dyDescent="0.3">
      <c r="AA1524" s="3">
        <v>808.77</v>
      </c>
      <c r="AB1524">
        <v>1E-4</v>
      </c>
      <c r="AC1524">
        <v>8</v>
      </c>
      <c r="AD1524" s="5">
        <v>4.9922498080264148</v>
      </c>
      <c r="AE1524" s="5">
        <v>2.182130801607403</v>
      </c>
      <c r="AF1524">
        <v>1</v>
      </c>
    </row>
    <row r="1525" spans="27:32" x14ac:dyDescent="0.3">
      <c r="AA1525" s="3">
        <v>37395.620000000003</v>
      </c>
      <c r="AB1525">
        <v>1E-4</v>
      </c>
      <c r="AC1525">
        <v>7</v>
      </c>
      <c r="AD1525" s="5">
        <v>5.0216565168187328</v>
      </c>
      <c r="AE1525" s="5">
        <v>2.222010100111492</v>
      </c>
      <c r="AF1525">
        <v>1</v>
      </c>
    </row>
    <row r="1526" spans="27:32" x14ac:dyDescent="0.3">
      <c r="AA1526" s="3">
        <v>-20933.32</v>
      </c>
      <c r="AB1526">
        <v>1E-4</v>
      </c>
      <c r="AC1526">
        <v>9</v>
      </c>
      <c r="AD1526" s="5">
        <v>4.7538128623560976</v>
      </c>
      <c r="AE1526" s="5">
        <v>2.173439066128513</v>
      </c>
      <c r="AF1526">
        <v>1</v>
      </c>
    </row>
    <row r="1527" spans="27:32" x14ac:dyDescent="0.3">
      <c r="AA1527" s="3">
        <v>42450.1</v>
      </c>
      <c r="AB1527">
        <v>1E-4</v>
      </c>
      <c r="AC1527">
        <v>7</v>
      </c>
      <c r="AD1527" s="5">
        <v>4.9198299840211455</v>
      </c>
      <c r="AE1527" s="5">
        <v>2.1284527383159517</v>
      </c>
      <c r="AF1527">
        <v>1</v>
      </c>
    </row>
    <row r="1528" spans="27:32" x14ac:dyDescent="0.3">
      <c r="AA1528" s="3">
        <v>4187.3999999999996</v>
      </c>
      <c r="AB1528">
        <v>1E-4</v>
      </c>
      <c r="AC1528">
        <v>8</v>
      </c>
      <c r="AD1528" s="5">
        <v>5.1101658157652317</v>
      </c>
      <c r="AE1528" s="5">
        <v>2.2987334494733385</v>
      </c>
      <c r="AF1528">
        <v>1</v>
      </c>
    </row>
    <row r="1529" spans="27:32" x14ac:dyDescent="0.3">
      <c r="AA1529" s="3">
        <v>31537.61</v>
      </c>
      <c r="AB1529">
        <v>1E-4</v>
      </c>
      <c r="AC1529">
        <v>7</v>
      </c>
      <c r="AD1529" s="5">
        <v>5.0530617148583579</v>
      </c>
      <c r="AE1529" s="5">
        <v>2.1945595217090696</v>
      </c>
      <c r="AF1529">
        <v>1</v>
      </c>
    </row>
    <row r="1530" spans="27:32" x14ac:dyDescent="0.3">
      <c r="AA1530" s="3">
        <v>-2074.87</v>
      </c>
      <c r="AB1530">
        <v>1E-4</v>
      </c>
      <c r="AC1530">
        <v>9</v>
      </c>
      <c r="AD1530" s="5">
        <v>5.0591353504283703</v>
      </c>
      <c r="AE1530" s="5">
        <v>2.1742094563919743</v>
      </c>
      <c r="AF1530">
        <v>1</v>
      </c>
    </row>
    <row r="1531" spans="27:32" x14ac:dyDescent="0.3">
      <c r="AA1531" s="3">
        <v>12082.2</v>
      </c>
      <c r="AB1531">
        <v>1E-4</v>
      </c>
      <c r="AC1531">
        <v>8</v>
      </c>
      <c r="AD1531" s="5">
        <v>5.158882025177407</v>
      </c>
      <c r="AE1531" s="5">
        <v>2.2253660168482607</v>
      </c>
      <c r="AF1531">
        <v>1</v>
      </c>
    </row>
    <row r="1532" spans="27:32" x14ac:dyDescent="0.3">
      <c r="AA1532" s="3">
        <v>15966.15</v>
      </c>
      <c r="AB1532">
        <v>1E-4</v>
      </c>
      <c r="AC1532">
        <v>8</v>
      </c>
      <c r="AD1532" s="5">
        <v>5.0706794135497972</v>
      </c>
      <c r="AE1532" s="5">
        <v>2.1312491416948083</v>
      </c>
      <c r="AF1532">
        <v>1</v>
      </c>
    </row>
    <row r="1533" spans="27:32" x14ac:dyDescent="0.3">
      <c r="AA1533" s="3">
        <v>33487.56</v>
      </c>
      <c r="AB1533">
        <v>1E-4</v>
      </c>
      <c r="AC1533">
        <v>7</v>
      </c>
      <c r="AD1533" s="5">
        <v>5.0498259745192513</v>
      </c>
      <c r="AE1533" s="5">
        <v>2.1797761845904571</v>
      </c>
      <c r="AF1533">
        <v>1</v>
      </c>
    </row>
    <row r="1534" spans="27:32" x14ac:dyDescent="0.3">
      <c r="AA1534" s="3">
        <v>23367.040000000001</v>
      </c>
      <c r="AB1534">
        <v>1E-4</v>
      </c>
      <c r="AC1534">
        <v>8</v>
      </c>
      <c r="AD1534" s="5">
        <v>5.068391905183125</v>
      </c>
      <c r="AE1534" s="5">
        <v>2.2288408821343664</v>
      </c>
      <c r="AF1534">
        <v>1</v>
      </c>
    </row>
    <row r="1535" spans="27:32" x14ac:dyDescent="0.3">
      <c r="AA1535" s="3">
        <v>17116.36</v>
      </c>
      <c r="AB1535">
        <v>1E-4</v>
      </c>
      <c r="AC1535">
        <v>8</v>
      </c>
      <c r="AD1535" s="5">
        <v>5.1085178876588078</v>
      </c>
      <c r="AE1535" s="5">
        <v>2.1607827233403718</v>
      </c>
      <c r="AF1535">
        <v>1</v>
      </c>
    </row>
    <row r="1536" spans="27:32" x14ac:dyDescent="0.3">
      <c r="AA1536" s="3">
        <v>16427.05</v>
      </c>
      <c r="AB1536">
        <v>1E-4</v>
      </c>
      <c r="AC1536">
        <v>8</v>
      </c>
      <c r="AD1536" s="5">
        <v>5.038202927725985</v>
      </c>
      <c r="AE1536" s="5">
        <v>2.2434004769725955</v>
      </c>
      <c r="AF1536">
        <v>1</v>
      </c>
    </row>
    <row r="1537" spans="27:32" x14ac:dyDescent="0.3">
      <c r="AA1537" s="3">
        <v>16693.740000000002</v>
      </c>
      <c r="AB1537">
        <v>1E-4</v>
      </c>
      <c r="AC1537">
        <v>8</v>
      </c>
      <c r="AD1537" s="5">
        <v>4.855789459554015</v>
      </c>
      <c r="AE1537" s="5">
        <v>2.2168522794491459</v>
      </c>
      <c r="AF1537">
        <v>1</v>
      </c>
    </row>
    <row r="1538" spans="27:32" x14ac:dyDescent="0.3">
      <c r="AA1538" s="3">
        <v>-602.84</v>
      </c>
      <c r="AB1538">
        <v>1E-4</v>
      </c>
      <c r="AC1538">
        <v>9</v>
      </c>
      <c r="AD1538" s="5">
        <v>5.0902413021636255</v>
      </c>
      <c r="AE1538" s="5">
        <v>2.2559759762472162</v>
      </c>
      <c r="AF1538">
        <v>1</v>
      </c>
    </row>
    <row r="1539" spans="27:32" x14ac:dyDescent="0.3">
      <c r="AA1539" s="3">
        <v>37716.42</v>
      </c>
      <c r="AB1539">
        <v>1E-4</v>
      </c>
      <c r="AC1539">
        <v>7</v>
      </c>
      <c r="AD1539" s="5">
        <v>5.0895447865740095</v>
      </c>
      <c r="AE1539" s="5">
        <v>2.1296683251353974</v>
      </c>
      <c r="AF1539">
        <v>1</v>
      </c>
    </row>
    <row r="1540" spans="27:32" x14ac:dyDescent="0.3">
      <c r="AA1540" s="3">
        <v>24652.080000000002</v>
      </c>
      <c r="AB1540">
        <v>1E-4</v>
      </c>
      <c r="AC1540">
        <v>8</v>
      </c>
      <c r="AD1540" s="5">
        <v>4.9687615816090416</v>
      </c>
      <c r="AE1540" s="5">
        <v>2.1935754985049449</v>
      </c>
      <c r="AF1540">
        <v>1</v>
      </c>
    </row>
    <row r="1541" spans="27:32" x14ac:dyDescent="0.3">
      <c r="AA1541" s="3">
        <v>-16824.120231613117</v>
      </c>
      <c r="AB1541">
        <v>1E-4</v>
      </c>
      <c r="AC1541">
        <v>8</v>
      </c>
      <c r="AD1541" s="5">
        <v>5.0623055549607088</v>
      </c>
      <c r="AE1541" s="5">
        <v>2.2298714990764554</v>
      </c>
      <c r="AF1541">
        <v>0</v>
      </c>
    </row>
    <row r="1542" spans="27:32" x14ac:dyDescent="0.3">
      <c r="AA1542" s="3">
        <v>19360.849999999999</v>
      </c>
      <c r="AB1542">
        <v>1E-4</v>
      </c>
      <c r="AC1542">
        <v>8</v>
      </c>
      <c r="AD1542" s="5">
        <v>5.1516545195380345</v>
      </c>
      <c r="AE1542" s="5">
        <v>2.255492932374207</v>
      </c>
      <c r="AF1542">
        <v>1</v>
      </c>
    </row>
    <row r="1543" spans="27:32" x14ac:dyDescent="0.3">
      <c r="AA1543" s="3">
        <v>-18894.757318324009</v>
      </c>
      <c r="AB1543">
        <v>1E-4</v>
      </c>
      <c r="AC1543">
        <v>8</v>
      </c>
      <c r="AD1543" s="5">
        <v>4.9282879141042732</v>
      </c>
      <c r="AE1543" s="5">
        <v>2.1490439928171763</v>
      </c>
      <c r="AF1543">
        <v>0</v>
      </c>
    </row>
    <row r="1544" spans="27:32" x14ac:dyDescent="0.3">
      <c r="AA1544" s="3">
        <v>3641</v>
      </c>
      <c r="AB1544">
        <v>1E-4</v>
      </c>
      <c r="AC1544">
        <v>8</v>
      </c>
      <c r="AD1544" s="5">
        <v>5.1664018316909743</v>
      </c>
      <c r="AE1544" s="5">
        <v>2.2660372778030857</v>
      </c>
      <c r="AF1544">
        <v>1</v>
      </c>
    </row>
    <row r="1545" spans="27:32" x14ac:dyDescent="0.3">
      <c r="AA1545" s="3">
        <v>21306.34</v>
      </c>
      <c r="AB1545">
        <v>1E-4</v>
      </c>
      <c r="AC1545">
        <v>8</v>
      </c>
      <c r="AD1545" s="5">
        <v>4.9102857669066982</v>
      </c>
      <c r="AE1545" s="5">
        <v>2.2153405732542972</v>
      </c>
      <c r="AF1545">
        <v>1</v>
      </c>
    </row>
    <row r="1546" spans="27:32" x14ac:dyDescent="0.3">
      <c r="AA1546" s="3">
        <v>4728.51</v>
      </c>
      <c r="AB1546">
        <v>1E-4</v>
      </c>
      <c r="AC1546">
        <v>8</v>
      </c>
      <c r="AD1546" s="5">
        <v>4.9621627424513015</v>
      </c>
      <c r="AE1546" s="5">
        <v>2.2572159772463105</v>
      </c>
      <c r="AF1546">
        <v>1</v>
      </c>
    </row>
    <row r="1547" spans="27:32" x14ac:dyDescent="0.3">
      <c r="AA1547" s="3">
        <v>-6295.34</v>
      </c>
      <c r="AB1547">
        <v>1E-4</v>
      </c>
      <c r="AC1547">
        <v>9</v>
      </c>
      <c r="AD1547" s="5">
        <v>5.0082588796296212</v>
      </c>
      <c r="AE1547" s="5">
        <v>2.2289510521207769</v>
      </c>
      <c r="AF1547">
        <v>1</v>
      </c>
    </row>
    <row r="1548" spans="27:32" x14ac:dyDescent="0.3">
      <c r="AA1548" s="3">
        <v>38666.25</v>
      </c>
      <c r="AB1548">
        <v>1E-4</v>
      </c>
      <c r="AC1548">
        <v>7</v>
      </c>
      <c r="AD1548" s="5">
        <v>4.975373558007715</v>
      </c>
      <c r="AE1548" s="5">
        <v>2.250600250312595</v>
      </c>
      <c r="AF1548">
        <v>1</v>
      </c>
    </row>
    <row r="1549" spans="27:32" x14ac:dyDescent="0.3">
      <c r="AA1549" s="3">
        <v>30508.89</v>
      </c>
      <c r="AB1549">
        <v>1E-4</v>
      </c>
      <c r="AC1549">
        <v>8</v>
      </c>
      <c r="AD1549" s="5">
        <v>5.0332876524571271</v>
      </c>
      <c r="AE1549" s="5">
        <v>2.1689444677542653</v>
      </c>
      <c r="AF1549">
        <v>1</v>
      </c>
    </row>
    <row r="1550" spans="27:32" x14ac:dyDescent="0.3">
      <c r="AA1550" s="3">
        <v>-24115.926777440774</v>
      </c>
      <c r="AB1550">
        <v>1E-4</v>
      </c>
      <c r="AC1550">
        <v>9</v>
      </c>
      <c r="AD1550" s="5">
        <v>5.13036777214149</v>
      </c>
      <c r="AE1550" s="5">
        <v>2.16953746991397</v>
      </c>
      <c r="AF1550">
        <v>0</v>
      </c>
    </row>
    <row r="1551" spans="27:32" x14ac:dyDescent="0.3">
      <c r="AA1551" s="3">
        <v>15211.06</v>
      </c>
      <c r="AB1551">
        <v>1E-4</v>
      </c>
      <c r="AC1551">
        <v>8</v>
      </c>
      <c r="AD1551" s="5">
        <v>5.0073331973580615</v>
      </c>
      <c r="AE1551" s="5">
        <v>2.3089295498184446</v>
      </c>
      <c r="AF1551">
        <v>1</v>
      </c>
    </row>
    <row r="1552" spans="27:32" x14ac:dyDescent="0.3">
      <c r="AA1552" s="3">
        <v>39332.15</v>
      </c>
      <c r="AB1552">
        <v>1E-4</v>
      </c>
      <c r="AC1552">
        <v>7</v>
      </c>
      <c r="AD1552" s="5">
        <v>5.1240109953249906</v>
      </c>
      <c r="AE1552" s="5">
        <v>2.1752841866822514</v>
      </c>
      <c r="AF1552">
        <v>1</v>
      </c>
    </row>
    <row r="1553" spans="27:32" x14ac:dyDescent="0.3">
      <c r="AA1553" s="3">
        <v>26876.560000000001</v>
      </c>
      <c r="AB1553">
        <v>1E-4</v>
      </c>
      <c r="AC1553">
        <v>8</v>
      </c>
      <c r="AD1553" s="5">
        <v>5.0210282405250357</v>
      </c>
      <c r="AE1553" s="5">
        <v>2.2546759939465151</v>
      </c>
      <c r="AF1553">
        <v>1</v>
      </c>
    </row>
    <row r="1554" spans="27:32" x14ac:dyDescent="0.3">
      <c r="AA1554" s="3">
        <v>30592.55</v>
      </c>
      <c r="AB1554">
        <v>1E-4</v>
      </c>
      <c r="AC1554">
        <v>8</v>
      </c>
      <c r="AD1554" s="5">
        <v>5.1985562020182057</v>
      </c>
      <c r="AE1554" s="5">
        <v>2.2205405909512979</v>
      </c>
      <c r="AF1554">
        <v>1</v>
      </c>
    </row>
    <row r="1555" spans="27:32" x14ac:dyDescent="0.3">
      <c r="AA1555" s="3">
        <v>-10542.6</v>
      </c>
      <c r="AB1555">
        <v>1E-4</v>
      </c>
      <c r="AC1555">
        <v>9</v>
      </c>
      <c r="AD1555" s="5">
        <v>5.0778363626656295</v>
      </c>
      <c r="AE1555" s="5">
        <v>2.1763490504170155</v>
      </c>
      <c r="AF1555">
        <v>1</v>
      </c>
    </row>
    <row r="1556" spans="27:32" x14ac:dyDescent="0.3">
      <c r="AA1556" s="3">
        <v>20595.310000000001</v>
      </c>
      <c r="AB1556">
        <v>1E-4</v>
      </c>
      <c r="AC1556">
        <v>8</v>
      </c>
      <c r="AD1556" s="5">
        <v>4.9297276919281243</v>
      </c>
      <c r="AE1556" s="5">
        <v>2.1236171222679747</v>
      </c>
      <c r="AF1556">
        <v>1</v>
      </c>
    </row>
    <row r="1557" spans="27:32" x14ac:dyDescent="0.3">
      <c r="AA1557" s="3">
        <v>8890.85</v>
      </c>
      <c r="AB1557">
        <v>1E-4</v>
      </c>
      <c r="AC1557">
        <v>8</v>
      </c>
      <c r="AD1557" s="5">
        <v>4.9707823202766894</v>
      </c>
      <c r="AE1557" s="5">
        <v>2.2644871142932881</v>
      </c>
      <c r="AF1557">
        <v>1</v>
      </c>
    </row>
    <row r="1558" spans="27:32" x14ac:dyDescent="0.3">
      <c r="AA1558" s="3">
        <v>15780.56</v>
      </c>
      <c r="AB1558">
        <v>1E-4</v>
      </c>
      <c r="AC1558">
        <v>8</v>
      </c>
      <c r="AD1558" s="5">
        <v>4.9416072001054152</v>
      </c>
      <c r="AE1558" s="5">
        <v>2.1966021742997843</v>
      </c>
      <c r="AF1558">
        <v>1</v>
      </c>
    </row>
    <row r="1559" spans="27:32" x14ac:dyDescent="0.3">
      <c r="AA1559" s="3">
        <v>28927.03</v>
      </c>
      <c r="AB1559">
        <v>1E-4</v>
      </c>
      <c r="AC1559">
        <v>8</v>
      </c>
      <c r="AD1559" s="5">
        <v>4.998032633660312</v>
      </c>
      <c r="AE1559" s="5">
        <v>2.2185220959957701</v>
      </c>
      <c r="AF1559">
        <v>1</v>
      </c>
    </row>
    <row r="1560" spans="27:32" x14ac:dyDescent="0.3">
      <c r="AA1560" s="3">
        <v>24941.65</v>
      </c>
      <c r="AB1560">
        <v>1E-4</v>
      </c>
      <c r="AC1560">
        <v>8</v>
      </c>
      <c r="AD1560" s="5">
        <v>5.0602884900150142</v>
      </c>
      <c r="AE1560" s="5">
        <v>2.2157334569907894</v>
      </c>
      <c r="AF1560">
        <v>1</v>
      </c>
    </row>
    <row r="1561" spans="27:32" x14ac:dyDescent="0.3">
      <c r="AA1561" s="3">
        <v>21555.64</v>
      </c>
      <c r="AB1561">
        <v>1E-4</v>
      </c>
      <c r="AC1561">
        <v>8</v>
      </c>
      <c r="AD1561" s="5">
        <v>4.9032407065719452</v>
      </c>
      <c r="AE1561" s="5">
        <v>2.2685506887910374</v>
      </c>
      <c r="AF1561">
        <v>1</v>
      </c>
    </row>
    <row r="1562" spans="27:32" x14ac:dyDescent="0.3">
      <c r="AA1562" s="3">
        <v>35628.25</v>
      </c>
      <c r="AB1562">
        <v>1E-4</v>
      </c>
      <c r="AC1562">
        <v>7</v>
      </c>
      <c r="AD1562" s="5">
        <v>4.9934842963307258</v>
      </c>
      <c r="AE1562" s="5">
        <v>2.1632389844888111</v>
      </c>
      <c r="AF1562">
        <v>1</v>
      </c>
    </row>
    <row r="1563" spans="27:32" x14ac:dyDescent="0.3">
      <c r="AA1563" s="3">
        <v>13229.81</v>
      </c>
      <c r="AB1563">
        <v>1E-4</v>
      </c>
      <c r="AC1563">
        <v>8</v>
      </c>
      <c r="AD1563" s="5">
        <v>5.0585419093569799</v>
      </c>
      <c r="AE1563" s="5">
        <v>2.1506370531945702</v>
      </c>
      <c r="AF1563">
        <v>1</v>
      </c>
    </row>
    <row r="1564" spans="27:32" x14ac:dyDescent="0.3">
      <c r="AA1564" s="3">
        <v>27454</v>
      </c>
      <c r="AB1564">
        <v>1E-4</v>
      </c>
      <c r="AC1564">
        <v>8</v>
      </c>
      <c r="AD1564" s="5">
        <v>4.9423296350773009</v>
      </c>
      <c r="AE1564" s="5">
        <v>2.1903925432682629</v>
      </c>
      <c r="AF1564">
        <v>1</v>
      </c>
    </row>
    <row r="1565" spans="27:32" x14ac:dyDescent="0.3">
      <c r="AA1565" s="3">
        <v>35227.46</v>
      </c>
      <c r="AB1565">
        <v>1E-4</v>
      </c>
      <c r="AC1565">
        <v>7</v>
      </c>
      <c r="AD1565" s="5">
        <v>5.1862989463315117</v>
      </c>
      <c r="AE1565" s="5">
        <v>2.1707105116137311</v>
      </c>
      <c r="AF1565">
        <v>1</v>
      </c>
    </row>
    <row r="1566" spans="27:32" x14ac:dyDescent="0.3">
      <c r="AA1566" s="3">
        <v>61545.47</v>
      </c>
      <c r="AB1566">
        <v>1E-4</v>
      </c>
      <c r="AC1566">
        <v>6</v>
      </c>
      <c r="AD1566" s="5">
        <v>5.3076221542629831</v>
      </c>
      <c r="AE1566" s="5">
        <v>2.2311879383060078</v>
      </c>
      <c r="AF1566">
        <v>1</v>
      </c>
    </row>
    <row r="1567" spans="27:32" x14ac:dyDescent="0.3">
      <c r="AA1567" s="3">
        <v>23382.79</v>
      </c>
      <c r="AB1567">
        <v>1E-4</v>
      </c>
      <c r="AC1567">
        <v>8</v>
      </c>
      <c r="AD1567" s="5">
        <v>5.1417431751888074</v>
      </c>
      <c r="AE1567" s="5">
        <v>2.1297309893094352</v>
      </c>
      <c r="AF1567">
        <v>1</v>
      </c>
    </row>
    <row r="1568" spans="27:32" x14ac:dyDescent="0.3">
      <c r="AA1568" s="3">
        <v>-43024.142114411647</v>
      </c>
      <c r="AB1568">
        <v>1E-4</v>
      </c>
      <c r="AC1568">
        <v>9</v>
      </c>
      <c r="AD1568" s="5">
        <v>4.9119591252362138</v>
      </c>
      <c r="AE1568" s="5">
        <v>2.2179624344925943</v>
      </c>
      <c r="AF1568">
        <v>0</v>
      </c>
    </row>
    <row r="1569" spans="27:32" x14ac:dyDescent="0.3">
      <c r="AA1569" s="3">
        <v>21662.84</v>
      </c>
      <c r="AB1569">
        <v>1E-4</v>
      </c>
      <c r="AC1569">
        <v>8</v>
      </c>
      <c r="AD1569" s="5">
        <v>5.098457603461398</v>
      </c>
      <c r="AE1569" s="5">
        <v>2.2606772389743384</v>
      </c>
      <c r="AF1569">
        <v>1</v>
      </c>
    </row>
    <row r="1570" spans="27:32" x14ac:dyDescent="0.3">
      <c r="AA1570" s="3">
        <v>1647.89</v>
      </c>
      <c r="AB1570">
        <v>1E-4</v>
      </c>
      <c r="AC1570">
        <v>8</v>
      </c>
      <c r="AD1570" s="5">
        <v>4.8834138057280176</v>
      </c>
      <c r="AE1570" s="5">
        <v>2.1487144932301687</v>
      </c>
      <c r="AF1570">
        <v>1</v>
      </c>
    </row>
    <row r="1571" spans="27:32" x14ac:dyDescent="0.3">
      <c r="AA1571" s="3">
        <v>-3849.02</v>
      </c>
      <c r="AB1571">
        <v>1E-4</v>
      </c>
      <c r="AC1571">
        <v>9</v>
      </c>
      <c r="AD1571" s="5">
        <v>4.9736183114272432</v>
      </c>
      <c r="AE1571" s="5">
        <v>2.1889482122057684</v>
      </c>
      <c r="AF1571">
        <v>1</v>
      </c>
    </row>
    <row r="1572" spans="27:32" x14ac:dyDescent="0.3">
      <c r="AA1572" s="3">
        <v>40092.29</v>
      </c>
      <c r="AB1572">
        <v>1E-4</v>
      </c>
      <c r="AC1572">
        <v>7</v>
      </c>
      <c r="AD1572" s="5">
        <v>5.0646965025673083</v>
      </c>
      <c r="AE1572" s="5">
        <v>2.1470274540543275</v>
      </c>
      <c r="AF1572">
        <v>1</v>
      </c>
    </row>
    <row r="1573" spans="27:32" x14ac:dyDescent="0.3">
      <c r="AA1573" s="3">
        <v>1918.08</v>
      </c>
      <c r="AB1573">
        <v>1E-4</v>
      </c>
      <c r="AC1573">
        <v>8</v>
      </c>
      <c r="AD1573" s="5">
        <v>4.9645500711348145</v>
      </c>
      <c r="AE1573" s="5">
        <v>2.2048328630801581</v>
      </c>
      <c r="AF1573">
        <v>1</v>
      </c>
    </row>
    <row r="1574" spans="27:32" x14ac:dyDescent="0.3">
      <c r="AA1574" s="3">
        <v>-20973.52</v>
      </c>
      <c r="AB1574">
        <v>1E-4</v>
      </c>
      <c r="AC1574">
        <v>9</v>
      </c>
      <c r="AD1574" s="5">
        <v>4.890168083793939</v>
      </c>
      <c r="AE1574" s="5">
        <v>2.1819143471910118</v>
      </c>
      <c r="AF1574">
        <v>1</v>
      </c>
    </row>
    <row r="1575" spans="27:32" x14ac:dyDescent="0.3">
      <c r="AA1575" s="3">
        <v>6095.73</v>
      </c>
      <c r="AB1575">
        <v>1E-4</v>
      </c>
      <c r="AC1575">
        <v>8</v>
      </c>
      <c r="AD1575" s="5">
        <v>4.825860961294171</v>
      </c>
      <c r="AE1575" s="5">
        <v>2.1106045168799668</v>
      </c>
      <c r="AF1575">
        <v>1</v>
      </c>
    </row>
    <row r="1576" spans="27:32" x14ac:dyDescent="0.3">
      <c r="AA1576" s="3">
        <v>19866.84</v>
      </c>
      <c r="AB1576">
        <v>1E-4</v>
      </c>
      <c r="AC1576">
        <v>8</v>
      </c>
      <c r="AD1576" s="5">
        <v>4.8210054881282538</v>
      </c>
      <c r="AE1576" s="5">
        <v>2.1078438258859205</v>
      </c>
      <c r="AF1576">
        <v>1</v>
      </c>
    </row>
    <row r="1577" spans="27:32" x14ac:dyDescent="0.3">
      <c r="AA1577" s="3">
        <v>-3699.46</v>
      </c>
      <c r="AB1577">
        <v>1E-4</v>
      </c>
      <c r="AC1577">
        <v>9</v>
      </c>
      <c r="AD1577" s="5">
        <v>5.1367155856575399</v>
      </c>
      <c r="AE1577" s="5">
        <v>2.3230872122703068</v>
      </c>
      <c r="AF1577">
        <v>1</v>
      </c>
    </row>
    <row r="1578" spans="27:32" x14ac:dyDescent="0.3">
      <c r="AA1578" s="3">
        <v>29885.4</v>
      </c>
      <c r="AB1578">
        <v>1E-4</v>
      </c>
      <c r="AC1578">
        <v>7</v>
      </c>
      <c r="AD1578" s="5">
        <v>5.0756367597137073</v>
      </c>
      <c r="AE1578" s="5">
        <v>2.2578624722697209</v>
      </c>
      <c r="AF1578">
        <v>1</v>
      </c>
    </row>
    <row r="1579" spans="27:32" x14ac:dyDescent="0.3">
      <c r="AA1579" s="3">
        <v>4953.5600000000004</v>
      </c>
      <c r="AB1579">
        <v>1E-4</v>
      </c>
      <c r="AC1579">
        <v>8</v>
      </c>
      <c r="AD1579" s="5">
        <v>4.9210330948196876</v>
      </c>
      <c r="AE1579" s="5">
        <v>2.2223867731288847</v>
      </c>
      <c r="AF1579">
        <v>1</v>
      </c>
    </row>
    <row r="1580" spans="27:32" x14ac:dyDescent="0.3">
      <c r="AA1580" s="3">
        <v>13620.78</v>
      </c>
      <c r="AB1580">
        <v>1E-4</v>
      </c>
      <c r="AC1580">
        <v>8</v>
      </c>
      <c r="AD1580" s="5">
        <v>4.9865217976622995</v>
      </c>
      <c r="AE1580" s="5">
        <v>2.224181341206712</v>
      </c>
      <c r="AF1580">
        <v>1</v>
      </c>
    </row>
    <row r="1581" spans="27:32" x14ac:dyDescent="0.3">
      <c r="AA1581" s="3">
        <v>23842.91</v>
      </c>
      <c r="AB1581">
        <v>1E-4</v>
      </c>
      <c r="AC1581">
        <v>8</v>
      </c>
      <c r="AD1581" s="5">
        <v>4.9865014019013323</v>
      </c>
      <c r="AE1581" s="5">
        <v>2.1571768405054481</v>
      </c>
      <c r="AF1581">
        <v>1</v>
      </c>
    </row>
    <row r="1582" spans="27:32" x14ac:dyDescent="0.3">
      <c r="AA1582" s="3">
        <v>-5218.41</v>
      </c>
      <c r="AB1582">
        <v>1E-4</v>
      </c>
      <c r="AC1582">
        <v>9</v>
      </c>
      <c r="AD1582" s="5">
        <v>5.0351076959254524</v>
      </c>
      <c r="AE1582" s="5">
        <v>2.2304686480740816</v>
      </c>
      <c r="AF1582">
        <v>1</v>
      </c>
    </row>
    <row r="1583" spans="27:32" x14ac:dyDescent="0.3">
      <c r="AA1583" s="3">
        <v>11341.16</v>
      </c>
      <c r="AB1583">
        <v>1E-4</v>
      </c>
      <c r="AC1583">
        <v>8</v>
      </c>
      <c r="AD1583" s="5">
        <v>5.0306262611682628</v>
      </c>
      <c r="AE1583" s="5">
        <v>2.2160436070033578</v>
      </c>
      <c r="AF1583">
        <v>1</v>
      </c>
    </row>
    <row r="1584" spans="27:32" x14ac:dyDescent="0.3">
      <c r="AA1584" s="3">
        <v>16297.69</v>
      </c>
      <c r="AB1584">
        <v>1E-4</v>
      </c>
      <c r="AC1584">
        <v>8</v>
      </c>
      <c r="AD1584" s="5">
        <v>5.2645359935999414</v>
      </c>
      <c r="AE1584" s="5">
        <v>2.1387703985549633</v>
      </c>
      <c r="AF1584">
        <v>1</v>
      </c>
    </row>
    <row r="1585" spans="27:32" x14ac:dyDescent="0.3">
      <c r="AA1585" s="3">
        <v>9793.23</v>
      </c>
      <c r="AB1585">
        <v>1E-4</v>
      </c>
      <c r="AC1585">
        <v>8</v>
      </c>
      <c r="AD1585" s="5">
        <v>4.8259430846754752</v>
      </c>
      <c r="AE1585" s="5">
        <v>2.2473311041274946</v>
      </c>
      <c r="AF1585">
        <v>1</v>
      </c>
    </row>
    <row r="1586" spans="27:32" x14ac:dyDescent="0.3">
      <c r="AA1586" s="3">
        <v>23527.18</v>
      </c>
      <c r="AB1586">
        <v>1E-4</v>
      </c>
      <c r="AC1586">
        <v>8</v>
      </c>
      <c r="AD1586" s="5">
        <v>4.9982312256957213</v>
      </c>
      <c r="AE1586" s="5">
        <v>2.1582438092764891</v>
      </c>
      <c r="AF1586">
        <v>1</v>
      </c>
    </row>
    <row r="1587" spans="27:32" x14ac:dyDescent="0.3">
      <c r="AA1587" s="3">
        <v>26741.599999999999</v>
      </c>
      <c r="AB1587">
        <v>1E-4</v>
      </c>
      <c r="AC1587">
        <v>8</v>
      </c>
      <c r="AD1587" s="5">
        <v>5.0123986338404114</v>
      </c>
      <c r="AE1587" s="5">
        <v>2.2277879778163503</v>
      </c>
      <c r="AF1587">
        <v>1</v>
      </c>
    </row>
    <row r="1588" spans="27:32" x14ac:dyDescent="0.3">
      <c r="AA1588" s="3">
        <v>35742.620000000003</v>
      </c>
      <c r="AB1588">
        <v>1E-4</v>
      </c>
      <c r="AC1588">
        <v>7</v>
      </c>
      <c r="AD1588" s="5">
        <v>4.9809480342408659</v>
      </c>
      <c r="AE1588" s="5">
        <v>2.1610868711378881</v>
      </c>
      <c r="AF1588">
        <v>1</v>
      </c>
    </row>
    <row r="1589" spans="27:32" x14ac:dyDescent="0.3">
      <c r="AA1589" s="3">
        <v>23116.69</v>
      </c>
      <c r="AB1589">
        <v>1E-4</v>
      </c>
      <c r="AC1589">
        <v>8</v>
      </c>
      <c r="AD1589" s="5">
        <v>5.1040072475901992</v>
      </c>
      <c r="AE1589" s="5">
        <v>2.086166445332776</v>
      </c>
      <c r="AF1589">
        <v>1</v>
      </c>
    </row>
    <row r="1590" spans="27:32" x14ac:dyDescent="0.3">
      <c r="AA1590" s="3">
        <v>14502.7</v>
      </c>
      <c r="AB1590">
        <v>1E-4</v>
      </c>
      <c r="AC1590">
        <v>8</v>
      </c>
      <c r="AD1590" s="5">
        <v>5.2595930102575243</v>
      </c>
      <c r="AE1590" s="5">
        <v>2.2288972980385457</v>
      </c>
      <c r="AF1590">
        <v>1</v>
      </c>
    </row>
    <row r="1591" spans="27:32" x14ac:dyDescent="0.3">
      <c r="AA1591" s="3">
        <v>12589.4</v>
      </c>
      <c r="AB1591">
        <v>1E-4</v>
      </c>
      <c r="AC1591">
        <v>8</v>
      </c>
      <c r="AD1591" s="5">
        <v>5.1906862732952579</v>
      </c>
      <c r="AE1591" s="5">
        <v>2.1966960260528139</v>
      </c>
      <c r="AF1591">
        <v>1</v>
      </c>
    </row>
    <row r="1592" spans="27:32" x14ac:dyDescent="0.3">
      <c r="AA1592" s="3">
        <v>-8096.51</v>
      </c>
      <c r="AB1592">
        <v>1E-4</v>
      </c>
      <c r="AC1592">
        <v>9</v>
      </c>
      <c r="AD1592" s="5">
        <v>4.845085403177726</v>
      </c>
      <c r="AE1592" s="5">
        <v>2.2003089786336925</v>
      </c>
      <c r="AF1592">
        <v>1</v>
      </c>
    </row>
    <row r="1593" spans="27:32" x14ac:dyDescent="0.3">
      <c r="AA1593" s="3">
        <v>12571.89</v>
      </c>
      <c r="AB1593">
        <v>1E-4</v>
      </c>
      <c r="AC1593">
        <v>8</v>
      </c>
      <c r="AD1593" s="5">
        <v>4.9846273975361735</v>
      </c>
      <c r="AE1593" s="5">
        <v>2.1813038335890269</v>
      </c>
      <c r="AF1593">
        <v>1</v>
      </c>
    </row>
    <row r="1594" spans="27:32" x14ac:dyDescent="0.3">
      <c r="AA1594" s="3">
        <v>5187.37</v>
      </c>
      <c r="AB1594">
        <v>1E-4</v>
      </c>
      <c r="AC1594">
        <v>8</v>
      </c>
      <c r="AD1594" s="5">
        <v>4.8624717000505902</v>
      </c>
      <c r="AE1594" s="5">
        <v>2.2582583225226442</v>
      </c>
      <c r="AF1594">
        <v>1</v>
      </c>
    </row>
    <row r="1595" spans="27:32" x14ac:dyDescent="0.3">
      <c r="AA1595" s="3">
        <v>31465.19</v>
      </c>
      <c r="AB1595">
        <v>1E-4</v>
      </c>
      <c r="AC1595">
        <v>8</v>
      </c>
      <c r="AD1595" s="5">
        <v>5.0751458011195387</v>
      </c>
      <c r="AE1595" s="5">
        <v>2.1586263727348913</v>
      </c>
      <c r="AF1595">
        <v>1</v>
      </c>
    </row>
    <row r="1596" spans="27:32" x14ac:dyDescent="0.3">
      <c r="AA1596" s="3">
        <v>8830.0499999999993</v>
      </c>
      <c r="AB1596">
        <v>1E-4</v>
      </c>
      <c r="AC1596">
        <v>8</v>
      </c>
      <c r="AD1596" s="5">
        <v>5.0668577388434786</v>
      </c>
      <c r="AE1596" s="5">
        <v>2.1074827492311319</v>
      </c>
      <c r="AF1596">
        <v>1</v>
      </c>
    </row>
    <row r="1597" spans="27:32" x14ac:dyDescent="0.3">
      <c r="AA1597" s="3">
        <v>3933.13</v>
      </c>
      <c r="AB1597">
        <v>1E-4</v>
      </c>
      <c r="AC1597">
        <v>8</v>
      </c>
      <c r="AD1597" s="5">
        <v>4.9066102566144796</v>
      </c>
      <c r="AE1597" s="5">
        <v>2.2422655139421832</v>
      </c>
      <c r="AF1597">
        <v>1</v>
      </c>
    </row>
    <row r="1598" spans="27:32" x14ac:dyDescent="0.3">
      <c r="AA1598" s="3">
        <v>48136.05</v>
      </c>
      <c r="AB1598">
        <v>1E-4</v>
      </c>
      <c r="AC1598">
        <v>7</v>
      </c>
      <c r="AD1598" s="5">
        <v>5.0422688638746864</v>
      </c>
      <c r="AE1598" s="5">
        <v>2.1288548054731162</v>
      </c>
      <c r="AF1598">
        <v>1</v>
      </c>
    </row>
    <row r="1599" spans="27:32" x14ac:dyDescent="0.3">
      <c r="AA1599" s="3">
        <v>-3254.68</v>
      </c>
      <c r="AB1599">
        <v>1E-4</v>
      </c>
      <c r="AC1599">
        <v>9</v>
      </c>
      <c r="AD1599" s="5">
        <v>4.8501532738570248</v>
      </c>
      <c r="AE1599" s="5">
        <v>2.1613768496409098</v>
      </c>
      <c r="AF1599">
        <v>1</v>
      </c>
    </row>
    <row r="1600" spans="27:32" x14ac:dyDescent="0.3">
      <c r="AA1600" s="3">
        <v>-832.04</v>
      </c>
      <c r="AB1600">
        <v>1E-4</v>
      </c>
      <c r="AC1600">
        <v>9</v>
      </c>
      <c r="AD1600" s="5">
        <v>4.9518147022111698</v>
      </c>
      <c r="AE1600" s="5">
        <v>2.3062929332639461</v>
      </c>
      <c r="AF1600">
        <v>1</v>
      </c>
    </row>
    <row r="1601" spans="27:32" x14ac:dyDescent="0.3">
      <c r="AA1601" s="3">
        <v>15106.79</v>
      </c>
      <c r="AB1601">
        <v>1E-4</v>
      </c>
      <c r="AC1601">
        <v>8</v>
      </c>
      <c r="AD1601" s="5">
        <v>5.1300923371632132</v>
      </c>
      <c r="AE1601" s="5">
        <v>2.2220325034872861</v>
      </c>
      <c r="AF1601">
        <v>1</v>
      </c>
    </row>
    <row r="1602" spans="27:32" x14ac:dyDescent="0.3">
      <c r="AA1602" s="3">
        <v>-490.64</v>
      </c>
      <c r="AB1602">
        <v>1E-4</v>
      </c>
      <c r="AC1602">
        <v>9</v>
      </c>
      <c r="AD1602" s="5">
        <v>5.0373742321879824</v>
      </c>
      <c r="AE1602" s="5">
        <v>2.2460196711407607</v>
      </c>
      <c r="AF1602">
        <v>1</v>
      </c>
    </row>
    <row r="1603" spans="27:32" x14ac:dyDescent="0.3">
      <c r="AA1603" s="3">
        <v>16258.14</v>
      </c>
      <c r="AB1603">
        <v>1E-4</v>
      </c>
      <c r="AC1603">
        <v>8</v>
      </c>
      <c r="AD1603" s="5">
        <v>5.0171155157973937</v>
      </c>
      <c r="AE1603" s="5">
        <v>2.110584736752998</v>
      </c>
      <c r="AF1603">
        <v>1</v>
      </c>
    </row>
    <row r="1604" spans="27:32" x14ac:dyDescent="0.3">
      <c r="AA1604" s="3">
        <v>35869.199999999997</v>
      </c>
      <c r="AB1604">
        <v>1E-4</v>
      </c>
      <c r="AC1604">
        <v>7</v>
      </c>
      <c r="AD1604" s="5">
        <v>4.9676470480109636</v>
      </c>
      <c r="AE1604" s="5">
        <v>2.1377955002838696</v>
      </c>
      <c r="AF1604">
        <v>1</v>
      </c>
    </row>
    <row r="1605" spans="27:32" x14ac:dyDescent="0.3">
      <c r="AA1605" s="3">
        <v>7306.6</v>
      </c>
      <c r="AB1605">
        <v>1E-4</v>
      </c>
      <c r="AC1605">
        <v>8</v>
      </c>
      <c r="AD1605" s="5">
        <v>4.8476285588861918</v>
      </c>
      <c r="AE1605" s="5">
        <v>2.12208284697267</v>
      </c>
      <c r="AF1605">
        <v>1</v>
      </c>
    </row>
    <row r="1606" spans="27:32" x14ac:dyDescent="0.3">
      <c r="AA1606" s="3">
        <v>22235.01</v>
      </c>
      <c r="AB1606">
        <v>1E-4</v>
      </c>
      <c r="AC1606">
        <v>8</v>
      </c>
      <c r="AD1606" s="5">
        <v>4.9250792951927069</v>
      </c>
      <c r="AE1606" s="5">
        <v>2.167525743760629</v>
      </c>
      <c r="AF1606">
        <v>1</v>
      </c>
    </row>
    <row r="1607" spans="27:32" x14ac:dyDescent="0.3">
      <c r="AA1607" s="3">
        <v>13098.71</v>
      </c>
      <c r="AB1607">
        <v>1E-4</v>
      </c>
      <c r="AC1607">
        <v>8</v>
      </c>
      <c r="AD1607" s="5">
        <v>4.9007074397844175</v>
      </c>
      <c r="AE1607" s="5">
        <v>2.1767855487111869</v>
      </c>
      <c r="AF1607">
        <v>1</v>
      </c>
    </row>
    <row r="1608" spans="27:32" x14ac:dyDescent="0.3">
      <c r="AA1608" s="3">
        <v>-157.74</v>
      </c>
      <c r="AB1608">
        <v>1E-4</v>
      </c>
      <c r="AC1608">
        <v>9</v>
      </c>
      <c r="AD1608" s="5">
        <v>4.86289430597364</v>
      </c>
      <c r="AE1608" s="5">
        <v>2.1630421227693044</v>
      </c>
      <c r="AF1608">
        <v>1</v>
      </c>
    </row>
    <row r="1609" spans="27:32" x14ac:dyDescent="0.3">
      <c r="AA1609" s="3">
        <v>34521.97</v>
      </c>
      <c r="AB1609">
        <v>1E-4</v>
      </c>
      <c r="AC1609">
        <v>7</v>
      </c>
      <c r="AD1609" s="5">
        <v>4.9033734278874492</v>
      </c>
      <c r="AE1609" s="5">
        <v>2.1470425118802123</v>
      </c>
      <c r="AF1609">
        <v>1</v>
      </c>
    </row>
    <row r="1610" spans="27:32" x14ac:dyDescent="0.3">
      <c r="AA1610" s="3">
        <v>14364.72</v>
      </c>
      <c r="AB1610">
        <v>1E-4</v>
      </c>
      <c r="AC1610">
        <v>8</v>
      </c>
      <c r="AD1610" s="5">
        <v>5.0045880600531811</v>
      </c>
      <c r="AE1610" s="5">
        <v>2.2603332292522054</v>
      </c>
      <c r="AF1610">
        <v>1</v>
      </c>
    </row>
    <row r="1611" spans="27:32" x14ac:dyDescent="0.3">
      <c r="AA1611" s="3">
        <v>5403.23</v>
      </c>
      <c r="AB1611">
        <v>1E-4</v>
      </c>
      <c r="AC1611">
        <v>8</v>
      </c>
      <c r="AD1611" s="5">
        <v>4.9860129879948296</v>
      </c>
      <c r="AE1611" s="5">
        <v>2.1858476686994845</v>
      </c>
      <c r="AF1611">
        <v>1</v>
      </c>
    </row>
    <row r="1612" spans="27:32" x14ac:dyDescent="0.3">
      <c r="AA1612" s="3">
        <v>-4300.83</v>
      </c>
      <c r="AB1612">
        <v>1E-4</v>
      </c>
      <c r="AC1612">
        <v>9</v>
      </c>
      <c r="AD1612" s="5">
        <v>4.8183710671513733</v>
      </c>
      <c r="AE1612" s="5">
        <v>2.2197631297158371</v>
      </c>
      <c r="AF1612">
        <v>1</v>
      </c>
    </row>
    <row r="1613" spans="27:32" x14ac:dyDescent="0.3">
      <c r="AA1613" s="3">
        <v>45209.83</v>
      </c>
      <c r="AB1613">
        <v>1E-4</v>
      </c>
      <c r="AC1613">
        <v>7</v>
      </c>
      <c r="AD1613" s="5">
        <v>5.1038556565345612</v>
      </c>
      <c r="AE1613" s="5">
        <v>2.173066854028971</v>
      </c>
      <c r="AF1613">
        <v>1</v>
      </c>
    </row>
    <row r="1614" spans="27:32" x14ac:dyDescent="0.3">
      <c r="AA1614" s="3">
        <v>6156.75</v>
      </c>
      <c r="AB1614">
        <v>1E-4</v>
      </c>
      <c r="AC1614">
        <v>8</v>
      </c>
      <c r="AD1614" s="5">
        <v>5.0401361025047029</v>
      </c>
      <c r="AE1614" s="5">
        <v>2.2301610500982458</v>
      </c>
      <c r="AF1614">
        <v>1</v>
      </c>
    </row>
    <row r="1615" spans="27:32" x14ac:dyDescent="0.3">
      <c r="AA1615" s="3">
        <v>-14803.502456224542</v>
      </c>
      <c r="AB1615">
        <v>1E-4</v>
      </c>
      <c r="AC1615">
        <v>8</v>
      </c>
      <c r="AD1615" s="5">
        <v>5.0978054975518701</v>
      </c>
      <c r="AE1615" s="5">
        <v>2.1636441899876391</v>
      </c>
      <c r="AF1615">
        <v>0</v>
      </c>
    </row>
    <row r="1616" spans="27:32" x14ac:dyDescent="0.3">
      <c r="AA1616" s="3">
        <v>15622.85</v>
      </c>
      <c r="AB1616">
        <v>1E-4</v>
      </c>
      <c r="AC1616">
        <v>8</v>
      </c>
      <c r="AD1616" s="5">
        <v>4.8971901028157765</v>
      </c>
      <c r="AE1616" s="5">
        <v>2.2168911102978912</v>
      </c>
      <c r="AF1616">
        <v>1</v>
      </c>
    </row>
    <row r="1617" spans="27:32" x14ac:dyDescent="0.3">
      <c r="AA1617" s="3">
        <v>16646.84</v>
      </c>
      <c r="AB1617">
        <v>1E-4</v>
      </c>
      <c r="AC1617">
        <v>8</v>
      </c>
      <c r="AD1617" s="5">
        <v>5.1047742596824781</v>
      </c>
      <c r="AE1617" s="5">
        <v>2.1669515434443092</v>
      </c>
      <c r="AF1617">
        <v>1</v>
      </c>
    </row>
    <row r="1618" spans="27:32" x14ac:dyDescent="0.3">
      <c r="AA1618" s="3">
        <v>38170.44</v>
      </c>
      <c r="AB1618">
        <v>1E-4</v>
      </c>
      <c r="AC1618">
        <v>7</v>
      </c>
      <c r="AD1618" s="5">
        <v>4.943976927031291</v>
      </c>
      <c r="AE1618" s="5">
        <v>2.1910522729789403</v>
      </c>
      <c r="AF1618">
        <v>1</v>
      </c>
    </row>
    <row r="1619" spans="27:32" x14ac:dyDescent="0.3">
      <c r="AA1619" s="3">
        <v>812.09</v>
      </c>
      <c r="AB1619">
        <v>1E-4</v>
      </c>
      <c r="AC1619">
        <v>8</v>
      </c>
      <c r="AD1619" s="5">
        <v>5.0506124714972129</v>
      </c>
      <c r="AE1619" s="5">
        <v>2.2103912912083632</v>
      </c>
      <c r="AF1619">
        <v>1</v>
      </c>
    </row>
    <row r="1620" spans="27:32" x14ac:dyDescent="0.3">
      <c r="AA1620" s="3">
        <v>36110.74</v>
      </c>
      <c r="AB1620">
        <v>1E-4</v>
      </c>
      <c r="AC1620">
        <v>7</v>
      </c>
      <c r="AD1620" s="5">
        <v>4.9758772608951354</v>
      </c>
      <c r="AE1620" s="5">
        <v>2.1283623421565134</v>
      </c>
      <c r="AF1620">
        <v>1</v>
      </c>
    </row>
    <row r="1621" spans="27:32" x14ac:dyDescent="0.3">
      <c r="AA1621" s="3">
        <v>17539.060000000001</v>
      </c>
      <c r="AB1621">
        <v>1E-4</v>
      </c>
      <c r="AC1621">
        <v>8</v>
      </c>
      <c r="AD1621" s="5">
        <v>4.9220956261966471</v>
      </c>
      <c r="AE1621" s="5">
        <v>2.225761756204049</v>
      </c>
      <c r="AF1621">
        <v>1</v>
      </c>
    </row>
    <row r="1622" spans="27:32" x14ac:dyDescent="0.3">
      <c r="AA1622" s="3">
        <v>-15096.655584806173</v>
      </c>
      <c r="AB1622">
        <v>1E-4</v>
      </c>
      <c r="AC1622">
        <v>8</v>
      </c>
      <c r="AD1622" s="5">
        <v>5.0069804219191472</v>
      </c>
      <c r="AE1622" s="5">
        <v>2.2226665489935793</v>
      </c>
      <c r="AF1622">
        <v>0</v>
      </c>
    </row>
    <row r="1623" spans="27:32" x14ac:dyDescent="0.3">
      <c r="AA1623" s="3">
        <v>25003.57</v>
      </c>
      <c r="AB1623">
        <v>1E-4</v>
      </c>
      <c r="AC1623">
        <v>8</v>
      </c>
      <c r="AD1623" s="5">
        <v>5.1774911021660399</v>
      </c>
      <c r="AE1623" s="5">
        <v>2.2331610727357001</v>
      </c>
      <c r="AF1623">
        <v>1</v>
      </c>
    </row>
    <row r="1624" spans="27:32" x14ac:dyDescent="0.3">
      <c r="AA1624" s="3">
        <v>7287.19</v>
      </c>
      <c r="AB1624">
        <v>1E-4</v>
      </c>
      <c r="AC1624">
        <v>8</v>
      </c>
      <c r="AD1624" s="5">
        <v>4.9255379849622249</v>
      </c>
      <c r="AE1624" s="5">
        <v>2.2864207251483193</v>
      </c>
      <c r="AF1624">
        <v>1</v>
      </c>
    </row>
    <row r="1625" spans="27:32" x14ac:dyDescent="0.3">
      <c r="AA1625" s="3">
        <v>23700.35</v>
      </c>
      <c r="AB1625">
        <v>1E-4</v>
      </c>
      <c r="AC1625">
        <v>8</v>
      </c>
      <c r="AD1625" s="5">
        <v>4.9112404900326512</v>
      </c>
      <c r="AE1625" s="5">
        <v>2.1231041612155996</v>
      </c>
      <c r="AF1625">
        <v>1</v>
      </c>
    </row>
    <row r="1626" spans="27:32" x14ac:dyDescent="0.3">
      <c r="AA1626" s="3">
        <v>1789.15</v>
      </c>
      <c r="AB1626">
        <v>1E-4</v>
      </c>
      <c r="AC1626">
        <v>8</v>
      </c>
      <c r="AD1626" s="5">
        <v>5.0150833988931582</v>
      </c>
      <c r="AE1626" s="5">
        <v>2.1439091534211201</v>
      </c>
      <c r="AF1626">
        <v>1</v>
      </c>
    </row>
    <row r="1627" spans="27:32" x14ac:dyDescent="0.3">
      <c r="AA1627" s="3">
        <v>17389.64</v>
      </c>
      <c r="AB1627">
        <v>1E-4</v>
      </c>
      <c r="AC1627">
        <v>8</v>
      </c>
      <c r="AD1627" s="5">
        <v>4.9222083805974375</v>
      </c>
      <c r="AE1627" s="5">
        <v>2.2095155558118811</v>
      </c>
      <c r="AF1627">
        <v>1</v>
      </c>
    </row>
    <row r="1628" spans="27:32" x14ac:dyDescent="0.3">
      <c r="AA1628" s="3">
        <v>15190.97</v>
      </c>
      <c r="AB1628">
        <v>1E-4</v>
      </c>
      <c r="AC1628">
        <v>8</v>
      </c>
      <c r="AD1628" s="5">
        <v>4.9522087830959354</v>
      </c>
      <c r="AE1628" s="5">
        <v>2.1157867839408704</v>
      </c>
      <c r="AF1628">
        <v>1</v>
      </c>
    </row>
    <row r="1629" spans="27:32" x14ac:dyDescent="0.3">
      <c r="AA1629" s="3">
        <v>15412.29</v>
      </c>
      <c r="AB1629">
        <v>1E-4</v>
      </c>
      <c r="AC1629">
        <v>8</v>
      </c>
      <c r="AD1629" s="5">
        <v>5.147128918372454</v>
      </c>
      <c r="AE1629" s="5">
        <v>2.263867578921638</v>
      </c>
      <c r="AF1629">
        <v>1</v>
      </c>
    </row>
    <row r="1630" spans="27:32" x14ac:dyDescent="0.3">
      <c r="AA1630" s="3">
        <v>23644.79</v>
      </c>
      <c r="AB1630">
        <v>1E-4</v>
      </c>
      <c r="AC1630">
        <v>8</v>
      </c>
      <c r="AD1630" s="5">
        <v>5.0070302116548664</v>
      </c>
      <c r="AE1630" s="5">
        <v>2.1638589533886918</v>
      </c>
      <c r="AF1630">
        <v>1</v>
      </c>
    </row>
    <row r="1631" spans="27:32" x14ac:dyDescent="0.3">
      <c r="AA1631" s="3">
        <v>36423.519999999997</v>
      </c>
      <c r="AB1631">
        <v>1E-4</v>
      </c>
      <c r="AC1631">
        <v>7</v>
      </c>
      <c r="AD1631" s="5">
        <v>4.7985277552333523</v>
      </c>
      <c r="AE1631" s="5">
        <v>2.1839010087283612</v>
      </c>
      <c r="AF1631">
        <v>1</v>
      </c>
    </row>
    <row r="1632" spans="27:32" x14ac:dyDescent="0.3">
      <c r="AA1632" s="3">
        <v>17736.650000000001</v>
      </c>
      <c r="AB1632">
        <v>1E-4</v>
      </c>
      <c r="AC1632">
        <v>8</v>
      </c>
      <c r="AD1632" s="5">
        <v>5.0222912223772909</v>
      </c>
      <c r="AE1632" s="5">
        <v>2.1827835616023301</v>
      </c>
      <c r="AF1632">
        <v>1</v>
      </c>
    </row>
    <row r="1633" spans="27:32" x14ac:dyDescent="0.3">
      <c r="AA1633" s="3">
        <v>5965.57</v>
      </c>
      <c r="AB1633">
        <v>1E-4</v>
      </c>
      <c r="AC1633">
        <v>8</v>
      </c>
      <c r="AD1633" s="5">
        <v>4.927827199521098</v>
      </c>
      <c r="AE1633" s="5">
        <v>2.2193410325366583</v>
      </c>
      <c r="AF1633">
        <v>1</v>
      </c>
    </row>
    <row r="1634" spans="27:32" x14ac:dyDescent="0.3">
      <c r="AA1634" s="3">
        <v>14836.33</v>
      </c>
      <c r="AB1634">
        <v>1E-4</v>
      </c>
      <c r="AC1634">
        <v>8</v>
      </c>
      <c r="AD1634" s="5">
        <v>5.1009421690436776</v>
      </c>
      <c r="AE1634" s="5">
        <v>2.2333037841625285</v>
      </c>
      <c r="AF1634">
        <v>1</v>
      </c>
    </row>
    <row r="1635" spans="27:32" x14ac:dyDescent="0.3">
      <c r="AA1635" s="3">
        <v>17622.009999999998</v>
      </c>
      <c r="AB1635">
        <v>1E-4</v>
      </c>
      <c r="AC1635">
        <v>8</v>
      </c>
      <c r="AD1635" s="5">
        <v>5.055151253343082</v>
      </c>
      <c r="AE1635" s="5">
        <v>2.1943418370374843</v>
      </c>
      <c r="AF1635">
        <v>1</v>
      </c>
    </row>
    <row r="1636" spans="27:32" x14ac:dyDescent="0.3">
      <c r="AA1636" s="3">
        <v>9589.7099999999991</v>
      </c>
      <c r="AB1636">
        <v>1E-4</v>
      </c>
      <c r="AC1636">
        <v>8</v>
      </c>
      <c r="AD1636" s="5">
        <v>5.0227936819837238</v>
      </c>
      <c r="AE1636" s="5">
        <v>2.233145124451684</v>
      </c>
      <c r="AF1636">
        <v>1</v>
      </c>
    </row>
    <row r="1637" spans="27:32" x14ac:dyDescent="0.3">
      <c r="AA1637" s="3">
        <v>15782.17</v>
      </c>
      <c r="AB1637">
        <v>1E-4</v>
      </c>
      <c r="AC1637">
        <v>8</v>
      </c>
      <c r="AD1637" s="5">
        <v>5.0354143988073314</v>
      </c>
      <c r="AE1637" s="5">
        <v>2.2930422116779909</v>
      </c>
      <c r="AF1637">
        <v>1</v>
      </c>
    </row>
    <row r="1638" spans="27:32" x14ac:dyDescent="0.3">
      <c r="AA1638" s="3">
        <v>46998.64</v>
      </c>
      <c r="AB1638">
        <v>1E-4</v>
      </c>
      <c r="AC1638">
        <v>7</v>
      </c>
      <c r="AD1638" s="5">
        <v>5.0431725040556499</v>
      </c>
      <c r="AE1638" s="5">
        <v>2.2341336482063547</v>
      </c>
      <c r="AF1638">
        <v>1</v>
      </c>
    </row>
    <row r="1639" spans="27:32" x14ac:dyDescent="0.3">
      <c r="AA1639" s="3">
        <v>40388.400000000001</v>
      </c>
      <c r="AB1639">
        <v>1E-4</v>
      </c>
      <c r="AC1639">
        <v>7</v>
      </c>
      <c r="AD1639" s="5">
        <v>5.0670238145269675</v>
      </c>
      <c r="AE1639" s="5">
        <v>2.1723926924507913</v>
      </c>
      <c r="AF1639">
        <v>1</v>
      </c>
    </row>
    <row r="1640" spans="27:32" x14ac:dyDescent="0.3">
      <c r="AA1640" s="3">
        <v>24145.43</v>
      </c>
      <c r="AB1640">
        <v>1E-4</v>
      </c>
      <c r="AC1640">
        <v>8</v>
      </c>
      <c r="AD1640" s="5">
        <v>5.0520273605025947</v>
      </c>
      <c r="AE1640" s="5">
        <v>2.1835135489638233</v>
      </c>
      <c r="AF1640">
        <v>1</v>
      </c>
    </row>
    <row r="1641" spans="27:32" x14ac:dyDescent="0.3">
      <c r="AA1641" s="3">
        <v>13656.38</v>
      </c>
      <c r="AB1641">
        <v>1E-4</v>
      </c>
      <c r="AC1641">
        <v>8</v>
      </c>
      <c r="AD1641" s="5">
        <v>5.1186644537364074</v>
      </c>
      <c r="AE1641" s="5">
        <v>2.2415196232485033</v>
      </c>
      <c r="AF1641">
        <v>1</v>
      </c>
    </row>
    <row r="1642" spans="27:32" x14ac:dyDescent="0.3">
      <c r="AA1642" s="3">
        <v>2568.48</v>
      </c>
      <c r="AB1642">
        <v>1E-4</v>
      </c>
      <c r="AC1642">
        <v>8</v>
      </c>
      <c r="AD1642" s="5">
        <v>4.9478857318203726</v>
      </c>
      <c r="AE1642" s="5">
        <v>2.194016583141055</v>
      </c>
      <c r="AF1642">
        <v>1</v>
      </c>
    </row>
    <row r="1643" spans="27:32" x14ac:dyDescent="0.3">
      <c r="AA1643" s="3">
        <v>30075.62</v>
      </c>
      <c r="AB1643">
        <v>1E-4</v>
      </c>
      <c r="AC1643">
        <v>7</v>
      </c>
      <c r="AD1643" s="5">
        <v>5.0816899464021841</v>
      </c>
      <c r="AE1643" s="5">
        <v>2.1835209729231808</v>
      </c>
      <c r="AF1643">
        <v>1</v>
      </c>
    </row>
    <row r="1644" spans="27:32" x14ac:dyDescent="0.3">
      <c r="AA1644" s="3">
        <v>25572.12</v>
      </c>
      <c r="AB1644">
        <v>1E-4</v>
      </c>
      <c r="AC1644">
        <v>8</v>
      </c>
      <c r="AD1644" s="5">
        <v>5.0206629341262587</v>
      </c>
      <c r="AE1644" s="5">
        <v>2.1236154111535854</v>
      </c>
      <c r="AF1644">
        <v>1</v>
      </c>
    </row>
    <row r="1645" spans="27:32" x14ac:dyDescent="0.3">
      <c r="AA1645" s="3">
        <v>-3469.77</v>
      </c>
      <c r="AB1645">
        <v>1E-4</v>
      </c>
      <c r="AC1645">
        <v>9</v>
      </c>
      <c r="AD1645" s="5">
        <v>4.9441830498941863</v>
      </c>
      <c r="AE1645" s="5">
        <v>2.1382711821039759</v>
      </c>
      <c r="AF1645">
        <v>1</v>
      </c>
    </row>
    <row r="1646" spans="27:32" x14ac:dyDescent="0.3">
      <c r="AA1646" s="3">
        <v>39882.32</v>
      </c>
      <c r="AB1646">
        <v>1E-4</v>
      </c>
      <c r="AC1646">
        <v>7</v>
      </c>
      <c r="AD1646" s="5">
        <v>5.0009472182598529</v>
      </c>
      <c r="AE1646" s="5">
        <v>2.1798636542823306</v>
      </c>
      <c r="AF1646">
        <v>1</v>
      </c>
    </row>
    <row r="1647" spans="27:32" x14ac:dyDescent="0.3">
      <c r="AA1647" s="3">
        <v>19515.39</v>
      </c>
      <c r="AB1647">
        <v>1E-4</v>
      </c>
      <c r="AC1647">
        <v>8</v>
      </c>
      <c r="AD1647" s="5">
        <v>5.1562439503291149</v>
      </c>
      <c r="AE1647" s="5">
        <v>2.2373957599169589</v>
      </c>
      <c r="AF1647">
        <v>1</v>
      </c>
    </row>
    <row r="1648" spans="27:32" x14ac:dyDescent="0.3">
      <c r="AA1648" s="3">
        <v>12064.39</v>
      </c>
      <c r="AB1648">
        <v>1E-4</v>
      </c>
      <c r="AC1648">
        <v>8</v>
      </c>
      <c r="AD1648" s="5">
        <v>5.0177499080581054</v>
      </c>
      <c r="AE1648" s="5">
        <v>2.2561162479134862</v>
      </c>
      <c r="AF1648">
        <v>1</v>
      </c>
    </row>
    <row r="1649" spans="27:32" x14ac:dyDescent="0.3">
      <c r="AA1649" s="3">
        <v>7324.34</v>
      </c>
      <c r="AB1649">
        <v>1E-4</v>
      </c>
      <c r="AC1649">
        <v>8</v>
      </c>
      <c r="AD1649" s="5">
        <v>4.8886984104944551</v>
      </c>
      <c r="AE1649" s="5">
        <v>2.1887831569999618</v>
      </c>
      <c r="AF1649">
        <v>1</v>
      </c>
    </row>
    <row r="1650" spans="27:32" x14ac:dyDescent="0.3">
      <c r="AA1650" s="3">
        <v>20019.02</v>
      </c>
      <c r="AB1650">
        <v>1E-4</v>
      </c>
      <c r="AC1650">
        <v>8</v>
      </c>
      <c r="AD1650" s="5">
        <v>5.122253213110918</v>
      </c>
      <c r="AE1650" s="5">
        <v>2.2018671520075466</v>
      </c>
      <c r="AF1650">
        <v>1</v>
      </c>
    </row>
    <row r="1651" spans="27:32" x14ac:dyDescent="0.3">
      <c r="AA1651" s="3">
        <v>189.52</v>
      </c>
      <c r="AB1651">
        <v>1E-4</v>
      </c>
      <c r="AC1651">
        <v>8</v>
      </c>
      <c r="AD1651" s="5">
        <v>4.9555583003523704</v>
      </c>
      <c r="AE1651" s="5">
        <v>2.2388027427582973</v>
      </c>
      <c r="AF1651">
        <v>1</v>
      </c>
    </row>
    <row r="1652" spans="27:32" x14ac:dyDescent="0.3">
      <c r="AA1652" s="3">
        <v>52371.34</v>
      </c>
      <c r="AB1652">
        <v>1E-4</v>
      </c>
      <c r="AC1652">
        <v>6</v>
      </c>
      <c r="AD1652" s="5">
        <v>5.1250469570534145</v>
      </c>
      <c r="AE1652" s="5">
        <v>2.2080021262296503</v>
      </c>
      <c r="AF1652">
        <v>1</v>
      </c>
    </row>
    <row r="1653" spans="27:32" x14ac:dyDescent="0.3">
      <c r="AA1653" s="3">
        <v>-3980.18</v>
      </c>
      <c r="AB1653">
        <v>1E-4</v>
      </c>
      <c r="AC1653">
        <v>9</v>
      </c>
      <c r="AD1653" s="5">
        <v>5.0482339395432634</v>
      </c>
      <c r="AE1653" s="5">
        <v>2.2134190448808431</v>
      </c>
      <c r="AF1653">
        <v>1</v>
      </c>
    </row>
    <row r="1654" spans="27:32" x14ac:dyDescent="0.3">
      <c r="AA1654" s="3">
        <v>57987.15</v>
      </c>
      <c r="AB1654">
        <v>1E-4</v>
      </c>
      <c r="AC1654">
        <v>6</v>
      </c>
      <c r="AD1654" s="5">
        <v>5.0370844842807427</v>
      </c>
      <c r="AE1654" s="5">
        <v>2.2462732620978554</v>
      </c>
      <c r="AF1654">
        <v>1</v>
      </c>
    </row>
    <row r="1655" spans="27:32" x14ac:dyDescent="0.3">
      <c r="AA1655" s="3">
        <v>19568.66</v>
      </c>
      <c r="AB1655">
        <v>1E-4</v>
      </c>
      <c r="AC1655">
        <v>8</v>
      </c>
      <c r="AD1655" s="5">
        <v>4.9388156770464127</v>
      </c>
      <c r="AE1655" s="5">
        <v>2.3003089655530227</v>
      </c>
      <c r="AF1655">
        <v>1</v>
      </c>
    </row>
    <row r="1656" spans="27:32" x14ac:dyDescent="0.3">
      <c r="AA1656" s="3">
        <v>32750.52</v>
      </c>
      <c r="AB1656">
        <v>1E-4</v>
      </c>
      <c r="AC1656">
        <v>7</v>
      </c>
      <c r="AD1656" s="5">
        <v>5.009644002341358</v>
      </c>
      <c r="AE1656" s="5">
        <v>2.1733816780750339</v>
      </c>
      <c r="AF1656">
        <v>1</v>
      </c>
    </row>
    <row r="1657" spans="27:32" x14ac:dyDescent="0.3">
      <c r="AA1657" s="3">
        <v>7534.5851538039096</v>
      </c>
      <c r="AB1657">
        <v>1E-4</v>
      </c>
      <c r="AC1657">
        <v>8</v>
      </c>
      <c r="AD1657" s="5">
        <v>5.100062328056012</v>
      </c>
      <c r="AE1657" s="5">
        <v>2.2218375355550712</v>
      </c>
      <c r="AF1657">
        <v>0</v>
      </c>
    </row>
    <row r="1658" spans="27:32" x14ac:dyDescent="0.3">
      <c r="AA1658" s="3">
        <v>-3432.36</v>
      </c>
      <c r="AB1658">
        <v>1E-4</v>
      </c>
      <c r="AC1658">
        <v>9</v>
      </c>
      <c r="AD1658" s="5">
        <v>5.0016825064852721</v>
      </c>
      <c r="AE1658" s="5">
        <v>2.2047583384177103</v>
      </c>
      <c r="AF1658">
        <v>1</v>
      </c>
    </row>
    <row r="1659" spans="27:32" x14ac:dyDescent="0.3">
      <c r="AA1659" s="3">
        <v>14559.38</v>
      </c>
      <c r="AB1659">
        <v>1E-4</v>
      </c>
      <c r="AC1659">
        <v>8</v>
      </c>
      <c r="AD1659" s="5">
        <v>5.048580669550164</v>
      </c>
      <c r="AE1659" s="5">
        <v>2.1671016167447354</v>
      </c>
      <c r="AF1659">
        <v>1</v>
      </c>
    </row>
    <row r="1660" spans="27:32" x14ac:dyDescent="0.3">
      <c r="AA1660" s="3">
        <v>1440.15</v>
      </c>
      <c r="AB1660">
        <v>1E-4</v>
      </c>
      <c r="AC1660">
        <v>8</v>
      </c>
      <c r="AD1660" s="5">
        <v>5.0974940030738711</v>
      </c>
      <c r="AE1660" s="5">
        <v>2.1941166036699533</v>
      </c>
      <c r="AF1660">
        <v>1</v>
      </c>
    </row>
    <row r="1661" spans="27:32" x14ac:dyDescent="0.3">
      <c r="AA1661" s="3">
        <v>-1967.18</v>
      </c>
      <c r="AB1661">
        <v>1E-4</v>
      </c>
      <c r="AC1661">
        <v>9</v>
      </c>
      <c r="AD1661" s="5">
        <v>4.911049691184405</v>
      </c>
      <c r="AE1661" s="5">
        <v>2.2058518667586546</v>
      </c>
      <c r="AF1661">
        <v>1</v>
      </c>
    </row>
    <row r="1662" spans="27:32" x14ac:dyDescent="0.3">
      <c r="AA1662" s="3">
        <v>9359.43</v>
      </c>
      <c r="AB1662">
        <v>1E-4</v>
      </c>
      <c r="AC1662">
        <v>8</v>
      </c>
      <c r="AD1662" s="5">
        <v>5.0674468136022215</v>
      </c>
      <c r="AE1662" s="5">
        <v>2.165183617987021</v>
      </c>
      <c r="AF1662">
        <v>1</v>
      </c>
    </row>
    <row r="1663" spans="27:32" x14ac:dyDescent="0.3">
      <c r="AA1663" s="3">
        <v>-11674.69</v>
      </c>
      <c r="AB1663">
        <v>1E-4</v>
      </c>
      <c r="AC1663">
        <v>9</v>
      </c>
      <c r="AD1663" s="5">
        <v>4.7630697039630352</v>
      </c>
      <c r="AE1663" s="5">
        <v>2.2368491627736362</v>
      </c>
      <c r="AF1663">
        <v>1</v>
      </c>
    </row>
    <row r="1664" spans="27:32" x14ac:dyDescent="0.3">
      <c r="AA1664" s="3">
        <v>10357.280000000001</v>
      </c>
      <c r="AB1664">
        <v>1E-4</v>
      </c>
      <c r="AC1664">
        <v>8</v>
      </c>
      <c r="AD1664" s="5">
        <v>5.1638108244169389</v>
      </c>
      <c r="AE1664" s="5">
        <v>2.2188656976073888</v>
      </c>
      <c r="AF1664">
        <v>1</v>
      </c>
    </row>
    <row r="1665" spans="27:32" x14ac:dyDescent="0.3">
      <c r="AA1665" s="3">
        <v>-48474.230853798086</v>
      </c>
      <c r="AB1665">
        <v>1E-4</v>
      </c>
      <c r="AC1665">
        <v>9</v>
      </c>
      <c r="AD1665" s="5">
        <v>4.8719699820460001</v>
      </c>
      <c r="AE1665" s="5">
        <v>2.1636603104066423</v>
      </c>
      <c r="AF1665">
        <v>0</v>
      </c>
    </row>
    <row r="1666" spans="27:32" x14ac:dyDescent="0.3">
      <c r="AA1666" s="3">
        <v>16396.650000000001</v>
      </c>
      <c r="AB1666">
        <v>1E-4</v>
      </c>
      <c r="AC1666">
        <v>8</v>
      </c>
      <c r="AD1666" s="5">
        <v>5.158985976334109</v>
      </c>
      <c r="AE1666" s="5">
        <v>2.2069090235489965</v>
      </c>
      <c r="AF1666">
        <v>1</v>
      </c>
    </row>
    <row r="1667" spans="27:32" x14ac:dyDescent="0.3">
      <c r="AA1667" s="3">
        <v>23444.84</v>
      </c>
      <c r="AB1667">
        <v>1E-4</v>
      </c>
      <c r="AC1667">
        <v>8</v>
      </c>
      <c r="AD1667" s="5">
        <v>5.0178040997301121</v>
      </c>
      <c r="AE1667" s="5">
        <v>2.1013043419426269</v>
      </c>
      <c r="AF1667">
        <v>1</v>
      </c>
    </row>
    <row r="1668" spans="27:32" x14ac:dyDescent="0.3">
      <c r="AA1668" s="3">
        <v>22630.53</v>
      </c>
      <c r="AB1668">
        <v>1E-4</v>
      </c>
      <c r="AC1668">
        <v>8</v>
      </c>
      <c r="AD1668" s="5">
        <v>5.048302835714642</v>
      </c>
      <c r="AE1668" s="5">
        <v>2.2021159687275618</v>
      </c>
      <c r="AF1668">
        <v>1</v>
      </c>
    </row>
    <row r="1669" spans="27:32" x14ac:dyDescent="0.3">
      <c r="AA1669" s="3">
        <v>9918.39</v>
      </c>
      <c r="AB1669">
        <v>1E-4</v>
      </c>
      <c r="AC1669">
        <v>8</v>
      </c>
      <c r="AD1669" s="5">
        <v>4.9380987016711702</v>
      </c>
      <c r="AE1669" s="5">
        <v>2.1920813838124227</v>
      </c>
      <c r="AF1669">
        <v>1</v>
      </c>
    </row>
    <row r="1670" spans="27:32" x14ac:dyDescent="0.3">
      <c r="AA1670" s="3">
        <v>-3137.93</v>
      </c>
      <c r="AB1670">
        <v>1E-4</v>
      </c>
      <c r="AC1670">
        <v>9</v>
      </c>
      <c r="AD1670" s="5">
        <v>5.039664711229233</v>
      </c>
      <c r="AE1670" s="5">
        <v>2.2511645663758451</v>
      </c>
      <c r="AF1670">
        <v>1</v>
      </c>
    </row>
    <row r="1671" spans="27:32" x14ac:dyDescent="0.3">
      <c r="AA1671" s="3">
        <v>-7753.43</v>
      </c>
      <c r="AB1671">
        <v>1E-4</v>
      </c>
      <c r="AC1671">
        <v>9</v>
      </c>
      <c r="AD1671" s="5">
        <v>4.9218606004765597</v>
      </c>
      <c r="AE1671" s="5">
        <v>2.2071807867476152</v>
      </c>
      <c r="AF1671">
        <v>1</v>
      </c>
    </row>
    <row r="1672" spans="27:32" x14ac:dyDescent="0.3">
      <c r="AA1672" s="3">
        <v>12849.89</v>
      </c>
      <c r="AB1672">
        <v>1E-4</v>
      </c>
      <c r="AC1672">
        <v>8</v>
      </c>
      <c r="AD1672" s="5">
        <v>5.0564735016456783</v>
      </c>
      <c r="AE1672" s="5">
        <v>2.1118099234991758</v>
      </c>
      <c r="AF1672">
        <v>1</v>
      </c>
    </row>
    <row r="1673" spans="27:32" x14ac:dyDescent="0.3">
      <c r="AA1673" s="3">
        <v>4114.99</v>
      </c>
      <c r="AB1673">
        <v>1E-4</v>
      </c>
      <c r="AC1673">
        <v>8</v>
      </c>
      <c r="AD1673" s="5">
        <v>4.8427669422295461</v>
      </c>
      <c r="AE1673" s="5">
        <v>2.2474335853803113</v>
      </c>
      <c r="AF1673">
        <v>1</v>
      </c>
    </row>
    <row r="1674" spans="27:32" x14ac:dyDescent="0.3">
      <c r="AA1674" s="3">
        <v>10199.44</v>
      </c>
      <c r="AB1674">
        <v>1E-4</v>
      </c>
      <c r="AC1674">
        <v>8</v>
      </c>
      <c r="AD1674" s="5">
        <v>5.0206410580527452</v>
      </c>
      <c r="AE1674" s="5">
        <v>2.2044309750276092</v>
      </c>
      <c r="AF1674">
        <v>1</v>
      </c>
    </row>
    <row r="1675" spans="27:32" x14ac:dyDescent="0.3">
      <c r="AA1675" s="3">
        <v>12764.49</v>
      </c>
      <c r="AB1675">
        <v>1E-4</v>
      </c>
      <c r="AC1675">
        <v>8</v>
      </c>
      <c r="AD1675" s="5">
        <v>4.9783581761449307</v>
      </c>
      <c r="AE1675" s="5">
        <v>2.2030450502274226</v>
      </c>
      <c r="AF1675">
        <v>1</v>
      </c>
    </row>
    <row r="1676" spans="27:32" x14ac:dyDescent="0.3">
      <c r="AA1676" s="3">
        <v>21747.200000000001</v>
      </c>
      <c r="AB1676">
        <v>1E-4</v>
      </c>
      <c r="AC1676">
        <v>8</v>
      </c>
      <c r="AD1676" s="5">
        <v>4.9577549702972847</v>
      </c>
      <c r="AE1676" s="5">
        <v>2.1697793637764273</v>
      </c>
      <c r="AF1676">
        <v>1</v>
      </c>
    </row>
    <row r="1677" spans="27:32" x14ac:dyDescent="0.3">
      <c r="AA1677" s="3">
        <v>8428.5499999999993</v>
      </c>
      <c r="AB1677">
        <v>1E-4</v>
      </c>
      <c r="AC1677">
        <v>8</v>
      </c>
      <c r="AD1677" s="5">
        <v>4.9652458839603977</v>
      </c>
      <c r="AE1677" s="5">
        <v>2.1966661387566271</v>
      </c>
      <c r="AF1677">
        <v>1</v>
      </c>
    </row>
    <row r="1678" spans="27:32" x14ac:dyDescent="0.3">
      <c r="AA1678" s="3">
        <v>29379.02</v>
      </c>
      <c r="AB1678">
        <v>1E-4</v>
      </c>
      <c r="AC1678">
        <v>8</v>
      </c>
      <c r="AD1678" s="5">
        <v>5.0740450024972583</v>
      </c>
      <c r="AE1678" s="5">
        <v>2.2635355703326048</v>
      </c>
      <c r="AF1678">
        <v>1</v>
      </c>
    </row>
    <row r="1679" spans="27:32" x14ac:dyDescent="0.3">
      <c r="AA1679" s="3">
        <v>31395.88</v>
      </c>
      <c r="AB1679">
        <v>1E-4</v>
      </c>
      <c r="AC1679">
        <v>7</v>
      </c>
      <c r="AD1679" s="5">
        <v>5.0117776453290288</v>
      </c>
      <c r="AE1679" s="5">
        <v>2.1333460999430773</v>
      </c>
      <c r="AF1679">
        <v>1</v>
      </c>
    </row>
    <row r="1680" spans="27:32" x14ac:dyDescent="0.3">
      <c r="AA1680" s="3">
        <v>22392.05</v>
      </c>
      <c r="AB1680">
        <v>1E-4</v>
      </c>
      <c r="AC1680">
        <v>8</v>
      </c>
      <c r="AD1680" s="5">
        <v>5.181168873814948</v>
      </c>
      <c r="AE1680" s="5">
        <v>2.2525226552128226</v>
      </c>
      <c r="AF1680">
        <v>1</v>
      </c>
    </row>
    <row r="1681" spans="27:32" x14ac:dyDescent="0.3">
      <c r="AA1681" s="3">
        <v>5590.75</v>
      </c>
      <c r="AB1681">
        <v>1E-4</v>
      </c>
      <c r="AC1681">
        <v>8</v>
      </c>
      <c r="AD1681" s="5">
        <v>4.8581814200892941</v>
      </c>
      <c r="AE1681" s="5">
        <v>2.1164061804955829</v>
      </c>
      <c r="AF1681">
        <v>1</v>
      </c>
    </row>
    <row r="1682" spans="27:32" x14ac:dyDescent="0.3">
      <c r="AA1682" s="3">
        <v>16290.49</v>
      </c>
      <c r="AB1682">
        <v>1E-4</v>
      </c>
      <c r="AC1682">
        <v>8</v>
      </c>
      <c r="AD1682" s="5">
        <v>4.9929722922852902</v>
      </c>
      <c r="AE1682" s="5">
        <v>2.363471350677512</v>
      </c>
      <c r="AF1682">
        <v>1</v>
      </c>
    </row>
    <row r="1683" spans="27:32" x14ac:dyDescent="0.3">
      <c r="AA1683" s="3">
        <v>22434.41</v>
      </c>
      <c r="AB1683">
        <v>1E-4</v>
      </c>
      <c r="AC1683">
        <v>8</v>
      </c>
      <c r="AD1683" s="5">
        <v>4.9082392543489677</v>
      </c>
      <c r="AE1683" s="5">
        <v>2.1582438491039122</v>
      </c>
      <c r="AF1683">
        <v>1</v>
      </c>
    </row>
    <row r="1684" spans="27:32" x14ac:dyDescent="0.3">
      <c r="AA1684" s="3">
        <v>9038.1200000000008</v>
      </c>
      <c r="AB1684">
        <v>1E-4</v>
      </c>
      <c r="AC1684">
        <v>8</v>
      </c>
      <c r="AD1684" s="5">
        <v>5.1120153886074498</v>
      </c>
      <c r="AE1684" s="5">
        <v>2.2620365646754608</v>
      </c>
      <c r="AF1684">
        <v>1</v>
      </c>
    </row>
    <row r="1685" spans="27:32" x14ac:dyDescent="0.3">
      <c r="AA1685" s="3">
        <v>2652.61</v>
      </c>
      <c r="AB1685">
        <v>1E-4</v>
      </c>
      <c r="AC1685">
        <v>8</v>
      </c>
      <c r="AD1685" s="5">
        <v>5.0078738976271726</v>
      </c>
      <c r="AE1685" s="5">
        <v>2.2554837442284792</v>
      </c>
      <c r="AF1685">
        <v>1</v>
      </c>
    </row>
    <row r="1686" spans="27:32" x14ac:dyDescent="0.3">
      <c r="AA1686" s="3">
        <v>27763.5</v>
      </c>
      <c r="AB1686">
        <v>1E-4</v>
      </c>
      <c r="AC1686">
        <v>7</v>
      </c>
      <c r="AD1686" s="5">
        <v>5.034953596236007</v>
      </c>
      <c r="AE1686" s="5">
        <v>2.1694968007472148</v>
      </c>
      <c r="AF1686">
        <v>1</v>
      </c>
    </row>
    <row r="1687" spans="27:32" x14ac:dyDescent="0.3">
      <c r="AA1687" s="3">
        <v>-14792.45</v>
      </c>
      <c r="AB1687">
        <v>1E-4</v>
      </c>
      <c r="AC1687">
        <v>9</v>
      </c>
      <c r="AD1687" s="5">
        <v>4.9340819973501739</v>
      </c>
      <c r="AE1687" s="5">
        <v>2.2111020180579599</v>
      </c>
      <c r="AF1687">
        <v>1</v>
      </c>
    </row>
    <row r="1688" spans="27:32" x14ac:dyDescent="0.3">
      <c r="AA1688" s="3">
        <v>-4047.22</v>
      </c>
      <c r="AB1688">
        <v>1E-4</v>
      </c>
      <c r="AC1688">
        <v>9</v>
      </c>
      <c r="AD1688" s="5">
        <v>4.8814028788041997</v>
      </c>
      <c r="AE1688" s="5">
        <v>2.2093530119244131</v>
      </c>
      <c r="AF1688">
        <v>1</v>
      </c>
    </row>
    <row r="1689" spans="27:32" x14ac:dyDescent="0.3">
      <c r="AA1689" s="3">
        <v>20257.98</v>
      </c>
      <c r="AB1689">
        <v>1E-4</v>
      </c>
      <c r="AC1689">
        <v>8</v>
      </c>
      <c r="AD1689" s="5">
        <v>4.9557572443426166</v>
      </c>
      <c r="AE1689" s="5">
        <v>2.1338847813021333</v>
      </c>
      <c r="AF1689">
        <v>1</v>
      </c>
    </row>
    <row r="1690" spans="27:32" x14ac:dyDescent="0.3">
      <c r="AA1690" s="3">
        <v>9317.24</v>
      </c>
      <c r="AB1690">
        <v>1E-4</v>
      </c>
      <c r="AC1690">
        <v>8</v>
      </c>
      <c r="AD1690" s="5">
        <v>4.9555338895787822</v>
      </c>
      <c r="AE1690" s="5">
        <v>2.2193304859489005</v>
      </c>
      <c r="AF1690">
        <v>1</v>
      </c>
    </row>
    <row r="1691" spans="27:32" x14ac:dyDescent="0.3">
      <c r="AA1691" s="3">
        <v>41662.720000000001</v>
      </c>
      <c r="AB1691">
        <v>1E-4</v>
      </c>
      <c r="AC1691">
        <v>7</v>
      </c>
      <c r="AD1691" s="5">
        <v>4.9729693356367868</v>
      </c>
      <c r="AE1691" s="5">
        <v>2.1498699963028121</v>
      </c>
      <c r="AF1691">
        <v>1</v>
      </c>
    </row>
    <row r="1692" spans="27:32" x14ac:dyDescent="0.3">
      <c r="AA1692" s="3">
        <v>9401.27</v>
      </c>
      <c r="AB1692">
        <v>1E-4</v>
      </c>
      <c r="AC1692">
        <v>8</v>
      </c>
      <c r="AD1692" s="5">
        <v>5.1093049499489904</v>
      </c>
      <c r="AE1692" s="5">
        <v>2.328929574072101</v>
      </c>
      <c r="AF1692">
        <v>1</v>
      </c>
    </row>
    <row r="1693" spans="27:32" x14ac:dyDescent="0.3">
      <c r="AA1693" s="3">
        <v>12695.38</v>
      </c>
      <c r="AB1693">
        <v>1E-4</v>
      </c>
      <c r="AC1693">
        <v>8</v>
      </c>
      <c r="AD1693" s="5">
        <v>4.9823183794243979</v>
      </c>
      <c r="AE1693" s="5">
        <v>2.2787727995006444</v>
      </c>
      <c r="AF1693">
        <v>1</v>
      </c>
    </row>
    <row r="1694" spans="27:32" x14ac:dyDescent="0.3">
      <c r="AA1694" s="3">
        <v>2532.29</v>
      </c>
      <c r="AB1694">
        <v>1E-4</v>
      </c>
      <c r="AC1694">
        <v>8</v>
      </c>
      <c r="AD1694" s="5">
        <v>4.9425419716117416</v>
      </c>
      <c r="AE1694" s="5">
        <v>2.2244917971661389</v>
      </c>
      <c r="AF1694">
        <v>1</v>
      </c>
    </row>
    <row r="1695" spans="27:32" x14ac:dyDescent="0.3">
      <c r="AA1695" s="3">
        <v>10246.57</v>
      </c>
      <c r="AB1695">
        <v>1E-4</v>
      </c>
      <c r="AC1695">
        <v>8</v>
      </c>
      <c r="AD1695" s="5">
        <v>5.0045156946478038</v>
      </c>
      <c r="AE1695" s="5">
        <v>2.2118175151269934</v>
      </c>
      <c r="AF1695">
        <v>1</v>
      </c>
    </row>
    <row r="1696" spans="27:32" x14ac:dyDescent="0.3">
      <c r="AA1696" s="3">
        <v>-5715.03</v>
      </c>
      <c r="AB1696">
        <v>1E-4</v>
      </c>
      <c r="AC1696">
        <v>9</v>
      </c>
      <c r="AD1696" s="5">
        <v>4.9161139948001988</v>
      </c>
      <c r="AE1696" s="5">
        <v>2.1680144950174838</v>
      </c>
      <c r="AF1696">
        <v>1</v>
      </c>
    </row>
    <row r="1697" spans="27:32" x14ac:dyDescent="0.3">
      <c r="AA1697" s="3">
        <v>5670.54</v>
      </c>
      <c r="AB1697">
        <v>1E-4</v>
      </c>
      <c r="AC1697">
        <v>8</v>
      </c>
      <c r="AD1697" s="5">
        <v>4.9221580296521514</v>
      </c>
      <c r="AE1697" s="5">
        <v>2.127279720060236</v>
      </c>
      <c r="AF1697">
        <v>1</v>
      </c>
    </row>
    <row r="1698" spans="27:32" x14ac:dyDescent="0.3">
      <c r="AA1698" s="3">
        <v>16997.900000000001</v>
      </c>
      <c r="AB1698">
        <v>1E-4</v>
      </c>
      <c r="AC1698">
        <v>8</v>
      </c>
      <c r="AD1698" s="5">
        <v>4.9830338425920528</v>
      </c>
      <c r="AE1698" s="5">
        <v>2.207812313779598</v>
      </c>
      <c r="AF1698">
        <v>1</v>
      </c>
    </row>
    <row r="1699" spans="27:32" x14ac:dyDescent="0.3">
      <c r="AA1699" s="3">
        <v>27949.08</v>
      </c>
      <c r="AB1699">
        <v>1E-4</v>
      </c>
      <c r="AC1699">
        <v>8</v>
      </c>
      <c r="AD1699" s="5">
        <v>5.0800964998762907</v>
      </c>
      <c r="AE1699" s="5">
        <v>2.1847162580949928</v>
      </c>
      <c r="AF1699">
        <v>1</v>
      </c>
    </row>
    <row r="1700" spans="27:32" x14ac:dyDescent="0.3">
      <c r="AA1700" s="3">
        <v>35859.42</v>
      </c>
      <c r="AB1700">
        <v>1E-4</v>
      </c>
      <c r="AC1700">
        <v>7</v>
      </c>
      <c r="AD1700" s="5">
        <v>5.0526750845643429</v>
      </c>
      <c r="AE1700" s="5">
        <v>2.1459948379980567</v>
      </c>
      <c r="AF1700">
        <v>1</v>
      </c>
    </row>
    <row r="1701" spans="27:32" x14ac:dyDescent="0.3">
      <c r="AA1701" s="3">
        <v>-10793.73</v>
      </c>
      <c r="AB1701">
        <v>1E-4</v>
      </c>
      <c r="AC1701">
        <v>9</v>
      </c>
      <c r="AD1701" s="5">
        <v>4.9659904722787847</v>
      </c>
      <c r="AE1701" s="5">
        <v>2.273504346509537</v>
      </c>
      <c r="AF1701">
        <v>1</v>
      </c>
    </row>
    <row r="1702" spans="27:32" x14ac:dyDescent="0.3">
      <c r="AA1702" s="3">
        <v>28815.61</v>
      </c>
      <c r="AB1702">
        <v>1E-4</v>
      </c>
      <c r="AC1702">
        <v>8</v>
      </c>
      <c r="AD1702" s="5">
        <v>5.0473989744812684</v>
      </c>
      <c r="AE1702" s="5">
        <v>2.2602346637272532</v>
      </c>
      <c r="AF1702">
        <v>1</v>
      </c>
    </row>
    <row r="1703" spans="27:32" x14ac:dyDescent="0.3">
      <c r="AA1703" s="3">
        <v>26291.53</v>
      </c>
      <c r="AB1703">
        <v>1E-4</v>
      </c>
      <c r="AC1703">
        <v>8</v>
      </c>
      <c r="AD1703" s="5">
        <v>5.0125078450489271</v>
      </c>
      <c r="AE1703" s="5">
        <v>2.1583849188335407</v>
      </c>
      <c r="AF1703">
        <v>1</v>
      </c>
    </row>
    <row r="1704" spans="27:32" x14ac:dyDescent="0.3">
      <c r="AA1704" s="3">
        <v>5477.94</v>
      </c>
      <c r="AB1704">
        <v>1E-4</v>
      </c>
      <c r="AC1704">
        <v>8</v>
      </c>
      <c r="AD1704" s="5">
        <v>4.8736860565680127</v>
      </c>
      <c r="AE1704" s="5">
        <v>2.2082371322388528</v>
      </c>
      <c r="AF1704">
        <v>1</v>
      </c>
    </row>
    <row r="1705" spans="27:32" x14ac:dyDescent="0.3">
      <c r="AA1705" s="3">
        <v>20616.59</v>
      </c>
      <c r="AB1705">
        <v>1E-4</v>
      </c>
      <c r="AC1705">
        <v>8</v>
      </c>
      <c r="AD1705" s="5">
        <v>4.9853430997511641</v>
      </c>
      <c r="AE1705" s="5">
        <v>2.1174963863945786</v>
      </c>
      <c r="AF1705">
        <v>1</v>
      </c>
    </row>
    <row r="1706" spans="27:32" x14ac:dyDescent="0.3">
      <c r="AA1706" s="3">
        <v>16894.8</v>
      </c>
      <c r="AB1706">
        <v>1E-4</v>
      </c>
      <c r="AC1706">
        <v>8</v>
      </c>
      <c r="AD1706" s="5">
        <v>4.9187801602700167</v>
      </c>
      <c r="AE1706" s="5">
        <v>2.1266336526495531</v>
      </c>
      <c r="AF1706">
        <v>1</v>
      </c>
    </row>
    <row r="1707" spans="27:32" x14ac:dyDescent="0.3">
      <c r="AA1707" s="3">
        <v>35954.97</v>
      </c>
      <c r="AB1707">
        <v>1E-4</v>
      </c>
      <c r="AC1707">
        <v>7</v>
      </c>
      <c r="AD1707" s="5">
        <v>5.0596881032606635</v>
      </c>
      <c r="AE1707" s="5">
        <v>2.2359128569934814</v>
      </c>
      <c r="AF1707">
        <v>1</v>
      </c>
    </row>
    <row r="1708" spans="27:32" x14ac:dyDescent="0.3">
      <c r="AA1708" s="3">
        <v>23805.39</v>
      </c>
      <c r="AB1708">
        <v>1E-4</v>
      </c>
      <c r="AC1708">
        <v>8</v>
      </c>
      <c r="AD1708" s="5">
        <v>4.9855938297104485</v>
      </c>
      <c r="AE1708" s="5">
        <v>2.2507905009942935</v>
      </c>
      <c r="AF1708">
        <v>1</v>
      </c>
    </row>
    <row r="1709" spans="27:32" x14ac:dyDescent="0.3">
      <c r="AA1709" s="3">
        <v>3260.51</v>
      </c>
      <c r="AB1709">
        <v>1E-4</v>
      </c>
      <c r="AC1709">
        <v>8</v>
      </c>
      <c r="AD1709" s="5">
        <v>5.0514131404476599</v>
      </c>
      <c r="AE1709" s="5">
        <v>2.1117403366768182</v>
      </c>
      <c r="AF1709">
        <v>1</v>
      </c>
    </row>
    <row r="1710" spans="27:32" x14ac:dyDescent="0.3">
      <c r="AA1710" s="3">
        <v>-15090.06</v>
      </c>
      <c r="AB1710">
        <v>1E-4</v>
      </c>
      <c r="AC1710">
        <v>9</v>
      </c>
      <c r="AD1710" s="5">
        <v>4.8335153998184168</v>
      </c>
      <c r="AE1710" s="5">
        <v>2.276049487161349</v>
      </c>
      <c r="AF1710">
        <v>1</v>
      </c>
    </row>
    <row r="1711" spans="27:32" x14ac:dyDescent="0.3">
      <c r="AA1711" s="3">
        <v>34449.81</v>
      </c>
      <c r="AB1711">
        <v>1E-4</v>
      </c>
      <c r="AC1711">
        <v>7</v>
      </c>
      <c r="AD1711" s="5">
        <v>5.0293595016797408</v>
      </c>
      <c r="AE1711" s="5">
        <v>2.1338742419189747</v>
      </c>
      <c r="AF1711">
        <v>1</v>
      </c>
    </row>
    <row r="1712" spans="27:32" x14ac:dyDescent="0.3">
      <c r="AA1712" s="3">
        <v>-268.26</v>
      </c>
      <c r="AB1712">
        <v>1E-4</v>
      </c>
      <c r="AC1712">
        <v>9</v>
      </c>
      <c r="AD1712" s="5">
        <v>5.0305114679962522</v>
      </c>
      <c r="AE1712" s="5">
        <v>2.1315516969305173</v>
      </c>
      <c r="AF1712">
        <v>1</v>
      </c>
    </row>
    <row r="1713" spans="27:32" x14ac:dyDescent="0.3">
      <c r="AA1713" s="3">
        <v>15767.32</v>
      </c>
      <c r="AB1713">
        <v>1E-4</v>
      </c>
      <c r="AC1713">
        <v>8</v>
      </c>
      <c r="AD1713" s="5">
        <v>5.0910862989132797</v>
      </c>
      <c r="AE1713" s="5">
        <v>2.1930200384237994</v>
      </c>
      <c r="AF1713">
        <v>1</v>
      </c>
    </row>
    <row r="1714" spans="27:32" x14ac:dyDescent="0.3">
      <c r="AA1714" s="3">
        <v>45077.9</v>
      </c>
      <c r="AB1714">
        <v>1E-4</v>
      </c>
      <c r="AC1714">
        <v>6</v>
      </c>
      <c r="AD1714" s="5">
        <v>5.0124151985811061</v>
      </c>
      <c r="AE1714" s="5">
        <v>2.2528152191860147</v>
      </c>
      <c r="AF1714">
        <v>1</v>
      </c>
    </row>
    <row r="1715" spans="27:32" x14ac:dyDescent="0.3">
      <c r="AA1715" s="3">
        <v>9078.85</v>
      </c>
      <c r="AB1715">
        <v>1E-4</v>
      </c>
      <c r="AC1715">
        <v>8</v>
      </c>
      <c r="AD1715" s="5">
        <v>5.109954036084015</v>
      </c>
      <c r="AE1715" s="5">
        <v>2.1447801886455822</v>
      </c>
      <c r="AF1715">
        <v>1</v>
      </c>
    </row>
    <row r="1716" spans="27:32" x14ac:dyDescent="0.3">
      <c r="AA1716" s="3">
        <v>30065.1</v>
      </c>
      <c r="AB1716">
        <v>1E-4</v>
      </c>
      <c r="AC1716">
        <v>7</v>
      </c>
      <c r="AD1716" s="5">
        <v>5.0751036657023523</v>
      </c>
      <c r="AE1716" s="5">
        <v>2.1699402587207395</v>
      </c>
      <c r="AF1716">
        <v>1</v>
      </c>
    </row>
    <row r="1717" spans="27:32" x14ac:dyDescent="0.3">
      <c r="AA1717" s="3">
        <v>30601.49</v>
      </c>
      <c r="AB1717">
        <v>1E-4</v>
      </c>
      <c r="AC1717">
        <v>8</v>
      </c>
      <c r="AD1717" s="5">
        <v>5.116045661813982</v>
      </c>
      <c r="AE1717" s="5">
        <v>2.2153270327721408</v>
      </c>
      <c r="AF1717">
        <v>1</v>
      </c>
    </row>
    <row r="1718" spans="27:32" x14ac:dyDescent="0.3">
      <c r="AA1718" s="3">
        <v>8821.76</v>
      </c>
      <c r="AB1718">
        <v>1E-4</v>
      </c>
      <c r="AC1718">
        <v>8</v>
      </c>
      <c r="AD1718" s="5">
        <v>4.9907783513842379</v>
      </c>
      <c r="AE1718" s="5">
        <v>2.1563203243681608</v>
      </c>
      <c r="AF1718">
        <v>1</v>
      </c>
    </row>
    <row r="1719" spans="27:32" x14ac:dyDescent="0.3">
      <c r="AA1719" s="3">
        <v>4336.16</v>
      </c>
      <c r="AB1719">
        <v>1E-4</v>
      </c>
      <c r="AC1719">
        <v>8</v>
      </c>
      <c r="AD1719" s="5">
        <v>4.9393949408866673</v>
      </c>
      <c r="AE1719" s="5">
        <v>2.2692344311147052</v>
      </c>
      <c r="AF1719">
        <v>1</v>
      </c>
    </row>
    <row r="1720" spans="27:32" x14ac:dyDescent="0.3">
      <c r="AA1720" s="3">
        <v>15985.24</v>
      </c>
      <c r="AB1720">
        <v>1E-4</v>
      </c>
      <c r="AC1720">
        <v>8</v>
      </c>
      <c r="AD1720" s="5">
        <v>4.9656345737599024</v>
      </c>
      <c r="AE1720" s="5">
        <v>2.1683764923565727</v>
      </c>
      <c r="AF1720">
        <v>1</v>
      </c>
    </row>
    <row r="1721" spans="27:32" x14ac:dyDescent="0.3">
      <c r="AA1721" s="3">
        <v>28964.400000000001</v>
      </c>
      <c r="AB1721">
        <v>1E-4</v>
      </c>
      <c r="AC1721">
        <v>7</v>
      </c>
      <c r="AD1721" s="5">
        <v>4.9139846246463978</v>
      </c>
      <c r="AE1721" s="5">
        <v>2.1549750431417332</v>
      </c>
      <c r="AF1721">
        <v>1</v>
      </c>
    </row>
    <row r="1722" spans="27:32" x14ac:dyDescent="0.3">
      <c r="AA1722" s="3">
        <v>36976.06</v>
      </c>
      <c r="AB1722">
        <v>1E-4</v>
      </c>
      <c r="AC1722">
        <v>7</v>
      </c>
      <c r="AD1722" s="5">
        <v>5.0556716716682351</v>
      </c>
      <c r="AE1722" s="5">
        <v>2.1125409426511967</v>
      </c>
      <c r="AF1722">
        <v>1</v>
      </c>
    </row>
    <row r="1723" spans="27:32" x14ac:dyDescent="0.3">
      <c r="AA1723" s="3">
        <v>12972.74</v>
      </c>
      <c r="AB1723">
        <v>1E-4</v>
      </c>
      <c r="AC1723">
        <v>8</v>
      </c>
      <c r="AD1723" s="5">
        <v>4.9330686859546979</v>
      </c>
      <c r="AE1723" s="5">
        <v>2.200841764560987</v>
      </c>
      <c r="AF1723">
        <v>1</v>
      </c>
    </row>
    <row r="1724" spans="27:32" x14ac:dyDescent="0.3">
      <c r="AA1724" s="3">
        <v>13470.02</v>
      </c>
      <c r="AB1724">
        <v>1E-4</v>
      </c>
      <c r="AC1724">
        <v>8</v>
      </c>
      <c r="AD1724" s="5">
        <v>4.9485411435353157</v>
      </c>
      <c r="AE1724" s="5">
        <v>2.2306403547749256</v>
      </c>
      <c r="AF1724">
        <v>1</v>
      </c>
    </row>
    <row r="1725" spans="27:32" x14ac:dyDescent="0.3">
      <c r="AA1725" s="3">
        <v>8613.08</v>
      </c>
      <c r="AB1725">
        <v>1E-4</v>
      </c>
      <c r="AC1725">
        <v>8</v>
      </c>
      <c r="AD1725" s="5">
        <v>4.9723800033715957</v>
      </c>
      <c r="AE1725" s="5">
        <v>2.2088693565107471</v>
      </c>
      <c r="AF1725">
        <v>1</v>
      </c>
    </row>
    <row r="1726" spans="27:32" x14ac:dyDescent="0.3">
      <c r="AA1726" s="3">
        <v>29014.42</v>
      </c>
      <c r="AB1726">
        <v>1E-4</v>
      </c>
      <c r="AC1726">
        <v>8</v>
      </c>
      <c r="AD1726" s="5">
        <v>4.9665325624121248</v>
      </c>
      <c r="AE1726" s="5">
        <v>2.2753910897065142</v>
      </c>
      <c r="AF1726">
        <v>1</v>
      </c>
    </row>
    <row r="1727" spans="27:32" x14ac:dyDescent="0.3">
      <c r="AA1727" s="3">
        <v>-47575.591201277472</v>
      </c>
      <c r="AB1727">
        <v>1E-4</v>
      </c>
      <c r="AC1727">
        <v>9</v>
      </c>
      <c r="AD1727" s="5">
        <v>4.8051436023523557</v>
      </c>
      <c r="AE1727" s="5">
        <v>2.2220738680439247</v>
      </c>
      <c r="AF1727">
        <v>0</v>
      </c>
    </row>
    <row r="1728" spans="27:32" x14ac:dyDescent="0.3">
      <c r="AA1728" s="3">
        <v>35260.6</v>
      </c>
      <c r="AB1728">
        <v>1E-4</v>
      </c>
      <c r="AC1728">
        <v>7</v>
      </c>
      <c r="AD1728" s="5">
        <v>5.0557110529651528</v>
      </c>
      <c r="AE1728" s="5">
        <v>2.2966079630109517</v>
      </c>
      <c r="AF1728">
        <v>1</v>
      </c>
    </row>
    <row r="1729" spans="27:32" x14ac:dyDescent="0.3">
      <c r="AA1729" s="3">
        <v>22204.98</v>
      </c>
      <c r="AB1729">
        <v>1E-4</v>
      </c>
      <c r="AC1729">
        <v>8</v>
      </c>
      <c r="AD1729" s="5">
        <v>4.9618990708664006</v>
      </c>
      <c r="AE1729" s="5">
        <v>2.1528734993425296</v>
      </c>
      <c r="AF1729">
        <v>1</v>
      </c>
    </row>
    <row r="1730" spans="27:32" x14ac:dyDescent="0.3">
      <c r="AA1730" s="3">
        <v>-13845.44</v>
      </c>
      <c r="AB1730">
        <v>1E-4</v>
      </c>
      <c r="AC1730">
        <v>9</v>
      </c>
      <c r="AD1730" s="5">
        <v>4.9032979304576214</v>
      </c>
      <c r="AE1730" s="5">
        <v>2.1636834490221832</v>
      </c>
      <c r="AF1730">
        <v>1</v>
      </c>
    </row>
    <row r="1731" spans="27:32" x14ac:dyDescent="0.3">
      <c r="AA1731" s="3">
        <v>-1582.91</v>
      </c>
      <c r="AB1731">
        <v>1E-4</v>
      </c>
      <c r="AC1731">
        <v>9</v>
      </c>
      <c r="AD1731" s="5">
        <v>4.7906164895256129</v>
      </c>
      <c r="AE1731" s="5">
        <v>2.1980660399321552</v>
      </c>
      <c r="AF1731">
        <v>1</v>
      </c>
    </row>
    <row r="1732" spans="27:32" x14ac:dyDescent="0.3">
      <c r="AA1732" s="3">
        <v>54095.06</v>
      </c>
      <c r="AB1732">
        <v>1E-4</v>
      </c>
      <c r="AC1732">
        <v>6</v>
      </c>
      <c r="AD1732" s="5">
        <v>5.0352572381217646</v>
      </c>
      <c r="AE1732" s="5">
        <v>2.1882136688341398</v>
      </c>
      <c r="AF1732">
        <v>1</v>
      </c>
    </row>
    <row r="1733" spans="27:32" x14ac:dyDescent="0.3">
      <c r="AA1733" s="3">
        <v>11502.57</v>
      </c>
      <c r="AB1733">
        <v>1E-4</v>
      </c>
      <c r="AC1733">
        <v>8</v>
      </c>
      <c r="AD1733" s="5">
        <v>4.9959162885503865</v>
      </c>
      <c r="AE1733" s="5">
        <v>2.1911084851004028</v>
      </c>
      <c r="AF1733">
        <v>1</v>
      </c>
    </row>
    <row r="1734" spans="27:32" x14ac:dyDescent="0.3">
      <c r="AA1734" s="3">
        <v>-392.46</v>
      </c>
      <c r="AB1734">
        <v>1E-4</v>
      </c>
      <c r="AC1734">
        <v>9</v>
      </c>
      <c r="AD1734" s="5">
        <v>4.9046863043096955</v>
      </c>
      <c r="AE1734" s="5">
        <v>2.1119971725697821</v>
      </c>
      <c r="AF1734">
        <v>1</v>
      </c>
    </row>
    <row r="1735" spans="27:32" x14ac:dyDescent="0.3">
      <c r="AA1735" s="3">
        <v>10527.05</v>
      </c>
      <c r="AB1735">
        <v>1E-4</v>
      </c>
      <c r="AC1735">
        <v>8</v>
      </c>
      <c r="AD1735" s="5">
        <v>4.793896639670737</v>
      </c>
      <c r="AE1735" s="5">
        <v>2.1426513978727639</v>
      </c>
      <c r="AF1735">
        <v>1</v>
      </c>
    </row>
    <row r="1736" spans="27:32" x14ac:dyDescent="0.3">
      <c r="AA1736" s="3">
        <v>42541.02</v>
      </c>
      <c r="AB1736">
        <v>1E-4</v>
      </c>
      <c r="AC1736">
        <v>6</v>
      </c>
      <c r="AD1736" s="5">
        <v>5.0783184569314486</v>
      </c>
      <c r="AE1736" s="5">
        <v>2.1611717779878878</v>
      </c>
      <c r="AF1736">
        <v>1</v>
      </c>
    </row>
    <row r="1737" spans="27:32" x14ac:dyDescent="0.3">
      <c r="AA1737" s="3">
        <v>652.78</v>
      </c>
      <c r="AB1737">
        <v>1E-4</v>
      </c>
      <c r="AC1737">
        <v>8</v>
      </c>
      <c r="AD1737" s="5">
        <v>4.9242216109584067</v>
      </c>
      <c r="AE1737" s="5">
        <v>2.2499815387956295</v>
      </c>
      <c r="AF1737">
        <v>1</v>
      </c>
    </row>
    <row r="1738" spans="27:32" x14ac:dyDescent="0.3">
      <c r="AA1738" s="3">
        <v>-16985.38</v>
      </c>
      <c r="AB1738">
        <v>1E-4</v>
      </c>
      <c r="AC1738">
        <v>9</v>
      </c>
      <c r="AD1738" s="5">
        <v>4.9811747421198671</v>
      </c>
      <c r="AE1738" s="5">
        <v>2.1914432769994887</v>
      </c>
      <c r="AF1738">
        <v>1</v>
      </c>
    </row>
    <row r="1739" spans="27:32" x14ac:dyDescent="0.3">
      <c r="AA1739" s="3">
        <v>-16958.830000000002</v>
      </c>
      <c r="AB1739">
        <v>1E-4</v>
      </c>
      <c r="AC1739">
        <v>9</v>
      </c>
      <c r="AD1739" s="5">
        <v>4.9693600033349963</v>
      </c>
      <c r="AE1739" s="5">
        <v>2.348144295573932</v>
      </c>
      <c r="AF1739">
        <v>1</v>
      </c>
    </row>
    <row r="1740" spans="27:32" x14ac:dyDescent="0.3">
      <c r="AA1740" s="3">
        <v>-26717.81</v>
      </c>
      <c r="AB1740">
        <v>1E-4</v>
      </c>
      <c r="AC1740">
        <v>9</v>
      </c>
      <c r="AD1740" s="5">
        <v>4.8817003834520936</v>
      </c>
      <c r="AE1740" s="5">
        <v>2.2986740703527637</v>
      </c>
      <c r="AF1740">
        <v>1</v>
      </c>
    </row>
    <row r="1741" spans="27:32" x14ac:dyDescent="0.3">
      <c r="AA1741" s="3">
        <v>3250.71</v>
      </c>
      <c r="AB1741">
        <v>1E-4</v>
      </c>
      <c r="AC1741">
        <v>8</v>
      </c>
      <c r="AD1741" s="5">
        <v>5.0104998690826354</v>
      </c>
      <c r="AE1741" s="5">
        <v>2.2999157112597639</v>
      </c>
      <c r="AF1741">
        <v>1</v>
      </c>
    </row>
    <row r="1742" spans="27:32" x14ac:dyDescent="0.3">
      <c r="AA1742" s="3">
        <v>40679.550000000003</v>
      </c>
      <c r="AB1742">
        <v>1E-4</v>
      </c>
      <c r="AC1742">
        <v>7</v>
      </c>
      <c r="AD1742" s="5">
        <v>4.9532829411928683</v>
      </c>
      <c r="AE1742" s="5">
        <v>2.1943836428643686</v>
      </c>
      <c r="AF1742">
        <v>1</v>
      </c>
    </row>
    <row r="1743" spans="27:32" x14ac:dyDescent="0.3">
      <c r="AA1743" s="3">
        <v>14322.99</v>
      </c>
      <c r="AB1743">
        <v>1E-4</v>
      </c>
      <c r="AC1743">
        <v>8</v>
      </c>
      <c r="AD1743" s="5">
        <v>4.8484664659470482</v>
      </c>
      <c r="AE1743" s="5">
        <v>2.2444597145383942</v>
      </c>
      <c r="AF1743">
        <v>1</v>
      </c>
    </row>
    <row r="1744" spans="27:32" x14ac:dyDescent="0.3">
      <c r="AA1744" s="3">
        <v>33304.76</v>
      </c>
      <c r="AB1744">
        <v>1E-4</v>
      </c>
      <c r="AC1744">
        <v>7</v>
      </c>
      <c r="AD1744" s="5">
        <v>5.0849797080076389</v>
      </c>
      <c r="AE1744" s="5">
        <v>2.1776239298028424</v>
      </c>
      <c r="AF1744">
        <v>1</v>
      </c>
    </row>
    <row r="1745" spans="27:32" x14ac:dyDescent="0.3">
      <c r="AA1745" s="3">
        <v>26383.02</v>
      </c>
      <c r="AB1745">
        <v>1E-4</v>
      </c>
      <c r="AC1745">
        <v>8</v>
      </c>
      <c r="AD1745" s="5">
        <v>5.0127146218335747</v>
      </c>
      <c r="AE1745" s="5">
        <v>2.1838936898887318</v>
      </c>
      <c r="AF1745">
        <v>1</v>
      </c>
    </row>
    <row r="1746" spans="27:32" x14ac:dyDescent="0.3">
      <c r="AA1746" s="3">
        <v>2547.12</v>
      </c>
      <c r="AB1746">
        <v>1E-4</v>
      </c>
      <c r="AC1746">
        <v>8</v>
      </c>
      <c r="AD1746" s="5">
        <v>4.862712107298635</v>
      </c>
      <c r="AE1746" s="5">
        <v>2.1576257387461975</v>
      </c>
      <c r="AF1746">
        <v>1</v>
      </c>
    </row>
    <row r="1747" spans="27:32" x14ac:dyDescent="0.3">
      <c r="AA1747" s="3">
        <v>33966.959999999999</v>
      </c>
      <c r="AB1747">
        <v>1E-4</v>
      </c>
      <c r="AC1747">
        <v>7</v>
      </c>
      <c r="AD1747" s="5">
        <v>5.0226095103361468</v>
      </c>
      <c r="AE1747" s="5">
        <v>2.2583939819781182</v>
      </c>
      <c r="AF1747">
        <v>1</v>
      </c>
    </row>
    <row r="1748" spans="27:32" x14ac:dyDescent="0.3">
      <c r="AA1748" s="3">
        <v>7951.64</v>
      </c>
      <c r="AB1748">
        <v>1E-4</v>
      </c>
      <c r="AC1748">
        <v>8</v>
      </c>
      <c r="AD1748" s="5">
        <v>5.1871086137848907</v>
      </c>
      <c r="AE1748" s="5">
        <v>2.2818617764240963</v>
      </c>
      <c r="AF1748">
        <v>1</v>
      </c>
    </row>
    <row r="1749" spans="27:32" x14ac:dyDescent="0.3">
      <c r="AA1749" s="3">
        <v>28417.34</v>
      </c>
      <c r="AB1749">
        <v>1E-4</v>
      </c>
      <c r="AC1749">
        <v>8</v>
      </c>
      <c r="AD1749" s="5">
        <v>5.0082392442528842</v>
      </c>
      <c r="AE1749" s="5">
        <v>2.1813076706212184</v>
      </c>
      <c r="AF1749">
        <v>1</v>
      </c>
    </row>
    <row r="1750" spans="27:32" x14ac:dyDescent="0.3">
      <c r="AA1750" s="3">
        <v>-13120.18</v>
      </c>
      <c r="AB1750">
        <v>1E-4</v>
      </c>
      <c r="AC1750">
        <v>9</v>
      </c>
      <c r="AD1750" s="5">
        <v>4.788646955480055</v>
      </c>
      <c r="AE1750" s="5">
        <v>2.125211628749391</v>
      </c>
      <c r="AF1750">
        <v>1</v>
      </c>
    </row>
    <row r="1751" spans="27:32" x14ac:dyDescent="0.3">
      <c r="AA1751" s="3">
        <v>-294.45999999999998</v>
      </c>
      <c r="AB1751">
        <v>1E-4</v>
      </c>
      <c r="AC1751">
        <v>9</v>
      </c>
      <c r="AD1751" s="5">
        <v>4.9220639638073305</v>
      </c>
      <c r="AE1751" s="5">
        <v>2.2233254265242883</v>
      </c>
      <c r="AF1751">
        <v>1</v>
      </c>
    </row>
    <row r="1752" spans="27:32" x14ac:dyDescent="0.3">
      <c r="AA1752" s="3">
        <v>-10993.87</v>
      </c>
      <c r="AB1752">
        <v>1E-4</v>
      </c>
      <c r="AC1752">
        <v>9</v>
      </c>
      <c r="AD1752" s="5">
        <v>4.9565934867463417</v>
      </c>
      <c r="AE1752" s="5">
        <v>2.247884599109065</v>
      </c>
      <c r="AF1752">
        <v>1</v>
      </c>
    </row>
    <row r="1753" spans="27:32" x14ac:dyDescent="0.3">
      <c r="AA1753" s="3">
        <v>16432.41</v>
      </c>
      <c r="AB1753">
        <v>1E-4</v>
      </c>
      <c r="AC1753">
        <v>8</v>
      </c>
      <c r="AD1753" s="5">
        <v>5.0182757248496426</v>
      </c>
      <c r="AE1753" s="5">
        <v>2.1963485963780189</v>
      </c>
      <c r="AF1753">
        <v>1</v>
      </c>
    </row>
    <row r="1754" spans="27:32" x14ac:dyDescent="0.3">
      <c r="AA1754" s="3">
        <v>23912.77</v>
      </c>
      <c r="AB1754">
        <v>1E-4</v>
      </c>
      <c r="AC1754">
        <v>8</v>
      </c>
      <c r="AD1754" s="5">
        <v>5.1229970309151325</v>
      </c>
      <c r="AE1754" s="5">
        <v>2.2776684667244509</v>
      </c>
      <c r="AF1754">
        <v>1</v>
      </c>
    </row>
    <row r="1755" spans="27:32" x14ac:dyDescent="0.3">
      <c r="AA1755" s="3">
        <v>6647.21</v>
      </c>
      <c r="AB1755">
        <v>1E-4</v>
      </c>
      <c r="AC1755">
        <v>8</v>
      </c>
      <c r="AD1755" s="5">
        <v>5.1198248281739653</v>
      </c>
      <c r="AE1755" s="5">
        <v>2.1556757523364496</v>
      </c>
      <c r="AF1755">
        <v>1</v>
      </c>
    </row>
    <row r="1756" spans="27:32" x14ac:dyDescent="0.3">
      <c r="AA1756" s="3">
        <v>-51633.095979549464</v>
      </c>
      <c r="AB1756">
        <v>1E-4</v>
      </c>
      <c r="AC1756">
        <v>9</v>
      </c>
      <c r="AD1756" s="5">
        <v>5.0247300260875081</v>
      </c>
      <c r="AE1756" s="5">
        <v>2.1551463317266095</v>
      </c>
      <c r="AF1756">
        <v>0</v>
      </c>
    </row>
    <row r="1757" spans="27:32" x14ac:dyDescent="0.3">
      <c r="AA1757" s="3">
        <v>53538.67</v>
      </c>
      <c r="AB1757">
        <v>1E-4</v>
      </c>
      <c r="AC1757">
        <v>6</v>
      </c>
      <c r="AD1757" s="5">
        <v>4.8853732965602301</v>
      </c>
      <c r="AE1757" s="5">
        <v>2.1658417943782764</v>
      </c>
      <c r="AF1757">
        <v>1</v>
      </c>
    </row>
    <row r="1758" spans="27:32" x14ac:dyDescent="0.3">
      <c r="AA1758" s="3">
        <v>-10283.870000000001</v>
      </c>
      <c r="AB1758">
        <v>1E-4</v>
      </c>
      <c r="AC1758">
        <v>9</v>
      </c>
      <c r="AD1758" s="5">
        <v>5.0218760200801995</v>
      </c>
      <c r="AE1758" s="5">
        <v>2.1729898847692972</v>
      </c>
      <c r="AF1758">
        <v>1</v>
      </c>
    </row>
    <row r="1759" spans="27:32" x14ac:dyDescent="0.3">
      <c r="AA1759" s="3">
        <v>27478.81</v>
      </c>
      <c r="AB1759">
        <v>1E-4</v>
      </c>
      <c r="AC1759">
        <v>8</v>
      </c>
      <c r="AD1759" s="5">
        <v>4.9047772418834352</v>
      </c>
      <c r="AE1759" s="5">
        <v>2.1384684255107609</v>
      </c>
      <c r="AF1759">
        <v>1</v>
      </c>
    </row>
    <row r="1760" spans="27:32" x14ac:dyDescent="0.3">
      <c r="AA1760" s="3">
        <v>-46368.614879348221</v>
      </c>
      <c r="AB1760">
        <v>1E-4</v>
      </c>
      <c r="AC1760">
        <v>9</v>
      </c>
      <c r="AD1760" s="5">
        <v>4.9416680831905797</v>
      </c>
      <c r="AE1760" s="5">
        <v>2.2150811260298187</v>
      </c>
      <c r="AF1760">
        <v>0</v>
      </c>
    </row>
    <row r="1761" spans="27:32" x14ac:dyDescent="0.3">
      <c r="AA1761" s="3">
        <v>32444.65</v>
      </c>
      <c r="AB1761">
        <v>1E-4</v>
      </c>
      <c r="AC1761">
        <v>7</v>
      </c>
      <c r="AD1761" s="5">
        <v>4.8575859541689157</v>
      </c>
      <c r="AE1761" s="5">
        <v>2.222839577203124</v>
      </c>
      <c r="AF1761">
        <v>1</v>
      </c>
    </row>
    <row r="1762" spans="27:32" x14ac:dyDescent="0.3">
      <c r="AA1762" s="3">
        <v>14960.23</v>
      </c>
      <c r="AB1762">
        <v>1E-4</v>
      </c>
      <c r="AC1762">
        <v>8</v>
      </c>
      <c r="AD1762" s="5">
        <v>5.025764430435407</v>
      </c>
      <c r="AE1762" s="5">
        <v>2.1464550940965998</v>
      </c>
      <c r="AF1762">
        <v>1</v>
      </c>
    </row>
    <row r="1763" spans="27:32" x14ac:dyDescent="0.3">
      <c r="AA1763" s="3">
        <v>-9159.31</v>
      </c>
      <c r="AB1763">
        <v>1E-4</v>
      </c>
      <c r="AC1763">
        <v>9</v>
      </c>
      <c r="AD1763" s="5">
        <v>5.0156081177801468</v>
      </c>
      <c r="AE1763" s="5">
        <v>2.1670491010900621</v>
      </c>
      <c r="AF1763">
        <v>1</v>
      </c>
    </row>
    <row r="1764" spans="27:32" x14ac:dyDescent="0.3">
      <c r="AA1764" s="3">
        <v>48753.87</v>
      </c>
      <c r="AB1764">
        <v>1E-4</v>
      </c>
      <c r="AC1764">
        <v>6</v>
      </c>
      <c r="AD1764" s="5">
        <v>4.8201450867326487</v>
      </c>
      <c r="AE1764" s="5">
        <v>2.2029388966049082</v>
      </c>
      <c r="AF1764">
        <v>1</v>
      </c>
    </row>
    <row r="1765" spans="27:32" x14ac:dyDescent="0.3">
      <c r="AA1765" s="3">
        <v>18795.66</v>
      </c>
      <c r="AB1765">
        <v>1E-4</v>
      </c>
      <c r="AC1765">
        <v>8</v>
      </c>
      <c r="AD1765" s="5">
        <v>5.0299705033568616</v>
      </c>
      <c r="AE1765" s="5">
        <v>2.2141557615167828</v>
      </c>
      <c r="AF1765">
        <v>1</v>
      </c>
    </row>
    <row r="1766" spans="27:32" x14ac:dyDescent="0.3">
      <c r="AA1766" s="3">
        <v>6888.36</v>
      </c>
      <c r="AB1766">
        <v>1E-4</v>
      </c>
      <c r="AC1766">
        <v>8</v>
      </c>
      <c r="AD1766" s="5">
        <v>5.0244003716213355</v>
      </c>
      <c r="AE1766" s="5">
        <v>2.2263512855012966</v>
      </c>
      <c r="AF1766">
        <v>1</v>
      </c>
    </row>
    <row r="1767" spans="27:32" x14ac:dyDescent="0.3">
      <c r="AA1767" s="3">
        <v>18950.88</v>
      </c>
      <c r="AB1767">
        <v>1E-4</v>
      </c>
      <c r="AC1767">
        <v>8</v>
      </c>
      <c r="AD1767" s="5">
        <v>4.7818288764783627</v>
      </c>
      <c r="AE1767" s="5">
        <v>2.2153262723142544</v>
      </c>
      <c r="AF1767">
        <v>1</v>
      </c>
    </row>
    <row r="1768" spans="27:32" x14ac:dyDescent="0.3">
      <c r="AA1768" s="3">
        <v>27793.99</v>
      </c>
      <c r="AB1768">
        <v>1E-4</v>
      </c>
      <c r="AC1768">
        <v>8</v>
      </c>
      <c r="AD1768" s="5">
        <v>5.0292325175600752</v>
      </c>
      <c r="AE1768" s="5">
        <v>2.1972677566842029</v>
      </c>
      <c r="AF1768">
        <v>1</v>
      </c>
    </row>
    <row r="1769" spans="27:32" x14ac:dyDescent="0.3">
      <c r="AA1769" s="3">
        <v>-3126.56</v>
      </c>
      <c r="AB1769">
        <v>1E-4</v>
      </c>
      <c r="AC1769">
        <v>9</v>
      </c>
      <c r="AD1769" s="5">
        <v>4.9589564484880704</v>
      </c>
      <c r="AE1769" s="5">
        <v>2.2317322202230252</v>
      </c>
      <c r="AF1769">
        <v>1</v>
      </c>
    </row>
    <row r="1770" spans="27:32" x14ac:dyDescent="0.3">
      <c r="AA1770" s="3">
        <v>9626.84</v>
      </c>
      <c r="AB1770">
        <v>1E-4</v>
      </c>
      <c r="AC1770">
        <v>8</v>
      </c>
      <c r="AD1770" s="5">
        <v>4.9105707026703236</v>
      </c>
      <c r="AE1770" s="5">
        <v>2.1922751321278806</v>
      </c>
      <c r="AF1770">
        <v>1</v>
      </c>
    </row>
    <row r="1771" spans="27:32" x14ac:dyDescent="0.3">
      <c r="AA1771" s="3">
        <v>3328.5</v>
      </c>
      <c r="AB1771">
        <v>1E-4</v>
      </c>
      <c r="AC1771">
        <v>8</v>
      </c>
      <c r="AD1771" s="5">
        <v>4.9227674940479007</v>
      </c>
      <c r="AE1771" s="5">
        <v>2.2898604502355848</v>
      </c>
      <c r="AF1771">
        <v>1</v>
      </c>
    </row>
    <row r="1772" spans="27:32" x14ac:dyDescent="0.3">
      <c r="AA1772" s="3">
        <v>-1818.16</v>
      </c>
      <c r="AB1772">
        <v>1E-4</v>
      </c>
      <c r="AC1772">
        <v>9</v>
      </c>
      <c r="AD1772" s="5">
        <v>4.9127240009652819</v>
      </c>
      <c r="AE1772" s="5">
        <v>2.1718779535525874</v>
      </c>
      <c r="AF1772">
        <v>1</v>
      </c>
    </row>
    <row r="1773" spans="27:32" x14ac:dyDescent="0.3">
      <c r="AA1773" s="3">
        <v>-12749.9</v>
      </c>
      <c r="AB1773">
        <v>1E-4</v>
      </c>
      <c r="AC1773">
        <v>9</v>
      </c>
      <c r="AD1773" s="5">
        <v>4.9302723140034832</v>
      </c>
      <c r="AE1773" s="5">
        <v>2.044838611241071</v>
      </c>
      <c r="AF1773">
        <v>1</v>
      </c>
    </row>
    <row r="1774" spans="27:32" x14ac:dyDescent="0.3">
      <c r="AA1774" s="3">
        <v>10434.84</v>
      </c>
      <c r="AB1774">
        <v>1E-4</v>
      </c>
      <c r="AC1774">
        <v>8</v>
      </c>
      <c r="AD1774" s="5">
        <v>4.9411412275280355</v>
      </c>
      <c r="AE1774" s="5">
        <v>2.1346579402332808</v>
      </c>
      <c r="AF1774">
        <v>1</v>
      </c>
    </row>
    <row r="1775" spans="27:32" x14ac:dyDescent="0.3">
      <c r="AA1775" s="3">
        <v>1719.06</v>
      </c>
      <c r="AB1775">
        <v>1E-4</v>
      </c>
      <c r="AC1775">
        <v>8</v>
      </c>
      <c r="AD1775" s="5">
        <v>4.9676586182287235</v>
      </c>
      <c r="AE1775" s="5">
        <v>2.2692839033979317</v>
      </c>
      <c r="AF1775">
        <v>1</v>
      </c>
    </row>
    <row r="1776" spans="27:32" x14ac:dyDescent="0.3">
      <c r="AA1776" s="3">
        <v>18244.84</v>
      </c>
      <c r="AB1776">
        <v>1E-4</v>
      </c>
      <c r="AC1776">
        <v>8</v>
      </c>
      <c r="AD1776" s="5">
        <v>5.060551922405538</v>
      </c>
      <c r="AE1776" s="5">
        <v>2.2654986228838752</v>
      </c>
      <c r="AF1776">
        <v>1</v>
      </c>
    </row>
    <row r="1777" spans="27:32" x14ac:dyDescent="0.3">
      <c r="AA1777" s="3">
        <v>395.79</v>
      </c>
      <c r="AB1777">
        <v>1E-4</v>
      </c>
      <c r="AC1777">
        <v>8</v>
      </c>
      <c r="AD1777" s="5">
        <v>4.9763641980301294</v>
      </c>
      <c r="AE1777" s="5">
        <v>2.1739304172674205</v>
      </c>
      <c r="AF1777">
        <v>1</v>
      </c>
    </row>
    <row r="1778" spans="27:32" x14ac:dyDescent="0.3">
      <c r="AA1778" s="3">
        <v>19547</v>
      </c>
      <c r="AB1778">
        <v>1E-4</v>
      </c>
      <c r="AC1778">
        <v>8</v>
      </c>
      <c r="AD1778" s="5">
        <v>4.9075721673607795</v>
      </c>
      <c r="AE1778" s="5">
        <v>2.1392468152924877</v>
      </c>
      <c r="AF1778">
        <v>1</v>
      </c>
    </row>
    <row r="1779" spans="27:32" x14ac:dyDescent="0.3">
      <c r="AA1779" s="3">
        <v>30530.32</v>
      </c>
      <c r="AB1779">
        <v>1E-4</v>
      </c>
      <c r="AC1779">
        <v>8</v>
      </c>
      <c r="AD1779" s="5">
        <v>4.9816331911847529</v>
      </c>
      <c r="AE1779" s="5">
        <v>2.2913292879358793</v>
      </c>
      <c r="AF1779">
        <v>1</v>
      </c>
    </row>
    <row r="1780" spans="27:32" x14ac:dyDescent="0.3">
      <c r="AA1780" s="3">
        <v>22038.97</v>
      </c>
      <c r="AB1780">
        <v>1E-4</v>
      </c>
      <c r="AC1780">
        <v>8</v>
      </c>
      <c r="AD1780" s="5">
        <v>5.0120106438309202</v>
      </c>
      <c r="AE1780" s="5">
        <v>2.2199307381417754</v>
      </c>
      <c r="AF1780">
        <v>1</v>
      </c>
    </row>
    <row r="1781" spans="27:32" x14ac:dyDescent="0.3">
      <c r="AA1781" s="3">
        <v>1519.87</v>
      </c>
      <c r="AB1781">
        <v>1E-4</v>
      </c>
      <c r="AC1781">
        <v>8</v>
      </c>
      <c r="AD1781" s="5">
        <v>5.1214194046620269</v>
      </c>
      <c r="AE1781" s="5">
        <v>2.2179030945281646</v>
      </c>
      <c r="AF1781">
        <v>1</v>
      </c>
    </row>
    <row r="1782" spans="27:32" x14ac:dyDescent="0.3">
      <c r="AA1782" s="3">
        <v>-604.41999999999996</v>
      </c>
      <c r="AB1782">
        <v>1E-4</v>
      </c>
      <c r="AC1782">
        <v>9</v>
      </c>
      <c r="AD1782" s="5">
        <v>4.799992684637501</v>
      </c>
      <c r="AE1782" s="5">
        <v>2.2575350471053777</v>
      </c>
      <c r="AF1782">
        <v>1</v>
      </c>
    </row>
    <row r="1783" spans="27:32" x14ac:dyDescent="0.3">
      <c r="AA1783" s="3">
        <v>17855.32</v>
      </c>
      <c r="AB1783">
        <v>1E-4</v>
      </c>
      <c r="AC1783">
        <v>8</v>
      </c>
      <c r="AD1783" s="5">
        <v>4.9755374056411954</v>
      </c>
      <c r="AE1783" s="5">
        <v>2.1750165435309703</v>
      </c>
      <c r="AF1783">
        <v>1</v>
      </c>
    </row>
    <row r="1784" spans="27:32" x14ac:dyDescent="0.3">
      <c r="AA1784" s="3">
        <v>52355.56</v>
      </c>
      <c r="AB1784">
        <v>1E-4</v>
      </c>
      <c r="AC1784">
        <v>6</v>
      </c>
      <c r="AD1784" s="5">
        <v>5.0361435943412749</v>
      </c>
      <c r="AE1784" s="5">
        <v>2.1419006646608141</v>
      </c>
      <c r="AF1784">
        <v>1</v>
      </c>
    </row>
    <row r="1785" spans="27:32" x14ac:dyDescent="0.3">
      <c r="AA1785" s="3">
        <v>24862.12</v>
      </c>
      <c r="AB1785">
        <v>1E-4</v>
      </c>
      <c r="AC1785">
        <v>8</v>
      </c>
      <c r="AD1785" s="5">
        <v>5.1309646636952104</v>
      </c>
      <c r="AE1785" s="5">
        <v>2.2000926391477029</v>
      </c>
      <c r="AF1785">
        <v>1</v>
      </c>
    </row>
    <row r="1786" spans="27:32" x14ac:dyDescent="0.3">
      <c r="AA1786" s="3">
        <v>-17985.05</v>
      </c>
      <c r="AB1786">
        <v>1E-4</v>
      </c>
      <c r="AC1786">
        <v>9</v>
      </c>
      <c r="AD1786" s="5">
        <v>5.08523003564863</v>
      </c>
      <c r="AE1786" s="5">
        <v>2.1666319828804586</v>
      </c>
      <c r="AF1786">
        <v>1</v>
      </c>
    </row>
    <row r="1787" spans="27:32" x14ac:dyDescent="0.3">
      <c r="AA1787" s="3">
        <v>30188.33</v>
      </c>
      <c r="AB1787">
        <v>1E-4</v>
      </c>
      <c r="AC1787">
        <v>8</v>
      </c>
      <c r="AD1787" s="5">
        <v>4.9884470273615475</v>
      </c>
      <c r="AE1787" s="5">
        <v>2.2479437708221601</v>
      </c>
      <c r="AF1787">
        <v>1</v>
      </c>
    </row>
    <row r="1788" spans="27:32" x14ac:dyDescent="0.3">
      <c r="AA1788" s="3">
        <v>31584.99</v>
      </c>
      <c r="AB1788">
        <v>1E-4</v>
      </c>
      <c r="AC1788">
        <v>7</v>
      </c>
      <c r="AD1788" s="5">
        <v>5.0443915100451546</v>
      </c>
      <c r="AE1788" s="5">
        <v>2.1918275791892552</v>
      </c>
      <c r="AF1788">
        <v>1</v>
      </c>
    </row>
    <row r="1789" spans="27:32" x14ac:dyDescent="0.3">
      <c r="AA1789" s="3">
        <v>30220.39</v>
      </c>
      <c r="AB1789">
        <v>1E-4</v>
      </c>
      <c r="AC1789">
        <v>8</v>
      </c>
      <c r="AD1789" s="5">
        <v>5.0785304555757333</v>
      </c>
      <c r="AE1789" s="5">
        <v>2.2275942263096629</v>
      </c>
      <c r="AF1789">
        <v>1</v>
      </c>
    </row>
    <row r="1790" spans="27:32" x14ac:dyDescent="0.3">
      <c r="AA1790" s="3">
        <v>21351.85</v>
      </c>
      <c r="AB1790">
        <v>1E-4</v>
      </c>
      <c r="AC1790">
        <v>8</v>
      </c>
      <c r="AD1790" s="5">
        <v>4.9754608237090077</v>
      </c>
      <c r="AE1790" s="5">
        <v>2.2620457691446862</v>
      </c>
      <c r="AF1790">
        <v>1</v>
      </c>
    </row>
    <row r="1791" spans="27:32" x14ac:dyDescent="0.3">
      <c r="AA1791" s="3">
        <v>38124.11</v>
      </c>
      <c r="AB1791">
        <v>1E-4</v>
      </c>
      <c r="AC1791">
        <v>7</v>
      </c>
      <c r="AD1791" s="5">
        <v>4.9413421615533633</v>
      </c>
      <c r="AE1791" s="5">
        <v>2.2203621484812488</v>
      </c>
      <c r="AF1791">
        <v>1</v>
      </c>
    </row>
    <row r="1792" spans="27:32" x14ac:dyDescent="0.3">
      <c r="AA1792" s="3">
        <v>7508.7</v>
      </c>
      <c r="AB1792">
        <v>1E-4</v>
      </c>
      <c r="AC1792">
        <v>8</v>
      </c>
      <c r="AD1792" s="5">
        <v>5.2814560163523749</v>
      </c>
      <c r="AE1792" s="5">
        <v>2.2018307544465268</v>
      </c>
      <c r="AF1792">
        <v>1</v>
      </c>
    </row>
    <row r="1793" spans="27:32" x14ac:dyDescent="0.3">
      <c r="AA1793" s="3">
        <v>13971.88</v>
      </c>
      <c r="AB1793">
        <v>1E-4</v>
      </c>
      <c r="AC1793">
        <v>8</v>
      </c>
      <c r="AD1793" s="5">
        <v>5.0677079049957845</v>
      </c>
      <c r="AE1793" s="5">
        <v>2.2331666457739239</v>
      </c>
      <c r="AF1793">
        <v>1</v>
      </c>
    </row>
    <row r="1794" spans="27:32" x14ac:dyDescent="0.3">
      <c r="AA1794" s="3">
        <v>3799.93</v>
      </c>
      <c r="AB1794">
        <v>1E-4</v>
      </c>
      <c r="AC1794">
        <v>8</v>
      </c>
      <c r="AD1794" s="5">
        <v>5.0582869943152931</v>
      </c>
      <c r="AE1794" s="5">
        <v>2.2805237105961225</v>
      </c>
      <c r="AF1794">
        <v>1</v>
      </c>
    </row>
    <row r="1795" spans="27:32" x14ac:dyDescent="0.3">
      <c r="AA1795" s="3">
        <v>-15043.55</v>
      </c>
      <c r="AB1795">
        <v>1E-4</v>
      </c>
      <c r="AC1795">
        <v>9</v>
      </c>
      <c r="AD1795" s="5">
        <v>4.9967639237838517</v>
      </c>
      <c r="AE1795" s="5">
        <v>2.2514075170002377</v>
      </c>
      <c r="AF1795">
        <v>1</v>
      </c>
    </row>
    <row r="1796" spans="27:32" x14ac:dyDescent="0.3">
      <c r="AA1796" s="3">
        <v>-34198.873155922556</v>
      </c>
      <c r="AB1796">
        <v>1E-4</v>
      </c>
      <c r="AC1796">
        <v>9</v>
      </c>
      <c r="AD1796" s="5">
        <v>5.1180174861797267</v>
      </c>
      <c r="AE1796" s="5">
        <v>2.2355440166375824</v>
      </c>
      <c r="AF1796">
        <v>0</v>
      </c>
    </row>
    <row r="1797" spans="27:32" x14ac:dyDescent="0.3">
      <c r="AA1797" s="3">
        <v>15877.5</v>
      </c>
      <c r="AB1797">
        <v>1E-4</v>
      </c>
      <c r="AC1797">
        <v>8</v>
      </c>
      <c r="AD1797" s="5">
        <v>5.0789600419465248</v>
      </c>
      <c r="AE1797" s="5">
        <v>2.2326871291472332</v>
      </c>
      <c r="AF1797">
        <v>1</v>
      </c>
    </row>
    <row r="1798" spans="27:32" x14ac:dyDescent="0.3">
      <c r="AA1798" s="3">
        <v>21741.21</v>
      </c>
      <c r="AB1798">
        <v>1E-4</v>
      </c>
      <c r="AC1798">
        <v>8</v>
      </c>
      <c r="AD1798" s="5">
        <v>5.1083947290413887</v>
      </c>
      <c r="AE1798" s="5">
        <v>2.1902225948940219</v>
      </c>
      <c r="AF1798">
        <v>1</v>
      </c>
    </row>
    <row r="1799" spans="27:32" x14ac:dyDescent="0.3">
      <c r="AA1799" s="3">
        <v>-4441.5</v>
      </c>
      <c r="AB1799">
        <v>1E-4</v>
      </c>
      <c r="AC1799">
        <v>9</v>
      </c>
      <c r="AD1799" s="5">
        <v>4.9648497393749738</v>
      </c>
      <c r="AE1799" s="5">
        <v>2.2268761507471484</v>
      </c>
      <c r="AF1799">
        <v>1</v>
      </c>
    </row>
    <row r="1800" spans="27:32" x14ac:dyDescent="0.3">
      <c r="AA1800" s="3">
        <v>16903.86</v>
      </c>
      <c r="AB1800">
        <v>1E-4</v>
      </c>
      <c r="AC1800">
        <v>8</v>
      </c>
      <c r="AD1800" s="5">
        <v>4.9440608948237896</v>
      </c>
      <c r="AE1800" s="5">
        <v>2.1645794530798619</v>
      </c>
      <c r="AF1800">
        <v>1</v>
      </c>
    </row>
    <row r="1801" spans="27:32" x14ac:dyDescent="0.3">
      <c r="AA1801" s="3">
        <v>25652.66</v>
      </c>
      <c r="AB1801">
        <v>1E-4</v>
      </c>
      <c r="AC1801">
        <v>8</v>
      </c>
      <c r="AD1801" s="5">
        <v>5.0035542111761622</v>
      </c>
      <c r="AE1801" s="5">
        <v>2.0869281498669601</v>
      </c>
      <c r="AF1801">
        <v>1</v>
      </c>
    </row>
    <row r="1802" spans="27:32" x14ac:dyDescent="0.3">
      <c r="AA1802" s="3">
        <v>23605.25</v>
      </c>
      <c r="AB1802">
        <v>1E-4</v>
      </c>
      <c r="AC1802">
        <v>8</v>
      </c>
      <c r="AD1802" s="5">
        <v>5.0513066491270475</v>
      </c>
      <c r="AE1802" s="5">
        <v>2.2140190818809247</v>
      </c>
      <c r="AF1802">
        <v>1</v>
      </c>
    </row>
    <row r="1803" spans="27:32" x14ac:dyDescent="0.3">
      <c r="AA1803" s="3">
        <v>24442.37</v>
      </c>
      <c r="AB1803">
        <v>1E-4</v>
      </c>
      <c r="AC1803">
        <v>8</v>
      </c>
      <c r="AD1803" s="5">
        <v>5.0332798713710876</v>
      </c>
      <c r="AE1803" s="5">
        <v>2.1810866665229263</v>
      </c>
      <c r="AF1803">
        <v>1</v>
      </c>
    </row>
    <row r="1804" spans="27:32" x14ac:dyDescent="0.3">
      <c r="AA1804" s="3">
        <v>18807.8</v>
      </c>
      <c r="AB1804">
        <v>1E-4</v>
      </c>
      <c r="AC1804">
        <v>8</v>
      </c>
      <c r="AD1804" s="5">
        <v>4.9359322766076152</v>
      </c>
      <c r="AE1804" s="5">
        <v>2.0817053792553359</v>
      </c>
      <c r="AF1804">
        <v>1</v>
      </c>
    </row>
    <row r="1805" spans="27:32" x14ac:dyDescent="0.3">
      <c r="AA1805" s="3">
        <v>-17363.310000000001</v>
      </c>
      <c r="AB1805">
        <v>1E-4</v>
      </c>
      <c r="AC1805">
        <v>9</v>
      </c>
      <c r="AD1805" s="5">
        <v>5.0615922109668432</v>
      </c>
      <c r="AE1805" s="5">
        <v>2.2602743422490952</v>
      </c>
      <c r="AF1805">
        <v>1</v>
      </c>
    </row>
    <row r="1806" spans="27:32" x14ac:dyDescent="0.3">
      <c r="AA1806" s="3">
        <v>38265.96</v>
      </c>
      <c r="AB1806">
        <v>1E-4</v>
      </c>
      <c r="AC1806">
        <v>7</v>
      </c>
      <c r="AD1806" s="5">
        <v>5.0764293597614847</v>
      </c>
      <c r="AE1806" s="5">
        <v>2.0962183360140587</v>
      </c>
      <c r="AF1806">
        <v>1</v>
      </c>
    </row>
    <row r="1807" spans="27:32" x14ac:dyDescent="0.3">
      <c r="AA1807" s="3">
        <v>47109.78</v>
      </c>
      <c r="AB1807">
        <v>1E-4</v>
      </c>
      <c r="AC1807">
        <v>7</v>
      </c>
      <c r="AD1807" s="5">
        <v>5.0107851184003023</v>
      </c>
      <c r="AE1807" s="5">
        <v>2.1882314224226209</v>
      </c>
      <c r="AF1807">
        <v>1</v>
      </c>
    </row>
    <row r="1808" spans="27:32" x14ac:dyDescent="0.3">
      <c r="AA1808" s="3">
        <v>32295.99</v>
      </c>
      <c r="AB1808">
        <v>1E-4</v>
      </c>
      <c r="AC1808">
        <v>7</v>
      </c>
      <c r="AD1808" s="5">
        <v>5.1034979826532325</v>
      </c>
      <c r="AE1808" s="5">
        <v>2.1677555176788554</v>
      </c>
      <c r="AF1808">
        <v>1</v>
      </c>
    </row>
    <row r="1809" spans="27:32" x14ac:dyDescent="0.3">
      <c r="AA1809" s="3">
        <v>37733.42</v>
      </c>
      <c r="AB1809">
        <v>1E-4</v>
      </c>
      <c r="AC1809">
        <v>7</v>
      </c>
      <c r="AD1809" s="5">
        <v>5.1115010613003156</v>
      </c>
      <c r="AE1809" s="5">
        <v>2.1338410039354634</v>
      </c>
      <c r="AF1809">
        <v>1</v>
      </c>
    </row>
    <row r="1810" spans="27:32" x14ac:dyDescent="0.3">
      <c r="AA1810" s="3">
        <v>21957.13</v>
      </c>
      <c r="AB1810">
        <v>1E-4</v>
      </c>
      <c r="AC1810">
        <v>8</v>
      </c>
      <c r="AD1810" s="5">
        <v>4.9975713350424282</v>
      </c>
      <c r="AE1810" s="5">
        <v>2.2721827816381257</v>
      </c>
      <c r="AF1810">
        <v>1</v>
      </c>
    </row>
    <row r="1811" spans="27:32" x14ac:dyDescent="0.3">
      <c r="AA1811" s="3">
        <v>37705.93</v>
      </c>
      <c r="AB1811">
        <v>1E-4</v>
      </c>
      <c r="AC1811">
        <v>7</v>
      </c>
      <c r="AD1811" s="5">
        <v>5.1425397484262758</v>
      </c>
      <c r="AE1811" s="5">
        <v>2.2347267206573811</v>
      </c>
      <c r="AF1811">
        <v>1</v>
      </c>
    </row>
    <row r="1812" spans="27:32" x14ac:dyDescent="0.3">
      <c r="AA1812" s="3">
        <v>-2526.04</v>
      </c>
      <c r="AB1812">
        <v>1E-4</v>
      </c>
      <c r="AC1812">
        <v>9</v>
      </c>
      <c r="AD1812" s="5">
        <v>4.9291962464714771</v>
      </c>
      <c r="AE1812" s="5">
        <v>2.2562125351041171</v>
      </c>
      <c r="AF1812">
        <v>1</v>
      </c>
    </row>
    <row r="1813" spans="27:32" x14ac:dyDescent="0.3">
      <c r="AA1813" s="3">
        <v>17856.400000000001</v>
      </c>
      <c r="AB1813">
        <v>1E-4</v>
      </c>
      <c r="AC1813">
        <v>8</v>
      </c>
      <c r="AD1813" s="5">
        <v>4.815809256478726</v>
      </c>
      <c r="AE1813" s="5">
        <v>2.2174685764108015</v>
      </c>
      <c r="AF1813">
        <v>1</v>
      </c>
    </row>
    <row r="1814" spans="27:32" x14ac:dyDescent="0.3">
      <c r="AA1814" s="3">
        <v>23879.82</v>
      </c>
      <c r="AB1814">
        <v>1E-4</v>
      </c>
      <c r="AC1814">
        <v>8</v>
      </c>
      <c r="AD1814" s="5">
        <v>5.0461743515154334</v>
      </c>
      <c r="AE1814" s="5">
        <v>2.1570784029432084</v>
      </c>
      <c r="AF1814">
        <v>1</v>
      </c>
    </row>
    <row r="1815" spans="27:32" x14ac:dyDescent="0.3">
      <c r="AA1815" s="3">
        <v>-59018.47666920592</v>
      </c>
      <c r="AB1815">
        <v>1E-4</v>
      </c>
      <c r="AC1815">
        <v>9</v>
      </c>
      <c r="AD1815" s="5">
        <v>4.8434392137862501</v>
      </c>
      <c r="AE1815" s="5">
        <v>2.2504344746772835</v>
      </c>
      <c r="AF1815">
        <v>0</v>
      </c>
    </row>
    <row r="1816" spans="27:32" x14ac:dyDescent="0.3">
      <c r="AA1816" s="3">
        <v>21316.5</v>
      </c>
      <c r="AB1816">
        <v>1E-4</v>
      </c>
      <c r="AC1816">
        <v>8</v>
      </c>
      <c r="AD1816" s="5">
        <v>4.9239799659868657</v>
      </c>
      <c r="AE1816" s="5">
        <v>2.2173401312165142</v>
      </c>
      <c r="AF1816">
        <v>1</v>
      </c>
    </row>
    <row r="1817" spans="27:32" x14ac:dyDescent="0.3">
      <c r="AA1817" s="3">
        <v>27836.32</v>
      </c>
      <c r="AB1817">
        <v>1E-4</v>
      </c>
      <c r="AC1817">
        <v>8</v>
      </c>
      <c r="AD1817" s="5">
        <v>4.9666989876115268</v>
      </c>
      <c r="AE1817" s="5">
        <v>2.1645172417889857</v>
      </c>
      <c r="AF1817">
        <v>1</v>
      </c>
    </row>
    <row r="1818" spans="27:32" x14ac:dyDescent="0.3">
      <c r="AA1818" s="3">
        <v>-5639.57</v>
      </c>
      <c r="AB1818">
        <v>1E-4</v>
      </c>
      <c r="AC1818">
        <v>9</v>
      </c>
      <c r="AD1818" s="5">
        <v>4.8798177457921197</v>
      </c>
      <c r="AE1818" s="5">
        <v>2.181305268965942</v>
      </c>
      <c r="AF1818">
        <v>1</v>
      </c>
    </row>
    <row r="1819" spans="27:32" x14ac:dyDescent="0.3">
      <c r="AA1819" s="3">
        <v>2149.1</v>
      </c>
      <c r="AB1819">
        <v>1E-4</v>
      </c>
      <c r="AC1819">
        <v>8</v>
      </c>
      <c r="AD1819" s="5">
        <v>4.8120791011262325</v>
      </c>
      <c r="AE1819" s="5">
        <v>2.1897725030576245</v>
      </c>
      <c r="AF1819">
        <v>1</v>
      </c>
    </row>
    <row r="1820" spans="27:32" x14ac:dyDescent="0.3">
      <c r="AA1820" s="3">
        <v>68063.91</v>
      </c>
      <c r="AB1820">
        <v>1E-4</v>
      </c>
      <c r="AC1820">
        <v>5</v>
      </c>
      <c r="AD1820" s="5">
        <v>5.1264905589239174</v>
      </c>
      <c r="AE1820" s="5">
        <v>2.1276691332287871</v>
      </c>
      <c r="AF1820">
        <v>1</v>
      </c>
    </row>
    <row r="1821" spans="27:32" x14ac:dyDescent="0.3">
      <c r="AA1821" s="3">
        <v>4709.41</v>
      </c>
      <c r="AB1821">
        <v>1E-4</v>
      </c>
      <c r="AC1821">
        <v>8</v>
      </c>
      <c r="AD1821" s="5">
        <v>5.0257923628633998</v>
      </c>
      <c r="AE1821" s="5">
        <v>2.1774889920700802</v>
      </c>
      <c r="AF1821">
        <v>1</v>
      </c>
    </row>
    <row r="1822" spans="27:32" x14ac:dyDescent="0.3">
      <c r="AA1822" s="3">
        <v>-4215.97</v>
      </c>
      <c r="AB1822">
        <v>1E-4</v>
      </c>
      <c r="AC1822">
        <v>9</v>
      </c>
      <c r="AD1822" s="5">
        <v>4.9621513455402058</v>
      </c>
      <c r="AE1822" s="5">
        <v>2.2516891003133797</v>
      </c>
      <c r="AF1822">
        <v>1</v>
      </c>
    </row>
    <row r="1823" spans="27:32" x14ac:dyDescent="0.3">
      <c r="AA1823" s="3">
        <v>59852.98</v>
      </c>
      <c r="AB1823">
        <v>1E-4</v>
      </c>
      <c r="AC1823">
        <v>6</v>
      </c>
      <c r="AD1823" s="5">
        <v>5.1161621055317879</v>
      </c>
      <c r="AE1823" s="5">
        <v>2.1686005002982984</v>
      </c>
      <c r="AF1823">
        <v>1</v>
      </c>
    </row>
    <row r="1824" spans="27:32" x14ac:dyDescent="0.3">
      <c r="AA1824" s="3">
        <v>11685.53</v>
      </c>
      <c r="AB1824">
        <v>1E-4</v>
      </c>
      <c r="AC1824">
        <v>8</v>
      </c>
      <c r="AD1824" s="5">
        <v>4.9713577810947625</v>
      </c>
      <c r="AE1824" s="5">
        <v>2.1668074155179471</v>
      </c>
      <c r="AF1824">
        <v>1</v>
      </c>
    </row>
    <row r="1825" spans="27:32" x14ac:dyDescent="0.3">
      <c r="AA1825" s="3">
        <v>22220.3</v>
      </c>
      <c r="AB1825">
        <v>1E-4</v>
      </c>
      <c r="AC1825">
        <v>8</v>
      </c>
      <c r="AD1825" s="5">
        <v>4.918052492104799</v>
      </c>
      <c r="AE1825" s="5">
        <v>2.1796108272442645</v>
      </c>
      <c r="AF1825">
        <v>1</v>
      </c>
    </row>
    <row r="1826" spans="27:32" x14ac:dyDescent="0.3">
      <c r="AA1826" s="3">
        <v>30979.8</v>
      </c>
      <c r="AB1826">
        <v>1E-4</v>
      </c>
      <c r="AC1826">
        <v>7</v>
      </c>
      <c r="AD1826" s="5">
        <v>4.9549041913758654</v>
      </c>
      <c r="AE1826" s="5">
        <v>2.1421306578737274</v>
      </c>
      <c r="AF1826">
        <v>1</v>
      </c>
    </row>
    <row r="1827" spans="27:32" x14ac:dyDescent="0.3">
      <c r="AA1827" s="3">
        <v>-6059.0284223786548</v>
      </c>
      <c r="AB1827">
        <v>1E-4</v>
      </c>
      <c r="AC1827">
        <v>8</v>
      </c>
      <c r="AD1827" s="5">
        <v>5.0502621936022649</v>
      </c>
      <c r="AE1827" s="5">
        <v>2.0954433715018048</v>
      </c>
      <c r="AF1827">
        <v>0</v>
      </c>
    </row>
    <row r="1828" spans="27:32" x14ac:dyDescent="0.3">
      <c r="AA1828" s="3">
        <v>13961.73</v>
      </c>
      <c r="AB1828">
        <v>1E-4</v>
      </c>
      <c r="AC1828">
        <v>8</v>
      </c>
      <c r="AD1828" s="5">
        <v>4.9640528989471644</v>
      </c>
      <c r="AE1828" s="5">
        <v>2.1905982768406749</v>
      </c>
      <c r="AF1828">
        <v>1</v>
      </c>
    </row>
    <row r="1829" spans="27:32" x14ac:dyDescent="0.3">
      <c r="AA1829" s="3">
        <v>5845.59</v>
      </c>
      <c r="AB1829">
        <v>1E-4</v>
      </c>
      <c r="AC1829">
        <v>8</v>
      </c>
      <c r="AD1829" s="5">
        <v>4.9241062551442027</v>
      </c>
      <c r="AE1829" s="5">
        <v>2.2417553395574399</v>
      </c>
      <c r="AF1829">
        <v>1</v>
      </c>
    </row>
    <row r="1830" spans="27:32" x14ac:dyDescent="0.3">
      <c r="AA1830" s="3">
        <v>10867.55</v>
      </c>
      <c r="AB1830">
        <v>1E-4</v>
      </c>
      <c r="AC1830">
        <v>8</v>
      </c>
      <c r="AD1830" s="5">
        <v>4.9347270017272296</v>
      </c>
      <c r="AE1830" s="5">
        <v>2.1519896446249058</v>
      </c>
      <c r="AF1830">
        <v>1</v>
      </c>
    </row>
    <row r="1831" spans="27:32" x14ac:dyDescent="0.3">
      <c r="AA1831" s="3">
        <v>-5552.6</v>
      </c>
      <c r="AB1831">
        <v>1E-4</v>
      </c>
      <c r="AC1831">
        <v>9</v>
      </c>
      <c r="AD1831" s="5">
        <v>4.9643084690251547</v>
      </c>
      <c r="AE1831" s="5">
        <v>2.2806487606881158</v>
      </c>
      <c r="AF1831">
        <v>1</v>
      </c>
    </row>
    <row r="1832" spans="27:32" x14ac:dyDescent="0.3">
      <c r="AA1832" s="3">
        <v>37686.160000000003</v>
      </c>
      <c r="AB1832">
        <v>1E-4</v>
      </c>
      <c r="AC1832">
        <v>7</v>
      </c>
      <c r="AD1832" s="5">
        <v>5.2241682708185664</v>
      </c>
      <c r="AE1832" s="5">
        <v>2.1779942334682412</v>
      </c>
      <c r="AF1832">
        <v>1</v>
      </c>
    </row>
    <row r="1833" spans="27:32" x14ac:dyDescent="0.3">
      <c r="AA1833" s="3">
        <v>723.81</v>
      </c>
      <c r="AB1833">
        <v>1E-4</v>
      </c>
      <c r="AC1833">
        <v>8</v>
      </c>
      <c r="AD1833" s="5">
        <v>4.8352656078268836</v>
      </c>
      <c r="AE1833" s="5">
        <v>2.1531095979719597</v>
      </c>
      <c r="AF1833">
        <v>1</v>
      </c>
    </row>
    <row r="1834" spans="27:32" x14ac:dyDescent="0.3">
      <c r="AA1834" s="3">
        <v>-2326.38</v>
      </c>
      <c r="AB1834">
        <v>1E-4</v>
      </c>
      <c r="AC1834">
        <v>9</v>
      </c>
      <c r="AD1834" s="5">
        <v>5.0351094613788154</v>
      </c>
      <c r="AE1834" s="5">
        <v>2.2233588130850546</v>
      </c>
      <c r="AF1834">
        <v>1</v>
      </c>
    </row>
    <row r="1835" spans="27:32" x14ac:dyDescent="0.3">
      <c r="AA1835" s="3">
        <v>22430.240000000002</v>
      </c>
      <c r="AB1835">
        <v>1E-4</v>
      </c>
      <c r="AC1835">
        <v>8</v>
      </c>
      <c r="AD1835" s="5">
        <v>5.0241054482339136</v>
      </c>
      <c r="AE1835" s="5">
        <v>2.2466244880678361</v>
      </c>
      <c r="AF1835">
        <v>1</v>
      </c>
    </row>
    <row r="1836" spans="27:32" x14ac:dyDescent="0.3">
      <c r="AA1836" s="3">
        <v>72451.56</v>
      </c>
      <c r="AB1836">
        <v>1E-4</v>
      </c>
      <c r="AC1836">
        <v>5</v>
      </c>
      <c r="AD1836" s="5">
        <v>5.1547505429800138</v>
      </c>
      <c r="AE1836" s="5">
        <v>2.1903511050734643</v>
      </c>
      <c r="AF1836">
        <v>1</v>
      </c>
    </row>
    <row r="1837" spans="27:32" x14ac:dyDescent="0.3">
      <c r="AA1837" s="3">
        <v>39595.74</v>
      </c>
      <c r="AB1837">
        <v>1E-4</v>
      </c>
      <c r="AC1837">
        <v>7</v>
      </c>
      <c r="AD1837" s="5">
        <v>4.8736005894077792</v>
      </c>
      <c r="AE1837" s="5">
        <v>2.2578198563007463</v>
      </c>
      <c r="AF1837">
        <v>1</v>
      </c>
    </row>
    <row r="1838" spans="27:32" x14ac:dyDescent="0.3">
      <c r="AA1838" s="3">
        <v>19065.900000000001</v>
      </c>
      <c r="AB1838">
        <v>1E-4</v>
      </c>
      <c r="AC1838">
        <v>8</v>
      </c>
      <c r="AD1838" s="5">
        <v>4.9278187482153273</v>
      </c>
      <c r="AE1838" s="5">
        <v>2.2404579533726943</v>
      </c>
      <c r="AF1838">
        <v>1</v>
      </c>
    </row>
    <row r="1839" spans="27:32" x14ac:dyDescent="0.3">
      <c r="AA1839" s="3">
        <v>-2113.2800000000002</v>
      </c>
      <c r="AB1839">
        <v>1E-4</v>
      </c>
      <c r="AC1839">
        <v>9</v>
      </c>
      <c r="AD1839" s="5">
        <v>4.8967420156117631</v>
      </c>
      <c r="AE1839" s="5">
        <v>2.1957111840081529</v>
      </c>
      <c r="AF1839">
        <v>1</v>
      </c>
    </row>
    <row r="1840" spans="27:32" x14ac:dyDescent="0.3">
      <c r="AA1840" s="3">
        <v>40412.480000000003</v>
      </c>
      <c r="AB1840">
        <v>1E-4</v>
      </c>
      <c r="AC1840">
        <v>7</v>
      </c>
      <c r="AD1840" s="5">
        <v>5.0649225170433319</v>
      </c>
      <c r="AE1840" s="5">
        <v>2.1369947911467873</v>
      </c>
      <c r="AF1840">
        <v>1</v>
      </c>
    </row>
    <row r="1841" spans="27:32" x14ac:dyDescent="0.3">
      <c r="AA1841" s="3">
        <v>32005.63</v>
      </c>
      <c r="AB1841">
        <v>1E-4</v>
      </c>
      <c r="AC1841">
        <v>7</v>
      </c>
      <c r="AD1841" s="5">
        <v>4.9488742062257502</v>
      </c>
      <c r="AE1841" s="5">
        <v>2.1667722419388</v>
      </c>
      <c r="AF1841">
        <v>1</v>
      </c>
    </row>
    <row r="1842" spans="27:32" x14ac:dyDescent="0.3">
      <c r="AA1842" s="3">
        <v>2172.15</v>
      </c>
      <c r="AB1842">
        <v>1E-4</v>
      </c>
      <c r="AC1842">
        <v>8</v>
      </c>
      <c r="AD1842" s="5">
        <v>4.945567506484684</v>
      </c>
      <c r="AE1842" s="5">
        <v>2.237450058800285</v>
      </c>
      <c r="AF1842">
        <v>1</v>
      </c>
    </row>
    <row r="1843" spans="27:32" x14ac:dyDescent="0.3">
      <c r="AA1843" s="3">
        <v>406.68</v>
      </c>
      <c r="AB1843">
        <v>1E-4</v>
      </c>
      <c r="AC1843">
        <v>8</v>
      </c>
      <c r="AD1843" s="5">
        <v>4.9037946028865971</v>
      </c>
      <c r="AE1843" s="5">
        <v>2.1999950492149969</v>
      </c>
      <c r="AF1843">
        <v>1</v>
      </c>
    </row>
    <row r="1844" spans="27:32" x14ac:dyDescent="0.3">
      <c r="AA1844" s="3">
        <v>17946.22</v>
      </c>
      <c r="AB1844">
        <v>1E-4</v>
      </c>
      <c r="AC1844">
        <v>8</v>
      </c>
      <c r="AD1844" s="5">
        <v>4.9637140358138598</v>
      </c>
      <c r="AE1844" s="5">
        <v>2.2232548301271677</v>
      </c>
      <c r="AF1844">
        <v>1</v>
      </c>
    </row>
    <row r="1845" spans="27:32" x14ac:dyDescent="0.3">
      <c r="AA1845" s="3">
        <v>9513.57</v>
      </c>
      <c r="AB1845">
        <v>1E-4</v>
      </c>
      <c r="AC1845">
        <v>8</v>
      </c>
      <c r="AD1845" s="5">
        <v>5.1505209240456491</v>
      </c>
      <c r="AE1845" s="5">
        <v>2.2209126618698463</v>
      </c>
      <c r="AF1845">
        <v>1</v>
      </c>
    </row>
    <row r="1846" spans="27:32" x14ac:dyDescent="0.3">
      <c r="AA1846" s="3">
        <v>22465.33</v>
      </c>
      <c r="AB1846">
        <v>1E-4</v>
      </c>
      <c r="AC1846">
        <v>8</v>
      </c>
      <c r="AD1846" s="5">
        <v>5.017894493164305</v>
      </c>
      <c r="AE1846" s="5">
        <v>2.2281298930429667</v>
      </c>
      <c r="AF1846">
        <v>1</v>
      </c>
    </row>
    <row r="1847" spans="27:32" x14ac:dyDescent="0.3">
      <c r="AA1847" s="3">
        <v>-6767.58</v>
      </c>
      <c r="AB1847">
        <v>1E-4</v>
      </c>
      <c r="AC1847">
        <v>9</v>
      </c>
      <c r="AD1847" s="5">
        <v>4.8229842668420169</v>
      </c>
      <c r="AE1847" s="5">
        <v>2.0985641193260993</v>
      </c>
      <c r="AF1847">
        <v>1</v>
      </c>
    </row>
    <row r="1848" spans="27:32" x14ac:dyDescent="0.3">
      <c r="AA1848" s="3">
        <v>57721.4</v>
      </c>
      <c r="AB1848">
        <v>1E-4</v>
      </c>
      <c r="AC1848">
        <v>6</v>
      </c>
      <c r="AD1848" s="5">
        <v>5.2076814598527825</v>
      </c>
      <c r="AE1848" s="5">
        <v>2.2146223563967995</v>
      </c>
      <c r="AF1848">
        <v>1</v>
      </c>
    </row>
    <row r="1849" spans="27:32" x14ac:dyDescent="0.3">
      <c r="AA1849" s="3">
        <v>14396.69</v>
      </c>
      <c r="AB1849">
        <v>1E-4</v>
      </c>
      <c r="AC1849">
        <v>8</v>
      </c>
      <c r="AD1849" s="5">
        <v>4.8212902920069158</v>
      </c>
      <c r="AE1849" s="5">
        <v>2.1685792376635944</v>
      </c>
      <c r="AF1849">
        <v>1</v>
      </c>
    </row>
    <row r="1850" spans="27:32" x14ac:dyDescent="0.3">
      <c r="AA1850" s="3">
        <v>-2926.91</v>
      </c>
      <c r="AB1850">
        <v>1E-4</v>
      </c>
      <c r="AC1850">
        <v>9</v>
      </c>
      <c r="AD1850" s="5">
        <v>5.0176634033004932</v>
      </c>
      <c r="AE1850" s="5">
        <v>2.2595215495207754</v>
      </c>
      <c r="AF1850">
        <v>1</v>
      </c>
    </row>
    <row r="1851" spans="27:32" x14ac:dyDescent="0.3">
      <c r="AA1851" s="3">
        <v>16421.22</v>
      </c>
      <c r="AB1851">
        <v>1E-4</v>
      </c>
      <c r="AC1851">
        <v>8</v>
      </c>
      <c r="AD1851" s="5">
        <v>4.8086067749469059</v>
      </c>
      <c r="AE1851" s="5">
        <v>2.2281838071041795</v>
      </c>
      <c r="AF1851">
        <v>1</v>
      </c>
    </row>
    <row r="1852" spans="27:32" x14ac:dyDescent="0.3">
      <c r="AA1852" s="3">
        <v>-10946.498602041424</v>
      </c>
      <c r="AB1852">
        <v>1E-4</v>
      </c>
      <c r="AC1852">
        <v>8</v>
      </c>
      <c r="AD1852" s="5">
        <v>4.9790393563210236</v>
      </c>
      <c r="AE1852" s="5">
        <v>2.1405495338851375</v>
      </c>
      <c r="AF1852">
        <v>0</v>
      </c>
    </row>
    <row r="1853" spans="27:32" x14ac:dyDescent="0.3">
      <c r="AA1853" s="3">
        <v>2191.9699999999998</v>
      </c>
      <c r="AB1853">
        <v>1E-4</v>
      </c>
      <c r="AC1853">
        <v>8</v>
      </c>
      <c r="AD1853" s="5">
        <v>5.0085717640152385</v>
      </c>
      <c r="AE1853" s="5">
        <v>2.1784794609900362</v>
      </c>
      <c r="AF1853">
        <v>1</v>
      </c>
    </row>
    <row r="1854" spans="27:32" x14ac:dyDescent="0.3">
      <c r="AA1854" s="3">
        <v>47587.79</v>
      </c>
      <c r="AB1854">
        <v>1E-4</v>
      </c>
      <c r="AC1854">
        <v>7</v>
      </c>
      <c r="AD1854" s="5">
        <v>5.1933605916641943</v>
      </c>
      <c r="AE1854" s="5">
        <v>2.198770161902647</v>
      </c>
      <c r="AF1854">
        <v>1</v>
      </c>
    </row>
    <row r="1855" spans="27:32" x14ac:dyDescent="0.3">
      <c r="AA1855" s="3">
        <v>22941.14</v>
      </c>
      <c r="AB1855">
        <v>1E-4</v>
      </c>
      <c r="AC1855">
        <v>8</v>
      </c>
      <c r="AD1855" s="5">
        <v>4.9353370967234342</v>
      </c>
      <c r="AE1855" s="5">
        <v>2.3007402268404626</v>
      </c>
      <c r="AF1855">
        <v>1</v>
      </c>
    </row>
    <row r="1856" spans="27:32" x14ac:dyDescent="0.3">
      <c r="AA1856" s="3">
        <v>13693.44</v>
      </c>
      <c r="AB1856">
        <v>1E-4</v>
      </c>
      <c r="AC1856">
        <v>8</v>
      </c>
      <c r="AD1856" s="5">
        <v>5.0092774004722678</v>
      </c>
      <c r="AE1856" s="5">
        <v>2.2690957523496365</v>
      </c>
      <c r="AF1856">
        <v>1</v>
      </c>
    </row>
    <row r="1857" spans="27:32" x14ac:dyDescent="0.3">
      <c r="AA1857" s="3">
        <v>36141.82</v>
      </c>
      <c r="AB1857">
        <v>1E-4</v>
      </c>
      <c r="AC1857">
        <v>7</v>
      </c>
      <c r="AD1857" s="5">
        <v>5.0122776352155372</v>
      </c>
      <c r="AE1857" s="5">
        <v>2.2374536109890011</v>
      </c>
      <c r="AF1857">
        <v>1</v>
      </c>
    </row>
    <row r="1858" spans="27:32" x14ac:dyDescent="0.3">
      <c r="AA1858" s="3">
        <v>32213.55</v>
      </c>
      <c r="AB1858">
        <v>1E-4</v>
      </c>
      <c r="AC1858">
        <v>7</v>
      </c>
      <c r="AD1858" s="5">
        <v>5.1342492505074917</v>
      </c>
      <c r="AE1858" s="5">
        <v>2.1520471949121887</v>
      </c>
      <c r="AF1858">
        <v>1</v>
      </c>
    </row>
    <row r="1859" spans="27:32" x14ac:dyDescent="0.3">
      <c r="AA1859" s="3">
        <v>31241.51</v>
      </c>
      <c r="AB1859">
        <v>1E-4</v>
      </c>
      <c r="AC1859">
        <v>7</v>
      </c>
      <c r="AD1859" s="5">
        <v>5.0573926145746677</v>
      </c>
      <c r="AE1859" s="5">
        <v>2.2310094107162581</v>
      </c>
      <c r="AF1859">
        <v>1</v>
      </c>
    </row>
    <row r="1860" spans="27:32" x14ac:dyDescent="0.3">
      <c r="AA1860" s="3">
        <v>-31911.389461605198</v>
      </c>
      <c r="AB1860">
        <v>1E-4</v>
      </c>
      <c r="AC1860">
        <v>9</v>
      </c>
      <c r="AD1860" s="5">
        <v>4.8281649826807831</v>
      </c>
      <c r="AE1860" s="5">
        <v>2.1834514978096728</v>
      </c>
      <c r="AF1860">
        <v>0</v>
      </c>
    </row>
    <row r="1861" spans="27:32" x14ac:dyDescent="0.3">
      <c r="AA1861" s="3">
        <v>20084.490000000002</v>
      </c>
      <c r="AB1861">
        <v>1E-4</v>
      </c>
      <c r="AC1861">
        <v>8</v>
      </c>
      <c r="AD1861" s="5">
        <v>4.9231088674690158</v>
      </c>
      <c r="AE1861" s="5">
        <v>2.0974506466284488</v>
      </c>
      <c r="AF1861">
        <v>1</v>
      </c>
    </row>
    <row r="1862" spans="27:32" x14ac:dyDescent="0.3">
      <c r="AA1862" s="3">
        <v>11969.79</v>
      </c>
      <c r="AB1862">
        <v>1E-4</v>
      </c>
      <c r="AC1862">
        <v>8</v>
      </c>
      <c r="AD1862" s="5">
        <v>4.8930010313038101</v>
      </c>
      <c r="AE1862" s="5">
        <v>2.1494480370973355</v>
      </c>
      <c r="AF1862">
        <v>1</v>
      </c>
    </row>
    <row r="1863" spans="27:32" x14ac:dyDescent="0.3">
      <c r="AA1863" s="3">
        <v>43313.91</v>
      </c>
      <c r="AB1863">
        <v>1E-4</v>
      </c>
      <c r="AC1863">
        <v>7</v>
      </c>
      <c r="AD1863" s="5">
        <v>5.1304339091598967</v>
      </c>
      <c r="AE1863" s="5">
        <v>2.1073105298075587</v>
      </c>
      <c r="AF1863">
        <v>1</v>
      </c>
    </row>
    <row r="1864" spans="27:32" x14ac:dyDescent="0.3">
      <c r="AA1864" s="3">
        <v>-8248.24</v>
      </c>
      <c r="AB1864">
        <v>1E-4</v>
      </c>
      <c r="AC1864">
        <v>9</v>
      </c>
      <c r="AD1864" s="5">
        <v>4.8727970615763336</v>
      </c>
      <c r="AE1864" s="5">
        <v>2.104999089426876</v>
      </c>
      <c r="AF1864">
        <v>1</v>
      </c>
    </row>
    <row r="1865" spans="27:32" x14ac:dyDescent="0.3">
      <c r="AA1865" s="3">
        <v>44251.81</v>
      </c>
      <c r="AB1865">
        <v>1E-4</v>
      </c>
      <c r="AC1865">
        <v>7</v>
      </c>
      <c r="AD1865" s="5">
        <v>5.0349560022025424</v>
      </c>
      <c r="AE1865" s="5">
        <v>2.1331633168061299</v>
      </c>
      <c r="AF1865">
        <v>1</v>
      </c>
    </row>
    <row r="1866" spans="27:32" x14ac:dyDescent="0.3">
      <c r="AA1866" s="3">
        <v>15949.07</v>
      </c>
      <c r="AB1866">
        <v>1E-4</v>
      </c>
      <c r="AC1866">
        <v>8</v>
      </c>
      <c r="AD1866" s="5">
        <v>5.1396374703732377</v>
      </c>
      <c r="AE1866" s="5">
        <v>2.2154319156535598</v>
      </c>
      <c r="AF1866">
        <v>1</v>
      </c>
    </row>
    <row r="1867" spans="27:32" x14ac:dyDescent="0.3">
      <c r="AA1867" s="3">
        <v>41727.54</v>
      </c>
      <c r="AB1867">
        <v>1E-4</v>
      </c>
      <c r="AC1867">
        <v>7</v>
      </c>
      <c r="AD1867" s="5">
        <v>5.0443620516026915</v>
      </c>
      <c r="AE1867" s="5">
        <v>2.1162148127164429</v>
      </c>
      <c r="AF1867">
        <v>1</v>
      </c>
    </row>
    <row r="1868" spans="27:32" x14ac:dyDescent="0.3">
      <c r="AA1868" s="3">
        <v>27548.92</v>
      </c>
      <c r="AB1868">
        <v>1E-4</v>
      </c>
      <c r="AC1868">
        <v>8</v>
      </c>
      <c r="AD1868" s="5">
        <v>4.982116230942327</v>
      </c>
      <c r="AE1868" s="5">
        <v>2.2250147522938195</v>
      </c>
      <c r="AF1868">
        <v>1</v>
      </c>
    </row>
    <row r="1869" spans="27:32" x14ac:dyDescent="0.3">
      <c r="AA1869" s="3">
        <v>31301.25</v>
      </c>
      <c r="AB1869">
        <v>1E-4</v>
      </c>
      <c r="AC1869">
        <v>7</v>
      </c>
      <c r="AD1869" s="5">
        <v>5.0204259878967088</v>
      </c>
      <c r="AE1869" s="5">
        <v>2.1699134316901869</v>
      </c>
      <c r="AF1869">
        <v>1</v>
      </c>
    </row>
    <row r="1870" spans="27:32" x14ac:dyDescent="0.3">
      <c r="AA1870" s="3">
        <v>41487</v>
      </c>
      <c r="AB1870">
        <v>1E-4</v>
      </c>
      <c r="AC1870">
        <v>7</v>
      </c>
      <c r="AD1870" s="5">
        <v>5.0572606648498253</v>
      </c>
      <c r="AE1870" s="5">
        <v>2.1659379505830527</v>
      </c>
      <c r="AF1870">
        <v>1</v>
      </c>
    </row>
    <row r="1871" spans="27:32" x14ac:dyDescent="0.3">
      <c r="AA1871" s="3">
        <v>-7930.54</v>
      </c>
      <c r="AB1871">
        <v>1E-4</v>
      </c>
      <c r="AC1871">
        <v>9</v>
      </c>
      <c r="AD1871" s="5">
        <v>4.9471541506172967</v>
      </c>
      <c r="AE1871" s="5">
        <v>2.216068403271406</v>
      </c>
      <c r="AF1871">
        <v>1</v>
      </c>
    </row>
    <row r="1872" spans="27:32" x14ac:dyDescent="0.3">
      <c r="AA1872" s="3">
        <v>33743.86</v>
      </c>
      <c r="AB1872">
        <v>1E-4</v>
      </c>
      <c r="AC1872">
        <v>7</v>
      </c>
      <c r="AD1872" s="5">
        <v>5.2742898031845984</v>
      </c>
      <c r="AE1872" s="5">
        <v>2.223018142168451</v>
      </c>
      <c r="AF1872">
        <v>1</v>
      </c>
    </row>
    <row r="1873" spans="27:32" x14ac:dyDescent="0.3">
      <c r="AA1873" s="3">
        <v>-9725.42</v>
      </c>
      <c r="AB1873">
        <v>1E-4</v>
      </c>
      <c r="AC1873">
        <v>9</v>
      </c>
      <c r="AD1873" s="5">
        <v>5.0576903767155352</v>
      </c>
      <c r="AE1873" s="5">
        <v>2.2080138142847843</v>
      </c>
      <c r="AF1873">
        <v>1</v>
      </c>
    </row>
    <row r="1874" spans="27:32" x14ac:dyDescent="0.3">
      <c r="AA1874" s="3">
        <v>12835.8</v>
      </c>
      <c r="AB1874">
        <v>1E-4</v>
      </c>
      <c r="AC1874">
        <v>8</v>
      </c>
      <c r="AD1874" s="5">
        <v>4.894992229932174</v>
      </c>
      <c r="AE1874" s="5">
        <v>2.1797683389036999</v>
      </c>
      <c r="AF1874">
        <v>1</v>
      </c>
    </row>
    <row r="1875" spans="27:32" x14ac:dyDescent="0.3">
      <c r="AA1875" s="3">
        <v>-12858.27</v>
      </c>
      <c r="AB1875">
        <v>1E-4</v>
      </c>
      <c r="AC1875">
        <v>9</v>
      </c>
      <c r="AD1875" s="5">
        <v>4.8674281056198501</v>
      </c>
      <c r="AE1875" s="5">
        <v>2.352384534003332</v>
      </c>
      <c r="AF1875">
        <v>1</v>
      </c>
    </row>
    <row r="1876" spans="27:32" x14ac:dyDescent="0.3">
      <c r="AA1876" s="3">
        <v>9433.07</v>
      </c>
      <c r="AB1876">
        <v>1E-4</v>
      </c>
      <c r="AC1876">
        <v>8</v>
      </c>
      <c r="AD1876" s="5">
        <v>5.011209769833826</v>
      </c>
      <c r="AE1876" s="5">
        <v>2.1214322496715008</v>
      </c>
      <c r="AF1876">
        <v>1</v>
      </c>
    </row>
    <row r="1877" spans="27:32" x14ac:dyDescent="0.3">
      <c r="AA1877" s="3">
        <v>22981.99</v>
      </c>
      <c r="AB1877">
        <v>1E-4</v>
      </c>
      <c r="AC1877">
        <v>8</v>
      </c>
      <c r="AD1877" s="5">
        <v>5.0395450595926778</v>
      </c>
      <c r="AE1877" s="5">
        <v>2.1321897941288355</v>
      </c>
      <c r="AF1877">
        <v>1</v>
      </c>
    </row>
    <row r="1878" spans="27:32" x14ac:dyDescent="0.3">
      <c r="AA1878" s="3">
        <v>-21365.562575787153</v>
      </c>
      <c r="AB1878">
        <v>1E-4</v>
      </c>
      <c r="AC1878">
        <v>9</v>
      </c>
      <c r="AD1878" s="5">
        <v>4.9309037224579351</v>
      </c>
      <c r="AE1878" s="5">
        <v>2.0534209200584019</v>
      </c>
      <c r="AF1878">
        <v>0</v>
      </c>
    </row>
    <row r="1879" spans="27:32" x14ac:dyDescent="0.3">
      <c r="AA1879" s="3">
        <v>15405.15</v>
      </c>
      <c r="AB1879">
        <v>1E-4</v>
      </c>
      <c r="AC1879">
        <v>8</v>
      </c>
      <c r="AD1879" s="5">
        <v>5.0554089112422593</v>
      </c>
      <c r="AE1879" s="5">
        <v>2.2229463561103131</v>
      </c>
      <c r="AF1879">
        <v>1</v>
      </c>
    </row>
    <row r="1880" spans="27:32" x14ac:dyDescent="0.3">
      <c r="AA1880" s="3">
        <v>11452.77</v>
      </c>
      <c r="AB1880">
        <v>1E-4</v>
      </c>
      <c r="AC1880">
        <v>8</v>
      </c>
      <c r="AD1880" s="5">
        <v>4.9535552417970461</v>
      </c>
      <c r="AE1880" s="5">
        <v>2.0877680545292683</v>
      </c>
      <c r="AF1880">
        <v>1</v>
      </c>
    </row>
    <row r="1881" spans="27:32" x14ac:dyDescent="0.3">
      <c r="AA1881" s="3">
        <v>-2104.36</v>
      </c>
      <c r="AB1881">
        <v>1E-4</v>
      </c>
      <c r="AC1881">
        <v>9</v>
      </c>
      <c r="AD1881" s="5">
        <v>4.8481179302986712</v>
      </c>
      <c r="AE1881" s="5">
        <v>2.1743447387058468</v>
      </c>
      <c r="AF1881">
        <v>1</v>
      </c>
    </row>
    <row r="1882" spans="27:32" x14ac:dyDescent="0.3">
      <c r="AA1882" s="3">
        <v>22947.18</v>
      </c>
      <c r="AB1882">
        <v>1E-4</v>
      </c>
      <c r="AC1882">
        <v>8</v>
      </c>
      <c r="AD1882" s="5">
        <v>4.8558631990724157</v>
      </c>
      <c r="AE1882" s="5">
        <v>2.0927593699541207</v>
      </c>
      <c r="AF1882">
        <v>1</v>
      </c>
    </row>
    <row r="1883" spans="27:32" x14ac:dyDescent="0.3">
      <c r="AA1883" s="3">
        <v>17008.2</v>
      </c>
      <c r="AB1883">
        <v>1E-4</v>
      </c>
      <c r="AC1883">
        <v>8</v>
      </c>
      <c r="AD1883" s="5">
        <v>4.920346096329749</v>
      </c>
      <c r="AE1883" s="5">
        <v>2.1915726157512854</v>
      </c>
      <c r="AF1883">
        <v>1</v>
      </c>
    </row>
    <row r="1884" spans="27:32" x14ac:dyDescent="0.3">
      <c r="AA1884" s="3">
        <v>15010.44</v>
      </c>
      <c r="AB1884">
        <v>1E-4</v>
      </c>
      <c r="AC1884">
        <v>8</v>
      </c>
      <c r="AD1884" s="5">
        <v>4.9557263108516514</v>
      </c>
      <c r="AE1884" s="5">
        <v>2.2204968753641618</v>
      </c>
      <c r="AF1884">
        <v>1</v>
      </c>
    </row>
    <row r="1885" spans="27:32" x14ac:dyDescent="0.3">
      <c r="AA1885" s="3">
        <v>-2342.0100000000002</v>
      </c>
      <c r="AB1885">
        <v>1E-4</v>
      </c>
      <c r="AC1885">
        <v>9</v>
      </c>
      <c r="AD1885" s="5">
        <v>5.1854536897802177</v>
      </c>
      <c r="AE1885" s="5">
        <v>2.1921625905666113</v>
      </c>
      <c r="AF1885">
        <v>1</v>
      </c>
    </row>
    <row r="1886" spans="27:32" x14ac:dyDescent="0.3">
      <c r="AA1886" s="3">
        <v>-931.25</v>
      </c>
      <c r="AB1886">
        <v>1E-4</v>
      </c>
      <c r="AC1886">
        <v>9</v>
      </c>
      <c r="AD1886" s="5">
        <v>4.9641130723975193</v>
      </c>
      <c r="AE1886" s="5">
        <v>2.2416510890283856</v>
      </c>
      <c r="AF1886">
        <v>1</v>
      </c>
    </row>
    <row r="1887" spans="27:32" x14ac:dyDescent="0.3">
      <c r="AA1887" s="3">
        <v>-10797.22</v>
      </c>
      <c r="AB1887">
        <v>1E-4</v>
      </c>
      <c r="AC1887">
        <v>9</v>
      </c>
      <c r="AD1887" s="5">
        <v>5.0915755104765985</v>
      </c>
      <c r="AE1887" s="5">
        <v>2.2405085039050312</v>
      </c>
      <c r="AF1887">
        <v>1</v>
      </c>
    </row>
    <row r="1888" spans="27:32" x14ac:dyDescent="0.3">
      <c r="AA1888" s="3">
        <v>31936.83</v>
      </c>
      <c r="AB1888">
        <v>1E-4</v>
      </c>
      <c r="AC1888">
        <v>7</v>
      </c>
      <c r="AD1888" s="5">
        <v>4.9041836379135866</v>
      </c>
      <c r="AE1888" s="5">
        <v>2.2057323068130898</v>
      </c>
      <c r="AF1888">
        <v>1</v>
      </c>
    </row>
    <row r="1889" spans="27:32" x14ac:dyDescent="0.3">
      <c r="AA1889" s="3">
        <v>14709.79</v>
      </c>
      <c r="AB1889">
        <v>1E-4</v>
      </c>
      <c r="AC1889">
        <v>8</v>
      </c>
      <c r="AD1889" s="5">
        <v>4.9736844216832745</v>
      </c>
      <c r="AE1889" s="5">
        <v>2.1950449498777838</v>
      </c>
      <c r="AF1889">
        <v>1</v>
      </c>
    </row>
    <row r="1890" spans="27:32" x14ac:dyDescent="0.3">
      <c r="AA1890" s="3">
        <v>36139.230000000003</v>
      </c>
      <c r="AB1890">
        <v>1E-4</v>
      </c>
      <c r="AC1890">
        <v>7</v>
      </c>
      <c r="AD1890" s="5">
        <v>4.8707645900962699</v>
      </c>
      <c r="AE1890" s="5">
        <v>2.1035176994574596</v>
      </c>
      <c r="AF1890">
        <v>1</v>
      </c>
    </row>
    <row r="1891" spans="27:32" x14ac:dyDescent="0.3">
      <c r="AA1891" s="3">
        <v>22871.040000000001</v>
      </c>
      <c r="AB1891">
        <v>1E-4</v>
      </c>
      <c r="AC1891">
        <v>8</v>
      </c>
      <c r="AD1891" s="5">
        <v>4.8979899264738114</v>
      </c>
      <c r="AE1891" s="5">
        <v>2.267380679026286</v>
      </c>
      <c r="AF1891">
        <v>1</v>
      </c>
    </row>
    <row r="1892" spans="27:32" x14ac:dyDescent="0.3">
      <c r="AA1892" s="3">
        <v>15161.22</v>
      </c>
      <c r="AB1892">
        <v>1E-4</v>
      </c>
      <c r="AC1892">
        <v>8</v>
      </c>
      <c r="AD1892" s="5">
        <v>5.0697851824423177</v>
      </c>
      <c r="AE1892" s="5">
        <v>2.1861048897203808</v>
      </c>
      <c r="AF1892">
        <v>1</v>
      </c>
    </row>
    <row r="1893" spans="27:32" x14ac:dyDescent="0.3">
      <c r="AA1893" s="3">
        <v>29280.799999999999</v>
      </c>
      <c r="AB1893">
        <v>1E-4</v>
      </c>
      <c r="AC1893">
        <v>8</v>
      </c>
      <c r="AD1893" s="5">
        <v>5.0391234091933539</v>
      </c>
      <c r="AE1893" s="5">
        <v>2.1370972043045295</v>
      </c>
      <c r="AF1893">
        <v>1</v>
      </c>
    </row>
    <row r="1894" spans="27:32" x14ac:dyDescent="0.3">
      <c r="AA1894" s="3">
        <v>16533.53</v>
      </c>
      <c r="AB1894">
        <v>1E-4</v>
      </c>
      <c r="AC1894">
        <v>8</v>
      </c>
      <c r="AD1894" s="5">
        <v>4.9344719975820004</v>
      </c>
      <c r="AE1894" s="5">
        <v>2.1826834137418825</v>
      </c>
      <c r="AF1894">
        <v>1</v>
      </c>
    </row>
    <row r="1895" spans="27:32" x14ac:dyDescent="0.3">
      <c r="AA1895" s="3">
        <v>40329.58</v>
      </c>
      <c r="AB1895">
        <v>1E-4</v>
      </c>
      <c r="AC1895">
        <v>7</v>
      </c>
      <c r="AD1895" s="5">
        <v>4.8884601756948696</v>
      </c>
      <c r="AE1895" s="5">
        <v>2.1283576471225412</v>
      </c>
      <c r="AF1895">
        <v>1</v>
      </c>
    </row>
    <row r="1896" spans="27:32" x14ac:dyDescent="0.3">
      <c r="AA1896" s="3">
        <v>52638.05</v>
      </c>
      <c r="AB1896">
        <v>1E-4</v>
      </c>
      <c r="AC1896">
        <v>6</v>
      </c>
      <c r="AD1896" s="5">
        <v>5.2069982830253272</v>
      </c>
      <c r="AE1896" s="5">
        <v>2.1403181664145849</v>
      </c>
      <c r="AF1896">
        <v>1</v>
      </c>
    </row>
    <row r="1897" spans="27:32" x14ac:dyDescent="0.3">
      <c r="AA1897" s="3">
        <v>-4009.09</v>
      </c>
      <c r="AB1897">
        <v>1E-4</v>
      </c>
      <c r="AC1897">
        <v>9</v>
      </c>
      <c r="AD1897" s="5">
        <v>5.015039522424984</v>
      </c>
      <c r="AE1897" s="5">
        <v>2.2642146190637771</v>
      </c>
      <c r="AF1897">
        <v>1</v>
      </c>
    </row>
    <row r="1898" spans="27:32" x14ac:dyDescent="0.3">
      <c r="AA1898" s="3">
        <v>-10811.46</v>
      </c>
      <c r="AB1898">
        <v>1E-4</v>
      </c>
      <c r="AC1898">
        <v>9</v>
      </c>
      <c r="AD1898" s="5">
        <v>4.9337087919166995</v>
      </c>
      <c r="AE1898" s="5">
        <v>2.2695406746693165</v>
      </c>
      <c r="AF1898">
        <v>1</v>
      </c>
    </row>
    <row r="1899" spans="27:32" x14ac:dyDescent="0.3">
      <c r="AA1899" s="3">
        <v>27204.25</v>
      </c>
      <c r="AB1899">
        <v>1E-4</v>
      </c>
      <c r="AC1899">
        <v>7</v>
      </c>
      <c r="AD1899" s="5">
        <v>5.0810320628474983</v>
      </c>
      <c r="AE1899" s="5">
        <v>2.2356943221761663</v>
      </c>
      <c r="AF1899">
        <v>1</v>
      </c>
    </row>
    <row r="1900" spans="27:32" x14ac:dyDescent="0.3">
      <c r="AA1900" s="3">
        <v>25947.119999999999</v>
      </c>
      <c r="AB1900">
        <v>1E-4</v>
      </c>
      <c r="AC1900">
        <v>8</v>
      </c>
      <c r="AD1900" s="5">
        <v>4.9016202487117484</v>
      </c>
      <c r="AE1900" s="5">
        <v>2.0915187087793488</v>
      </c>
      <c r="AF1900">
        <v>1</v>
      </c>
    </row>
    <row r="1901" spans="27:32" x14ac:dyDescent="0.3">
      <c r="AA1901" s="3">
        <v>13019.47</v>
      </c>
      <c r="AB1901">
        <v>1E-4</v>
      </c>
      <c r="AC1901">
        <v>8</v>
      </c>
      <c r="AD1901" s="5">
        <v>4.9865988455598309</v>
      </c>
      <c r="AE1901" s="5">
        <v>2.1929727618216202</v>
      </c>
      <c r="AF1901">
        <v>1</v>
      </c>
    </row>
    <row r="1902" spans="27:32" x14ac:dyDescent="0.3">
      <c r="AA1902" s="3">
        <v>11876.57</v>
      </c>
      <c r="AB1902">
        <v>1E-4</v>
      </c>
      <c r="AC1902">
        <v>8</v>
      </c>
      <c r="AD1902" s="5">
        <v>4.9795557262237899</v>
      </c>
      <c r="AE1902" s="5">
        <v>2.2084042573350335</v>
      </c>
      <c r="AF1902">
        <v>1</v>
      </c>
    </row>
    <row r="1903" spans="27:32" x14ac:dyDescent="0.3">
      <c r="AA1903" s="3">
        <v>-20514.297140012393</v>
      </c>
      <c r="AB1903">
        <v>1E-4</v>
      </c>
      <c r="AC1903">
        <v>9</v>
      </c>
      <c r="AD1903" s="5">
        <v>5.0279402334365724</v>
      </c>
      <c r="AE1903" s="5">
        <v>2.222221394924321</v>
      </c>
      <c r="AF1903">
        <v>0</v>
      </c>
    </row>
    <row r="1904" spans="27:32" x14ac:dyDescent="0.3">
      <c r="AA1904" s="3">
        <v>15818.3</v>
      </c>
      <c r="AB1904">
        <v>1E-4</v>
      </c>
      <c r="AC1904">
        <v>8</v>
      </c>
      <c r="AD1904" s="5">
        <v>4.9114335740648842</v>
      </c>
      <c r="AE1904" s="5">
        <v>2.144895107247943</v>
      </c>
      <c r="AF1904">
        <v>1</v>
      </c>
    </row>
    <row r="1905" spans="27:32" x14ac:dyDescent="0.3">
      <c r="AA1905" s="3">
        <v>-6098.2</v>
      </c>
      <c r="AB1905">
        <v>1E-4</v>
      </c>
      <c r="AC1905">
        <v>9</v>
      </c>
      <c r="AD1905" s="5">
        <v>4.921003866855008</v>
      </c>
      <c r="AE1905" s="5">
        <v>2.229497446960099</v>
      </c>
      <c r="AF1905">
        <v>1</v>
      </c>
    </row>
    <row r="1906" spans="27:32" x14ac:dyDescent="0.3">
      <c r="AA1906" s="3">
        <v>-13145.42</v>
      </c>
      <c r="AB1906">
        <v>1E-4</v>
      </c>
      <c r="AC1906">
        <v>9</v>
      </c>
      <c r="AD1906" s="5">
        <v>4.9597925737959345</v>
      </c>
      <c r="AE1906" s="5">
        <v>2.2695735107478949</v>
      </c>
      <c r="AF1906">
        <v>1</v>
      </c>
    </row>
    <row r="1907" spans="27:32" x14ac:dyDescent="0.3">
      <c r="AA1907" s="3">
        <v>16996.080000000002</v>
      </c>
      <c r="AB1907">
        <v>1E-4</v>
      </c>
      <c r="AC1907">
        <v>8</v>
      </c>
      <c r="AD1907" s="5">
        <v>4.9714471627112502</v>
      </c>
      <c r="AE1907" s="5">
        <v>2.2598922060505617</v>
      </c>
      <c r="AF1907">
        <v>1</v>
      </c>
    </row>
    <row r="1908" spans="27:32" x14ac:dyDescent="0.3">
      <c r="AA1908" s="3">
        <v>4360.7299999999996</v>
      </c>
      <c r="AB1908">
        <v>1E-4</v>
      </c>
      <c r="AC1908">
        <v>8</v>
      </c>
      <c r="AD1908" s="5">
        <v>4.8637826130110593</v>
      </c>
      <c r="AE1908" s="5">
        <v>2.2100358682807379</v>
      </c>
      <c r="AF1908">
        <v>1</v>
      </c>
    </row>
    <row r="1909" spans="27:32" x14ac:dyDescent="0.3">
      <c r="AA1909" s="3">
        <v>-3722.95</v>
      </c>
      <c r="AB1909">
        <v>1E-4</v>
      </c>
      <c r="AC1909">
        <v>9</v>
      </c>
      <c r="AD1909" s="5">
        <v>5.1313349854321268</v>
      </c>
      <c r="AE1909" s="5">
        <v>2.2268829338420466</v>
      </c>
      <c r="AF1909">
        <v>1</v>
      </c>
    </row>
    <row r="1910" spans="27:32" x14ac:dyDescent="0.3">
      <c r="AA1910" s="3">
        <v>5632.01</v>
      </c>
      <c r="AB1910">
        <v>1E-4</v>
      </c>
      <c r="AC1910">
        <v>8</v>
      </c>
      <c r="AD1910" s="5">
        <v>5.0285221870654633</v>
      </c>
      <c r="AE1910" s="5">
        <v>2.2271411286560654</v>
      </c>
      <c r="AF1910">
        <v>1</v>
      </c>
    </row>
    <row r="1911" spans="27:32" x14ac:dyDescent="0.3">
      <c r="AA1911" s="3">
        <v>-46682.416420083013</v>
      </c>
      <c r="AB1911">
        <v>1E-4</v>
      </c>
      <c r="AC1911">
        <v>9</v>
      </c>
      <c r="AD1911" s="5">
        <v>4.8528458996930199</v>
      </c>
      <c r="AE1911" s="5">
        <v>2.2499839177687497</v>
      </c>
      <c r="AF1911">
        <v>0</v>
      </c>
    </row>
    <row r="1912" spans="27:32" x14ac:dyDescent="0.3">
      <c r="AA1912" s="3">
        <v>17821.900000000001</v>
      </c>
      <c r="AB1912">
        <v>1E-4</v>
      </c>
      <c r="AC1912">
        <v>8</v>
      </c>
      <c r="AD1912" s="5">
        <v>4.9897907338457808</v>
      </c>
      <c r="AE1912" s="5">
        <v>2.1365939388598041</v>
      </c>
      <c r="AF1912">
        <v>1</v>
      </c>
    </row>
    <row r="1913" spans="27:32" x14ac:dyDescent="0.3">
      <c r="AA1913" s="3">
        <v>36070.04</v>
      </c>
      <c r="AB1913">
        <v>1E-4</v>
      </c>
      <c r="AC1913">
        <v>7</v>
      </c>
      <c r="AD1913" s="5">
        <v>5.0255303747892981</v>
      </c>
      <c r="AE1913" s="5">
        <v>2.1159656565222624</v>
      </c>
      <c r="AF1913">
        <v>1</v>
      </c>
    </row>
    <row r="1914" spans="27:32" x14ac:dyDescent="0.3">
      <c r="AA1914" s="3">
        <v>24546.55</v>
      </c>
      <c r="AB1914">
        <v>1E-4</v>
      </c>
      <c r="AC1914">
        <v>8</v>
      </c>
      <c r="AD1914" s="5">
        <v>5.0562224463350409</v>
      </c>
      <c r="AE1914" s="5">
        <v>2.1663629460601808</v>
      </c>
      <c r="AF1914">
        <v>1</v>
      </c>
    </row>
    <row r="1915" spans="27:32" x14ac:dyDescent="0.3">
      <c r="AA1915" s="3">
        <v>28835.73</v>
      </c>
      <c r="AB1915">
        <v>1E-4</v>
      </c>
      <c r="AC1915">
        <v>8</v>
      </c>
      <c r="AD1915" s="5">
        <v>5.0411779587549699</v>
      </c>
      <c r="AE1915" s="5">
        <v>2.1693002638298964</v>
      </c>
      <c r="AF1915">
        <v>1</v>
      </c>
    </row>
    <row r="1916" spans="27:32" x14ac:dyDescent="0.3">
      <c r="AA1916" s="3">
        <v>-6387.84</v>
      </c>
      <c r="AB1916">
        <v>1E-4</v>
      </c>
      <c r="AC1916">
        <v>9</v>
      </c>
      <c r="AD1916" s="5">
        <v>5.0135963858312458</v>
      </c>
      <c r="AE1916" s="5">
        <v>2.2637118924477506</v>
      </c>
      <c r="AF1916">
        <v>1</v>
      </c>
    </row>
    <row r="1917" spans="27:32" x14ac:dyDescent="0.3">
      <c r="AA1917" s="3">
        <v>34043.769999999997</v>
      </c>
      <c r="AB1917">
        <v>1E-4</v>
      </c>
      <c r="AC1917">
        <v>7</v>
      </c>
      <c r="AD1917" s="5">
        <v>5.1335382742496165</v>
      </c>
      <c r="AE1917" s="5">
        <v>2.2324905911239528</v>
      </c>
      <c r="AF1917">
        <v>1</v>
      </c>
    </row>
    <row r="1918" spans="27:32" x14ac:dyDescent="0.3">
      <c r="AA1918" s="3">
        <v>21744.97</v>
      </c>
      <c r="AB1918">
        <v>1E-4</v>
      </c>
      <c r="AC1918">
        <v>8</v>
      </c>
      <c r="AD1918" s="5">
        <v>5.1139648880693898</v>
      </c>
      <c r="AE1918" s="5">
        <v>2.165083704391924</v>
      </c>
      <c r="AF1918">
        <v>1</v>
      </c>
    </row>
    <row r="1919" spans="27:32" x14ac:dyDescent="0.3">
      <c r="AA1919" s="3">
        <v>9457.6299999999992</v>
      </c>
      <c r="AB1919">
        <v>1E-4</v>
      </c>
      <c r="AC1919">
        <v>8</v>
      </c>
      <c r="AD1919" s="5">
        <v>5.0434961106569256</v>
      </c>
      <c r="AE1919" s="5">
        <v>2.2311158929938872</v>
      </c>
      <c r="AF1919">
        <v>1</v>
      </c>
    </row>
    <row r="1920" spans="27:32" x14ac:dyDescent="0.3">
      <c r="AA1920" s="3">
        <v>-4262.4399999999996</v>
      </c>
      <c r="AB1920">
        <v>1E-4</v>
      </c>
      <c r="AC1920">
        <v>9</v>
      </c>
      <c r="AD1920" s="5">
        <v>4.8798015478512191</v>
      </c>
      <c r="AE1920" s="5">
        <v>2.179500556309053</v>
      </c>
      <c r="AF1920">
        <v>1</v>
      </c>
    </row>
    <row r="1921" spans="27:32" x14ac:dyDescent="0.3">
      <c r="AA1921" s="3">
        <v>54395.46</v>
      </c>
      <c r="AB1921">
        <v>1E-4</v>
      </c>
      <c r="AC1921">
        <v>6</v>
      </c>
      <c r="AD1921" s="5">
        <v>5.0049817219095774</v>
      </c>
      <c r="AE1921" s="5">
        <v>2.1176568378561687</v>
      </c>
      <c r="AF1921">
        <v>1</v>
      </c>
    </row>
    <row r="1922" spans="27:32" x14ac:dyDescent="0.3">
      <c r="AA1922" s="3">
        <v>6322.4</v>
      </c>
      <c r="AB1922">
        <v>1E-4</v>
      </c>
      <c r="AC1922">
        <v>8</v>
      </c>
      <c r="AD1922" s="5">
        <v>5.0729482978478959</v>
      </c>
      <c r="AE1922" s="5">
        <v>2.2811206299085431</v>
      </c>
      <c r="AF1922">
        <v>1</v>
      </c>
    </row>
    <row r="1923" spans="27:32" x14ac:dyDescent="0.3">
      <c r="AA1923" s="3">
        <v>4575.3100000000004</v>
      </c>
      <c r="AB1923">
        <v>1E-4</v>
      </c>
      <c r="AC1923">
        <v>8</v>
      </c>
      <c r="AD1923" s="5">
        <v>5.0937173715058748</v>
      </c>
      <c r="AE1923" s="5">
        <v>2.3495900362155848</v>
      </c>
      <c r="AF1923">
        <v>1</v>
      </c>
    </row>
    <row r="1924" spans="27:32" x14ac:dyDescent="0.3">
      <c r="AA1924" s="3">
        <v>15515.77</v>
      </c>
      <c r="AB1924">
        <v>1E-4</v>
      </c>
      <c r="AC1924">
        <v>8</v>
      </c>
      <c r="AD1924" s="5">
        <v>5.0232871627812221</v>
      </c>
      <c r="AE1924" s="5">
        <v>2.2563170593544504</v>
      </c>
      <c r="AF1924">
        <v>1</v>
      </c>
    </row>
    <row r="1925" spans="27:32" x14ac:dyDescent="0.3">
      <c r="AA1925" s="3">
        <v>-3976.85</v>
      </c>
      <c r="AB1925">
        <v>1E-4</v>
      </c>
      <c r="AC1925">
        <v>9</v>
      </c>
      <c r="AD1925" s="5">
        <v>4.999307352583231</v>
      </c>
      <c r="AE1925" s="5">
        <v>2.1635659854530149</v>
      </c>
      <c r="AF1925">
        <v>1</v>
      </c>
    </row>
    <row r="1926" spans="27:32" x14ac:dyDescent="0.3">
      <c r="AA1926" s="3">
        <v>7840.33</v>
      </c>
      <c r="AB1926">
        <v>1E-4</v>
      </c>
      <c r="AC1926">
        <v>8</v>
      </c>
      <c r="AD1926" s="5">
        <v>4.8836646762725522</v>
      </c>
      <c r="AE1926" s="5">
        <v>2.1846117991889695</v>
      </c>
      <c r="AF1926">
        <v>1</v>
      </c>
    </row>
    <row r="1927" spans="27:32" x14ac:dyDescent="0.3">
      <c r="AA1927" s="3">
        <v>17855.22</v>
      </c>
      <c r="AB1927">
        <v>1E-4</v>
      </c>
      <c r="AC1927">
        <v>8</v>
      </c>
      <c r="AD1927" s="5">
        <v>5.0017085075535084</v>
      </c>
      <c r="AE1927" s="5">
        <v>2.1859243178303749</v>
      </c>
      <c r="AF1927">
        <v>1</v>
      </c>
    </row>
    <row r="1928" spans="27:32" x14ac:dyDescent="0.3">
      <c r="AA1928" s="3">
        <v>-4671.74</v>
      </c>
      <c r="AB1928">
        <v>1E-4</v>
      </c>
      <c r="AC1928">
        <v>9</v>
      </c>
      <c r="AD1928" s="5">
        <v>5.020900891726706</v>
      </c>
      <c r="AE1928" s="5">
        <v>2.181001555342442</v>
      </c>
      <c r="AF1928">
        <v>1</v>
      </c>
    </row>
    <row r="1929" spans="27:32" x14ac:dyDescent="0.3">
      <c r="AA1929" s="3">
        <v>-1955.18</v>
      </c>
      <c r="AB1929">
        <v>1E-4</v>
      </c>
      <c r="AC1929">
        <v>9</v>
      </c>
      <c r="AD1929" s="5">
        <v>4.9550763439162591</v>
      </c>
      <c r="AE1929" s="5">
        <v>2.2419606407793533</v>
      </c>
      <c r="AF1929">
        <v>1</v>
      </c>
    </row>
    <row r="1930" spans="27:32" x14ac:dyDescent="0.3">
      <c r="AA1930" s="3">
        <v>39219.94</v>
      </c>
      <c r="AB1930">
        <v>1E-4</v>
      </c>
      <c r="AC1930">
        <v>7</v>
      </c>
      <c r="AD1930" s="5">
        <v>5.2444280415230358</v>
      </c>
      <c r="AE1930" s="5">
        <v>2.2912720749397208</v>
      </c>
      <c r="AF1930">
        <v>1</v>
      </c>
    </row>
    <row r="1931" spans="27:32" x14ac:dyDescent="0.3">
      <c r="AA1931" s="3">
        <v>17695.78</v>
      </c>
      <c r="AB1931">
        <v>1E-4</v>
      </c>
      <c r="AC1931">
        <v>8</v>
      </c>
      <c r="AD1931" s="5">
        <v>4.9653438779756875</v>
      </c>
      <c r="AE1931" s="5">
        <v>2.2209786890926515</v>
      </c>
      <c r="AF1931">
        <v>1</v>
      </c>
    </row>
    <row r="1932" spans="27:32" x14ac:dyDescent="0.3">
      <c r="AA1932" s="3">
        <v>27111.55</v>
      </c>
      <c r="AB1932">
        <v>1E-4</v>
      </c>
      <c r="AC1932">
        <v>8</v>
      </c>
      <c r="AD1932" s="5">
        <v>4.9933114551269959</v>
      </c>
      <c r="AE1932" s="5">
        <v>2.2395012832696599</v>
      </c>
      <c r="AF1932">
        <v>1</v>
      </c>
    </row>
    <row r="1933" spans="27:32" x14ac:dyDescent="0.3">
      <c r="AA1933" s="3">
        <v>-5766.7</v>
      </c>
      <c r="AB1933">
        <v>1E-4</v>
      </c>
      <c r="AC1933">
        <v>9</v>
      </c>
      <c r="AD1933" s="5">
        <v>5.0132886124627163</v>
      </c>
      <c r="AE1933" s="5">
        <v>2.2481454231068323</v>
      </c>
      <c r="AF1933">
        <v>1</v>
      </c>
    </row>
    <row r="1934" spans="27:32" x14ac:dyDescent="0.3">
      <c r="AA1934" s="3">
        <v>33666.65</v>
      </c>
      <c r="AB1934">
        <v>1E-4</v>
      </c>
      <c r="AC1934">
        <v>7</v>
      </c>
      <c r="AD1934" s="5">
        <v>5.0011523022361573</v>
      </c>
      <c r="AE1934" s="5">
        <v>2.1322892218633407</v>
      </c>
      <c r="AF1934">
        <v>1</v>
      </c>
    </row>
    <row r="1935" spans="27:32" x14ac:dyDescent="0.3">
      <c r="AA1935" s="3">
        <v>44415.68</v>
      </c>
      <c r="AB1935">
        <v>1E-4</v>
      </c>
      <c r="AC1935">
        <v>7</v>
      </c>
      <c r="AD1935" s="5">
        <v>5.0747119974819839</v>
      </c>
      <c r="AE1935" s="5">
        <v>2.2173146579887408</v>
      </c>
      <c r="AF1935">
        <v>1</v>
      </c>
    </row>
    <row r="1936" spans="27:32" x14ac:dyDescent="0.3">
      <c r="AA1936" s="3">
        <v>11931.22</v>
      </c>
      <c r="AB1936">
        <v>1E-4</v>
      </c>
      <c r="AC1936">
        <v>8</v>
      </c>
      <c r="AD1936" s="5">
        <v>4.9668089116260523</v>
      </c>
      <c r="AE1936" s="5">
        <v>2.2493316528639342</v>
      </c>
      <c r="AF1936">
        <v>1</v>
      </c>
    </row>
    <row r="1937" spans="27:32" x14ac:dyDescent="0.3">
      <c r="AA1937" s="3">
        <v>2949.69</v>
      </c>
      <c r="AB1937">
        <v>1E-4</v>
      </c>
      <c r="AC1937">
        <v>8</v>
      </c>
      <c r="AD1937" s="5">
        <v>5.1351286726790404</v>
      </c>
      <c r="AE1937" s="5">
        <v>2.2345387849021772</v>
      </c>
      <c r="AF1937">
        <v>1</v>
      </c>
    </row>
    <row r="1938" spans="27:32" x14ac:dyDescent="0.3">
      <c r="AA1938" s="3">
        <v>27470.41</v>
      </c>
      <c r="AB1938">
        <v>1E-4</v>
      </c>
      <c r="AC1938">
        <v>8</v>
      </c>
      <c r="AD1938" s="5">
        <v>5.0594130495739194</v>
      </c>
      <c r="AE1938" s="5">
        <v>2.1653297957041673</v>
      </c>
      <c r="AF1938">
        <v>1</v>
      </c>
    </row>
    <row r="1939" spans="27:32" x14ac:dyDescent="0.3">
      <c r="AA1939" s="3">
        <v>57174.16</v>
      </c>
      <c r="AB1939">
        <v>1E-4</v>
      </c>
      <c r="AC1939">
        <v>6</v>
      </c>
      <c r="AD1939" s="5">
        <v>5.1765434612438597</v>
      </c>
      <c r="AE1939" s="5">
        <v>2.2596735146104079</v>
      </c>
      <c r="AF1939">
        <v>1</v>
      </c>
    </row>
    <row r="1940" spans="27:32" x14ac:dyDescent="0.3">
      <c r="AA1940" s="3">
        <v>23889.360000000001</v>
      </c>
      <c r="AB1940">
        <v>1E-4</v>
      </c>
      <c r="AC1940">
        <v>8</v>
      </c>
      <c r="AD1940" s="5">
        <v>5.0224334159150406</v>
      </c>
      <c r="AE1940" s="5">
        <v>2.2348705220291976</v>
      </c>
      <c r="AF1940">
        <v>1</v>
      </c>
    </row>
    <row r="1941" spans="27:32" x14ac:dyDescent="0.3">
      <c r="AA1941" s="3">
        <v>9797.43</v>
      </c>
      <c r="AB1941">
        <v>1E-4</v>
      </c>
      <c r="AC1941">
        <v>8</v>
      </c>
      <c r="AD1941" s="5">
        <v>4.8851860076770324</v>
      </c>
      <c r="AE1941" s="5">
        <v>2.229316451307163</v>
      </c>
      <c r="AF1941">
        <v>1</v>
      </c>
    </row>
    <row r="1942" spans="27:32" x14ac:dyDescent="0.3">
      <c r="AA1942" s="3">
        <v>8083.02</v>
      </c>
      <c r="AB1942">
        <v>1E-4</v>
      </c>
      <c r="AC1942">
        <v>8</v>
      </c>
      <c r="AD1942" s="5">
        <v>4.9006108073498957</v>
      </c>
      <c r="AE1942" s="5">
        <v>2.1175662144564318</v>
      </c>
      <c r="AF1942">
        <v>1</v>
      </c>
    </row>
    <row r="1943" spans="27:32" x14ac:dyDescent="0.3">
      <c r="AA1943" s="3">
        <v>-9800.56</v>
      </c>
      <c r="AB1943">
        <v>1E-4</v>
      </c>
      <c r="AC1943">
        <v>9</v>
      </c>
      <c r="AD1943" s="5">
        <v>5.0676800176003427</v>
      </c>
      <c r="AE1943" s="5">
        <v>2.2828405138411925</v>
      </c>
      <c r="AF1943">
        <v>1</v>
      </c>
    </row>
    <row r="1944" spans="27:32" x14ac:dyDescent="0.3">
      <c r="AA1944" s="3">
        <v>-9041.44</v>
      </c>
      <c r="AB1944">
        <v>1E-4</v>
      </c>
      <c r="AC1944">
        <v>9</v>
      </c>
      <c r="AD1944" s="5">
        <v>4.8676371505845264</v>
      </c>
      <c r="AE1944" s="5">
        <v>2.2083703274936455</v>
      </c>
      <c r="AF1944">
        <v>1</v>
      </c>
    </row>
    <row r="1945" spans="27:32" x14ac:dyDescent="0.3">
      <c r="AA1945" s="3">
        <v>21520.5</v>
      </c>
      <c r="AB1945">
        <v>1E-4</v>
      </c>
      <c r="AC1945">
        <v>8</v>
      </c>
      <c r="AD1945" s="5">
        <v>4.9176550738977225</v>
      </c>
      <c r="AE1945" s="5">
        <v>2.2123490050479186</v>
      </c>
      <c r="AF1945">
        <v>1</v>
      </c>
    </row>
    <row r="1946" spans="27:32" x14ac:dyDescent="0.3">
      <c r="AA1946" s="3">
        <v>10496.84</v>
      </c>
      <c r="AB1946">
        <v>1E-4</v>
      </c>
      <c r="AC1946">
        <v>8</v>
      </c>
      <c r="AD1946" s="5">
        <v>4.7047503277371252</v>
      </c>
      <c r="AE1946" s="5">
        <v>2.1317384021946704</v>
      </c>
      <c r="AF1946">
        <v>1</v>
      </c>
    </row>
    <row r="1947" spans="27:32" x14ac:dyDescent="0.3">
      <c r="AA1947" s="3">
        <v>18422.29</v>
      </c>
      <c r="AB1947">
        <v>1E-4</v>
      </c>
      <c r="AC1947">
        <v>8</v>
      </c>
      <c r="AD1947" s="5">
        <v>4.9738069718060958</v>
      </c>
      <c r="AE1947" s="5">
        <v>2.1359624310837622</v>
      </c>
      <c r="AF1947">
        <v>1</v>
      </c>
    </row>
    <row r="1948" spans="27:32" x14ac:dyDescent="0.3">
      <c r="AA1948" s="3">
        <v>24747.25</v>
      </c>
      <c r="AB1948">
        <v>1E-4</v>
      </c>
      <c r="AC1948">
        <v>8</v>
      </c>
      <c r="AD1948" s="5">
        <v>4.998265288159871</v>
      </c>
      <c r="AE1948" s="5">
        <v>2.1911162622734333</v>
      </c>
      <c r="AF1948">
        <v>1</v>
      </c>
    </row>
    <row r="1949" spans="27:32" x14ac:dyDescent="0.3">
      <c r="AA1949" s="3">
        <v>20202.189999999999</v>
      </c>
      <c r="AB1949">
        <v>1E-4</v>
      </c>
      <c r="AC1949">
        <v>8</v>
      </c>
      <c r="AD1949" s="5">
        <v>4.9209727489218773</v>
      </c>
      <c r="AE1949" s="5">
        <v>2.113889709594309</v>
      </c>
      <c r="AF1949">
        <v>1</v>
      </c>
    </row>
    <row r="1950" spans="27:32" x14ac:dyDescent="0.3">
      <c r="AA1950" s="3">
        <v>36730.269999999997</v>
      </c>
      <c r="AB1950">
        <v>1E-4</v>
      </c>
      <c r="AC1950">
        <v>7</v>
      </c>
      <c r="AD1950" s="5">
        <v>5.0180791071895969</v>
      </c>
      <c r="AE1950" s="5">
        <v>2.2301886629472265</v>
      </c>
      <c r="AF1950">
        <v>1</v>
      </c>
    </row>
    <row r="1951" spans="27:32" x14ac:dyDescent="0.3">
      <c r="AA1951" s="3">
        <v>43086</v>
      </c>
      <c r="AB1951">
        <v>1E-4</v>
      </c>
      <c r="AC1951">
        <v>7</v>
      </c>
      <c r="AD1951" s="5">
        <v>4.9962294670495861</v>
      </c>
      <c r="AE1951" s="5">
        <v>2.1255028035152983</v>
      </c>
      <c r="AF1951">
        <v>1</v>
      </c>
    </row>
    <row r="1952" spans="27:32" x14ac:dyDescent="0.3">
      <c r="AA1952" s="3">
        <v>14271.27</v>
      </c>
      <c r="AB1952">
        <v>1E-4</v>
      </c>
      <c r="AC1952">
        <v>8</v>
      </c>
      <c r="AD1952" s="5">
        <v>4.9989189609214577</v>
      </c>
      <c r="AE1952" s="5">
        <v>2.2224447241886516</v>
      </c>
      <c r="AF1952">
        <v>1</v>
      </c>
    </row>
    <row r="1953" spans="27:32" x14ac:dyDescent="0.3">
      <c r="AA1953" s="3">
        <v>24087.24</v>
      </c>
      <c r="AB1953">
        <v>1E-4</v>
      </c>
      <c r="AC1953">
        <v>8</v>
      </c>
      <c r="AD1953" s="5">
        <v>5.0196762806233473</v>
      </c>
      <c r="AE1953" s="5">
        <v>2.1274787286642494</v>
      </c>
      <c r="AF1953">
        <v>1</v>
      </c>
    </row>
    <row r="1954" spans="27:32" x14ac:dyDescent="0.3">
      <c r="AA1954" s="3">
        <v>15869.09</v>
      </c>
      <c r="AB1954">
        <v>1E-4</v>
      </c>
      <c r="AC1954">
        <v>8</v>
      </c>
      <c r="AD1954" s="5">
        <v>4.9877059359501841</v>
      </c>
      <c r="AE1954" s="5">
        <v>2.1647682590176238</v>
      </c>
      <c r="AF1954">
        <v>1</v>
      </c>
    </row>
    <row r="1955" spans="27:32" x14ac:dyDescent="0.3">
      <c r="AA1955" s="3">
        <v>29642.240000000002</v>
      </c>
      <c r="AB1955">
        <v>1E-4</v>
      </c>
      <c r="AC1955">
        <v>8</v>
      </c>
      <c r="AD1955" s="5">
        <v>4.9483889630252351</v>
      </c>
      <c r="AE1955" s="5">
        <v>2.104842894593884</v>
      </c>
      <c r="AF1955">
        <v>1</v>
      </c>
    </row>
    <row r="1956" spans="27:32" x14ac:dyDescent="0.3">
      <c r="AA1956" s="3">
        <v>40921.58</v>
      </c>
      <c r="AB1956">
        <v>1E-4</v>
      </c>
      <c r="AC1956">
        <v>7</v>
      </c>
      <c r="AD1956" s="5">
        <v>5.0686526119720652</v>
      </c>
      <c r="AE1956" s="5">
        <v>2.2439071174585967</v>
      </c>
      <c r="AF1956">
        <v>1</v>
      </c>
    </row>
    <row r="1957" spans="27:32" x14ac:dyDescent="0.3">
      <c r="AA1957" s="3">
        <v>23820.58</v>
      </c>
      <c r="AB1957">
        <v>1E-4</v>
      </c>
      <c r="AC1957">
        <v>8</v>
      </c>
      <c r="AD1957" s="5">
        <v>4.9920861805326595</v>
      </c>
      <c r="AE1957" s="5">
        <v>2.2800856577537556</v>
      </c>
      <c r="AF1957">
        <v>1</v>
      </c>
    </row>
    <row r="1958" spans="27:32" x14ac:dyDescent="0.3">
      <c r="AA1958" s="3">
        <v>15109.86</v>
      </c>
      <c r="AB1958">
        <v>1E-4</v>
      </c>
      <c r="AC1958">
        <v>8</v>
      </c>
      <c r="AD1958" s="5">
        <v>5.1770804600589191</v>
      </c>
      <c r="AE1958" s="5">
        <v>2.2668676578025493</v>
      </c>
      <c r="AF1958">
        <v>1</v>
      </c>
    </row>
    <row r="1959" spans="27:32" x14ac:dyDescent="0.3">
      <c r="AA1959" s="3">
        <v>23183.7</v>
      </c>
      <c r="AB1959">
        <v>1E-4</v>
      </c>
      <c r="AC1959">
        <v>8</v>
      </c>
      <c r="AD1959" s="5">
        <v>5.0878419019468266</v>
      </c>
      <c r="AE1959" s="5">
        <v>2.1478246857506647</v>
      </c>
      <c r="AF1959">
        <v>1</v>
      </c>
    </row>
    <row r="1960" spans="27:32" x14ac:dyDescent="0.3">
      <c r="AA1960" s="3">
        <v>-13708.54</v>
      </c>
      <c r="AB1960">
        <v>1E-4</v>
      </c>
      <c r="AC1960">
        <v>9</v>
      </c>
      <c r="AD1960" s="5">
        <v>5.1003225628429183</v>
      </c>
      <c r="AE1960" s="5">
        <v>2.2423543961934844</v>
      </c>
      <c r="AF1960">
        <v>1</v>
      </c>
    </row>
    <row r="1961" spans="27:32" x14ac:dyDescent="0.3">
      <c r="AA1961" s="3">
        <v>16390.88</v>
      </c>
      <c r="AB1961">
        <v>1E-4</v>
      </c>
      <c r="AC1961">
        <v>8</v>
      </c>
      <c r="AD1961" s="5">
        <v>4.9978897399386675</v>
      </c>
      <c r="AE1961" s="5">
        <v>2.2513743058794078</v>
      </c>
      <c r="AF1961">
        <v>1</v>
      </c>
    </row>
    <row r="1962" spans="27:32" x14ac:dyDescent="0.3">
      <c r="AA1962" s="3">
        <v>5609.2</v>
      </c>
      <c r="AB1962">
        <v>1E-4</v>
      </c>
      <c r="AC1962">
        <v>8</v>
      </c>
      <c r="AD1962" s="5">
        <v>4.9099395373911037</v>
      </c>
      <c r="AE1962" s="5">
        <v>2.2591492669230231</v>
      </c>
      <c r="AF1962">
        <v>1</v>
      </c>
    </row>
    <row r="1963" spans="27:32" x14ac:dyDescent="0.3">
      <c r="AA1963" s="3">
        <v>35295.65</v>
      </c>
      <c r="AB1963">
        <v>1E-4</v>
      </c>
      <c r="AC1963">
        <v>7</v>
      </c>
      <c r="AD1963" s="5">
        <v>5.1605805745320428</v>
      </c>
      <c r="AE1963" s="5">
        <v>2.0998929848132364</v>
      </c>
      <c r="AF1963">
        <v>1</v>
      </c>
    </row>
    <row r="1964" spans="27:32" x14ac:dyDescent="0.3">
      <c r="AA1964" s="3">
        <v>-17401.82</v>
      </c>
      <c r="AB1964">
        <v>1E-4</v>
      </c>
      <c r="AC1964">
        <v>9</v>
      </c>
      <c r="AD1964" s="5">
        <v>4.9669832052791225</v>
      </c>
      <c r="AE1964" s="5">
        <v>2.1521684598103339</v>
      </c>
      <c r="AF1964">
        <v>1</v>
      </c>
    </row>
    <row r="1965" spans="27:32" x14ac:dyDescent="0.3">
      <c r="AA1965" s="3">
        <v>20534.12</v>
      </c>
      <c r="AB1965">
        <v>1E-4</v>
      </c>
      <c r="AC1965">
        <v>8</v>
      </c>
      <c r="AD1965" s="5">
        <v>5.0151663938645212</v>
      </c>
      <c r="AE1965" s="5">
        <v>2.1800514352798626</v>
      </c>
      <c r="AF1965">
        <v>1</v>
      </c>
    </row>
    <row r="1966" spans="27:32" x14ac:dyDescent="0.3">
      <c r="AA1966" s="3">
        <v>26276.91</v>
      </c>
      <c r="AB1966">
        <v>1E-4</v>
      </c>
      <c r="AC1966">
        <v>8</v>
      </c>
      <c r="AD1966" s="5">
        <v>4.9924445291433823</v>
      </c>
      <c r="AE1966" s="5">
        <v>2.2461846589817611</v>
      </c>
      <c r="AF1966">
        <v>1</v>
      </c>
    </row>
    <row r="1967" spans="27:32" x14ac:dyDescent="0.3">
      <c r="AA1967" s="3">
        <v>8147.57</v>
      </c>
      <c r="AB1967">
        <v>1E-4</v>
      </c>
      <c r="AC1967">
        <v>8</v>
      </c>
      <c r="AD1967" s="5">
        <v>4.9282086777637</v>
      </c>
      <c r="AE1967" s="5">
        <v>2.2465420089024826</v>
      </c>
      <c r="AF1967">
        <v>1</v>
      </c>
    </row>
    <row r="1968" spans="27:32" x14ac:dyDescent="0.3">
      <c r="AA1968" s="3">
        <v>20954.96</v>
      </c>
      <c r="AB1968">
        <v>1E-4</v>
      </c>
      <c r="AC1968">
        <v>8</v>
      </c>
      <c r="AD1968" s="5">
        <v>5.043410105476859</v>
      </c>
      <c r="AE1968" s="5">
        <v>2.1733757217496801</v>
      </c>
      <c r="AF1968">
        <v>1</v>
      </c>
    </row>
    <row r="1969" spans="27:32" x14ac:dyDescent="0.3">
      <c r="AA1969" s="3">
        <v>23380.99</v>
      </c>
      <c r="AB1969">
        <v>1E-4</v>
      </c>
      <c r="AC1969">
        <v>8</v>
      </c>
      <c r="AD1969" s="5">
        <v>4.905580716845626</v>
      </c>
      <c r="AE1969" s="5">
        <v>2.2159444122151188</v>
      </c>
      <c r="AF1969">
        <v>1</v>
      </c>
    </row>
    <row r="1970" spans="27:32" x14ac:dyDescent="0.3">
      <c r="AA1970" s="3">
        <v>13745.78</v>
      </c>
      <c r="AB1970">
        <v>1E-4</v>
      </c>
      <c r="AC1970">
        <v>8</v>
      </c>
      <c r="AD1970" s="5">
        <v>5.0418521374036818</v>
      </c>
      <c r="AE1970" s="5">
        <v>2.245113216506748</v>
      </c>
      <c r="AF1970">
        <v>1</v>
      </c>
    </row>
    <row r="1971" spans="27:32" x14ac:dyDescent="0.3">
      <c r="AA1971" s="3">
        <v>6960.44</v>
      </c>
      <c r="AB1971">
        <v>1E-4</v>
      </c>
      <c r="AC1971">
        <v>8</v>
      </c>
      <c r="AD1971" s="5">
        <v>5.1731877817290393</v>
      </c>
      <c r="AE1971" s="5">
        <v>2.221453397267851</v>
      </c>
      <c r="AF1971">
        <v>1</v>
      </c>
    </row>
    <row r="1972" spans="27:32" x14ac:dyDescent="0.3">
      <c r="AA1972" s="3">
        <v>6212.08</v>
      </c>
      <c r="AB1972">
        <v>1E-4</v>
      </c>
      <c r="AC1972">
        <v>8</v>
      </c>
      <c r="AD1972" s="5">
        <v>4.962811235763807</v>
      </c>
      <c r="AE1972" s="5">
        <v>2.2063216030295623</v>
      </c>
      <c r="AF1972">
        <v>1</v>
      </c>
    </row>
    <row r="1973" spans="27:32" x14ac:dyDescent="0.3">
      <c r="AA1973" s="3">
        <v>6316</v>
      </c>
      <c r="AB1973">
        <v>1E-4</v>
      </c>
      <c r="AC1973">
        <v>8</v>
      </c>
      <c r="AD1973" s="5">
        <v>4.8461026245856349</v>
      </c>
      <c r="AE1973" s="5">
        <v>2.1957704676557577</v>
      </c>
      <c r="AF1973">
        <v>1</v>
      </c>
    </row>
    <row r="1974" spans="27:32" x14ac:dyDescent="0.3">
      <c r="AA1974" s="3">
        <v>11266.63</v>
      </c>
      <c r="AB1974">
        <v>1E-4</v>
      </c>
      <c r="AC1974">
        <v>8</v>
      </c>
      <c r="AD1974" s="5">
        <v>4.8519509388674971</v>
      </c>
      <c r="AE1974" s="5">
        <v>2.1773252776275158</v>
      </c>
      <c r="AF1974">
        <v>1</v>
      </c>
    </row>
    <row r="1975" spans="27:32" x14ac:dyDescent="0.3">
      <c r="AA1975" s="3">
        <v>33342.22</v>
      </c>
      <c r="AB1975">
        <v>1E-4</v>
      </c>
      <c r="AC1975">
        <v>7</v>
      </c>
      <c r="AD1975" s="5">
        <v>5.1289734616426568</v>
      </c>
      <c r="AE1975" s="5">
        <v>2.1338534865091585</v>
      </c>
      <c r="AF1975">
        <v>1</v>
      </c>
    </row>
    <row r="1976" spans="27:32" x14ac:dyDescent="0.3">
      <c r="AA1976" s="3">
        <v>-20567.589436460414</v>
      </c>
      <c r="AB1976">
        <v>1E-4</v>
      </c>
      <c r="AC1976">
        <v>9</v>
      </c>
      <c r="AD1976" s="5">
        <v>4.9162613907395434</v>
      </c>
      <c r="AE1976" s="5">
        <v>2.0943771808134519</v>
      </c>
      <c r="AF1976">
        <v>0</v>
      </c>
    </row>
    <row r="1977" spans="27:32" x14ac:dyDescent="0.3">
      <c r="AA1977" s="3">
        <v>-19811.95</v>
      </c>
      <c r="AB1977">
        <v>1E-4</v>
      </c>
      <c r="AC1977">
        <v>9</v>
      </c>
      <c r="AD1977" s="5">
        <v>4.859614826759791</v>
      </c>
      <c r="AE1977" s="5">
        <v>2.1999917860967315</v>
      </c>
      <c r="AF1977">
        <v>1</v>
      </c>
    </row>
    <row r="1978" spans="27:32" x14ac:dyDescent="0.3">
      <c r="AA1978" s="3">
        <v>1531.81</v>
      </c>
      <c r="AB1978">
        <v>1E-4</v>
      </c>
      <c r="AC1978">
        <v>8</v>
      </c>
      <c r="AD1978" s="5">
        <v>4.9616474791226732</v>
      </c>
      <c r="AE1978" s="5">
        <v>2.1630578217800718</v>
      </c>
      <c r="AF1978">
        <v>1</v>
      </c>
    </row>
    <row r="1979" spans="27:32" x14ac:dyDescent="0.3">
      <c r="AA1979" s="3">
        <v>17778.84</v>
      </c>
      <c r="AB1979">
        <v>1E-4</v>
      </c>
      <c r="AC1979">
        <v>8</v>
      </c>
      <c r="AD1979" s="5">
        <v>5.0117412287565353</v>
      </c>
      <c r="AE1979" s="5">
        <v>2.2263994674040148</v>
      </c>
      <c r="AF1979">
        <v>1</v>
      </c>
    </row>
    <row r="1980" spans="27:32" x14ac:dyDescent="0.3">
      <c r="AA1980" s="3">
        <v>2195.36</v>
      </c>
      <c r="AB1980">
        <v>1E-4</v>
      </c>
      <c r="AC1980">
        <v>8</v>
      </c>
      <c r="AD1980" s="5">
        <v>4.9649037834597989</v>
      </c>
      <c r="AE1980" s="5">
        <v>2.2254885515204523</v>
      </c>
      <c r="AF1980">
        <v>1</v>
      </c>
    </row>
    <row r="1981" spans="27:32" x14ac:dyDescent="0.3">
      <c r="AA1981" s="3">
        <v>1369.04</v>
      </c>
      <c r="AB1981">
        <v>1E-4</v>
      </c>
      <c r="AC1981">
        <v>8</v>
      </c>
      <c r="AD1981" s="5">
        <v>5.0119392504720377</v>
      </c>
      <c r="AE1981" s="5">
        <v>2.227858915149219</v>
      </c>
      <c r="AF1981">
        <v>1</v>
      </c>
    </row>
    <row r="1982" spans="27:32" x14ac:dyDescent="0.3">
      <c r="AA1982" s="3">
        <v>43967.42</v>
      </c>
      <c r="AB1982">
        <v>1E-4</v>
      </c>
      <c r="AC1982">
        <v>7</v>
      </c>
      <c r="AD1982" s="5">
        <v>5.0061266533724158</v>
      </c>
      <c r="AE1982" s="5">
        <v>2.1728223526169668</v>
      </c>
      <c r="AF1982">
        <v>1</v>
      </c>
    </row>
    <row r="1983" spans="27:32" x14ac:dyDescent="0.3">
      <c r="AA1983" s="3">
        <v>-11771.15</v>
      </c>
      <c r="AB1983">
        <v>1E-4</v>
      </c>
      <c r="AC1983">
        <v>9</v>
      </c>
      <c r="AD1983" s="5">
        <v>5.0551947421431835</v>
      </c>
      <c r="AE1983" s="5">
        <v>2.0741130422398859</v>
      </c>
      <c r="AF1983">
        <v>1</v>
      </c>
    </row>
    <row r="1984" spans="27:32" x14ac:dyDescent="0.3">
      <c r="AA1984" s="3">
        <v>22105.9</v>
      </c>
      <c r="AB1984">
        <v>1E-4</v>
      </c>
      <c r="AC1984">
        <v>8</v>
      </c>
      <c r="AD1984" s="5">
        <v>5.0387475643594133</v>
      </c>
      <c r="AE1984" s="5">
        <v>2.2377930497136225</v>
      </c>
      <c r="AF1984">
        <v>1</v>
      </c>
    </row>
    <row r="1985" spans="27:32" x14ac:dyDescent="0.3">
      <c r="AA1985" s="3">
        <v>29018.26</v>
      </c>
      <c r="AB1985">
        <v>1E-4</v>
      </c>
      <c r="AC1985">
        <v>7</v>
      </c>
      <c r="AD1985" s="5">
        <v>5.0016023312276374</v>
      </c>
      <c r="AE1985" s="5">
        <v>2.206255642968681</v>
      </c>
      <c r="AF1985">
        <v>1</v>
      </c>
    </row>
    <row r="1986" spans="27:32" x14ac:dyDescent="0.3">
      <c r="AA1986" s="3">
        <v>11880.91</v>
      </c>
      <c r="AB1986">
        <v>1E-4</v>
      </c>
      <c r="AC1986">
        <v>8</v>
      </c>
      <c r="AD1986" s="5">
        <v>5.0240160470623225</v>
      </c>
      <c r="AE1986" s="5">
        <v>2.1914028269447154</v>
      </c>
      <c r="AF1986">
        <v>1</v>
      </c>
    </row>
    <row r="1987" spans="27:32" x14ac:dyDescent="0.3">
      <c r="AA1987" s="3">
        <v>-697.15</v>
      </c>
      <c r="AB1987">
        <v>1E-4</v>
      </c>
      <c r="AC1987">
        <v>9</v>
      </c>
      <c r="AD1987" s="5">
        <v>4.8408939121507375</v>
      </c>
      <c r="AE1987" s="5">
        <v>2.2714551817192485</v>
      </c>
      <c r="AF1987">
        <v>1</v>
      </c>
    </row>
    <row r="1988" spans="27:32" x14ac:dyDescent="0.3">
      <c r="AA1988" s="3">
        <v>12391.66</v>
      </c>
      <c r="AB1988">
        <v>1E-4</v>
      </c>
      <c r="AC1988">
        <v>8</v>
      </c>
      <c r="AD1988" s="5">
        <v>4.9973276524400161</v>
      </c>
      <c r="AE1988" s="5">
        <v>2.260454480924285</v>
      </c>
      <c r="AF1988">
        <v>1</v>
      </c>
    </row>
    <row r="1989" spans="27:32" x14ac:dyDescent="0.3">
      <c r="AA1989" s="3">
        <v>18979.740000000002</v>
      </c>
      <c r="AB1989">
        <v>1E-4</v>
      </c>
      <c r="AC1989">
        <v>8</v>
      </c>
      <c r="AD1989" s="5">
        <v>4.9132805706541705</v>
      </c>
      <c r="AE1989" s="5">
        <v>2.1951361055542118</v>
      </c>
      <c r="AF1989">
        <v>1</v>
      </c>
    </row>
    <row r="1990" spans="27:32" x14ac:dyDescent="0.3">
      <c r="AA1990" s="3">
        <v>8768.81</v>
      </c>
      <c r="AB1990">
        <v>1E-4</v>
      </c>
      <c r="AC1990">
        <v>8</v>
      </c>
      <c r="AD1990" s="5">
        <v>5.0418617025781645</v>
      </c>
      <c r="AE1990" s="5">
        <v>2.2123116718184046</v>
      </c>
      <c r="AF1990">
        <v>1</v>
      </c>
    </row>
    <row r="1991" spans="27:32" x14ac:dyDescent="0.3">
      <c r="AA1991" s="3">
        <v>1144.24</v>
      </c>
      <c r="AB1991">
        <v>1E-4</v>
      </c>
      <c r="AC1991">
        <v>8</v>
      </c>
      <c r="AD1991" s="5">
        <v>4.9808521781289032</v>
      </c>
      <c r="AE1991" s="5">
        <v>2.22746995870602</v>
      </c>
      <c r="AF1991">
        <v>1</v>
      </c>
    </row>
    <row r="1992" spans="27:32" x14ac:dyDescent="0.3">
      <c r="AA1992" s="3">
        <v>-7350.47</v>
      </c>
      <c r="AB1992">
        <v>1E-4</v>
      </c>
      <c r="AC1992">
        <v>9</v>
      </c>
      <c r="AD1992" s="5">
        <v>5.0446350475002522</v>
      </c>
      <c r="AE1992" s="5">
        <v>2.1645187786067601</v>
      </c>
      <c r="AF1992">
        <v>1</v>
      </c>
    </row>
    <row r="1993" spans="27:32" x14ac:dyDescent="0.3">
      <c r="AA1993" s="3">
        <v>-8744.85</v>
      </c>
      <c r="AB1993">
        <v>1E-4</v>
      </c>
      <c r="AC1993">
        <v>9</v>
      </c>
      <c r="AD1993" s="5">
        <v>4.9309514465211022</v>
      </c>
      <c r="AE1993" s="5">
        <v>2.2217076608396833</v>
      </c>
      <c r="AF1993">
        <v>1</v>
      </c>
    </row>
    <row r="1994" spans="27:32" x14ac:dyDescent="0.3">
      <c r="AA1994" s="3">
        <v>26424.86</v>
      </c>
      <c r="AB1994">
        <v>1E-4</v>
      </c>
      <c r="AC1994">
        <v>8</v>
      </c>
      <c r="AD1994" s="5">
        <v>5.084118669052403</v>
      </c>
      <c r="AE1994" s="5">
        <v>2.1720965819805134</v>
      </c>
      <c r="AF1994">
        <v>1</v>
      </c>
    </row>
    <row r="1995" spans="27:32" x14ac:dyDescent="0.3">
      <c r="AA1995" s="3">
        <v>-5753.75</v>
      </c>
      <c r="AB1995">
        <v>1E-4</v>
      </c>
      <c r="AC1995">
        <v>9</v>
      </c>
      <c r="AD1995" s="5">
        <v>5.070428160134921</v>
      </c>
      <c r="AE1995" s="5">
        <v>2.2855032747780699</v>
      </c>
      <c r="AF1995">
        <v>1</v>
      </c>
    </row>
    <row r="1996" spans="27:32" x14ac:dyDescent="0.3">
      <c r="AA1996" s="3">
        <v>24888.44</v>
      </c>
      <c r="AB1996">
        <v>1E-4</v>
      </c>
      <c r="AC1996">
        <v>8</v>
      </c>
      <c r="AD1996" s="5">
        <v>5.102957631511992</v>
      </c>
      <c r="AE1996" s="5">
        <v>2.2345737601892357</v>
      </c>
      <c r="AF1996">
        <v>1</v>
      </c>
    </row>
    <row r="1997" spans="27:32" x14ac:dyDescent="0.3">
      <c r="AA1997" s="3">
        <v>10852.51</v>
      </c>
      <c r="AB1997">
        <v>1E-4</v>
      </c>
      <c r="AC1997">
        <v>8</v>
      </c>
      <c r="AD1997" s="5">
        <v>5.0436924401963674</v>
      </c>
      <c r="AE1997" s="5">
        <v>2.2431561124395434</v>
      </c>
      <c r="AF1997">
        <v>1</v>
      </c>
    </row>
    <row r="1998" spans="27:32" x14ac:dyDescent="0.3">
      <c r="AA1998" s="3">
        <v>-5690.87</v>
      </c>
      <c r="AB1998">
        <v>1E-4</v>
      </c>
      <c r="AC1998">
        <v>9</v>
      </c>
      <c r="AD1998" s="5">
        <v>4.9053327262906121</v>
      </c>
      <c r="AE1998" s="5">
        <v>2.2413232954089262</v>
      </c>
      <c r="AF1998">
        <v>1</v>
      </c>
    </row>
    <row r="1999" spans="27:32" x14ac:dyDescent="0.3">
      <c r="AA1999" s="3">
        <v>42253.45</v>
      </c>
      <c r="AB1999">
        <v>1E-4</v>
      </c>
      <c r="AC1999">
        <v>7</v>
      </c>
      <c r="AD1999" s="5">
        <v>4.9441647973514904</v>
      </c>
      <c r="AE1999" s="5">
        <v>2.1832865300155508</v>
      </c>
      <c r="AF1999">
        <v>1</v>
      </c>
    </row>
    <row r="2000" spans="27:32" x14ac:dyDescent="0.3">
      <c r="AA2000" s="3">
        <v>-10255.530000000001</v>
      </c>
      <c r="AB2000">
        <v>1E-4</v>
      </c>
      <c r="AC2000">
        <v>9</v>
      </c>
      <c r="AD2000" s="5">
        <v>5.131934196578932</v>
      </c>
      <c r="AE2000" s="5">
        <v>2.3096087015914635</v>
      </c>
      <c r="AF2000">
        <v>1</v>
      </c>
    </row>
    <row r="2001" spans="27:32" x14ac:dyDescent="0.3">
      <c r="AA2001" s="3">
        <v>14530.65</v>
      </c>
      <c r="AB2001">
        <v>1E-4</v>
      </c>
      <c r="AC2001">
        <v>8</v>
      </c>
      <c r="AD2001" s="5">
        <v>4.8962733999275931</v>
      </c>
      <c r="AE2001" s="5">
        <v>2.1833383134380728</v>
      </c>
      <c r="AF2001">
        <v>1</v>
      </c>
    </row>
    <row r="2002" spans="27:32" x14ac:dyDescent="0.3">
      <c r="AA2002" s="3">
        <v>9726.4</v>
      </c>
      <c r="AB2002">
        <v>1E-4</v>
      </c>
      <c r="AC2002">
        <v>8</v>
      </c>
      <c r="AD2002" s="5">
        <v>5.0346395818414322</v>
      </c>
      <c r="AE2002" s="5">
        <v>2.2191707755158485</v>
      </c>
      <c r="AF2002">
        <v>1</v>
      </c>
    </row>
    <row r="2003" spans="27:32" x14ac:dyDescent="0.3">
      <c r="AA2003" s="3">
        <v>49756.2</v>
      </c>
      <c r="AB2003">
        <v>1E-4</v>
      </c>
      <c r="AC2003">
        <v>7</v>
      </c>
      <c r="AD2003" s="5">
        <v>5.0998583969004017</v>
      </c>
      <c r="AE2003" s="5">
        <v>2.0786284332908056</v>
      </c>
      <c r="AF2003">
        <v>1</v>
      </c>
    </row>
    <row r="2004" spans="27:32" x14ac:dyDescent="0.3">
      <c r="AA2004" s="3">
        <v>11105.63</v>
      </c>
      <c r="AB2004">
        <v>1E-4</v>
      </c>
      <c r="AC2004">
        <v>8</v>
      </c>
      <c r="AD2004" s="5">
        <v>5.0508966992337836</v>
      </c>
      <c r="AE2004" s="5">
        <v>2.1830939906702262</v>
      </c>
      <c r="AF2004">
        <v>1</v>
      </c>
    </row>
    <row r="2005" spans="27:32" x14ac:dyDescent="0.3">
      <c r="AA2005" s="3">
        <v>-11150.5</v>
      </c>
      <c r="AB2005">
        <v>1E-4</v>
      </c>
      <c r="AC2005">
        <v>9</v>
      </c>
      <c r="AD2005" s="5">
        <v>4.9763228590940924</v>
      </c>
      <c r="AE2005" s="5">
        <v>2.2126314061335148</v>
      </c>
      <c r="AF2005">
        <v>1</v>
      </c>
    </row>
    <row r="2006" spans="27:32" x14ac:dyDescent="0.3">
      <c r="AA2006" s="3">
        <v>20554.96</v>
      </c>
      <c r="AB2006">
        <v>1E-4</v>
      </c>
      <c r="AC2006">
        <v>8</v>
      </c>
      <c r="AD2006" s="5">
        <v>5.0511737170865159</v>
      </c>
      <c r="AE2006" s="5">
        <v>2.2688432977962427</v>
      </c>
      <c r="AF2006">
        <v>1</v>
      </c>
    </row>
    <row r="2007" spans="27:32" x14ac:dyDescent="0.3">
      <c r="AA2007" s="3">
        <v>38785.910000000003</v>
      </c>
      <c r="AB2007">
        <v>1E-4</v>
      </c>
      <c r="AC2007">
        <v>7</v>
      </c>
      <c r="AD2007" s="5">
        <v>5.0371336952456867</v>
      </c>
      <c r="AE2007" s="5">
        <v>2.2104099774567585</v>
      </c>
      <c r="AF2007">
        <v>1</v>
      </c>
    </row>
    <row r="2008" spans="27:32" x14ac:dyDescent="0.3">
      <c r="AA2008" s="3">
        <v>5737.79</v>
      </c>
      <c r="AB2008">
        <v>1E-4</v>
      </c>
      <c r="AC2008">
        <v>8</v>
      </c>
      <c r="AD2008" s="5">
        <v>4.9609474007501193</v>
      </c>
      <c r="AE2008" s="5">
        <v>2.2729048622236765</v>
      </c>
      <c r="AF2008">
        <v>1</v>
      </c>
    </row>
    <row r="2009" spans="27:32" x14ac:dyDescent="0.3">
      <c r="AA2009" s="3">
        <v>-1648.57</v>
      </c>
      <c r="AB2009">
        <v>1E-4</v>
      </c>
      <c r="AC2009">
        <v>9</v>
      </c>
      <c r="AD2009" s="5">
        <v>4.9197704495654584</v>
      </c>
      <c r="AE2009" s="5">
        <v>2.1946212738037567</v>
      </c>
      <c r="AF2009">
        <v>1</v>
      </c>
    </row>
    <row r="2010" spans="27:32" x14ac:dyDescent="0.3">
      <c r="AA2010" s="3">
        <v>19423.12</v>
      </c>
      <c r="AB2010">
        <v>1E-4</v>
      </c>
      <c r="AC2010">
        <v>8</v>
      </c>
      <c r="AD2010" s="5">
        <v>4.9433277962334579</v>
      </c>
      <c r="AE2010" s="5">
        <v>2.2634555758559141</v>
      </c>
      <c r="AF2010">
        <v>1</v>
      </c>
    </row>
    <row r="2011" spans="27:32" x14ac:dyDescent="0.3">
      <c r="AA2011" s="3">
        <v>31496.91</v>
      </c>
      <c r="AB2011">
        <v>1E-4</v>
      </c>
      <c r="AC2011">
        <v>7</v>
      </c>
      <c r="AD2011" s="5">
        <v>5.0035060687752706</v>
      </c>
      <c r="AE2011" s="5">
        <v>2.1808297494891451</v>
      </c>
      <c r="AF2011">
        <v>1</v>
      </c>
    </row>
    <row r="2012" spans="27:32" x14ac:dyDescent="0.3">
      <c r="AA2012" s="3">
        <v>821.15</v>
      </c>
      <c r="AB2012">
        <v>1E-4</v>
      </c>
      <c r="AC2012">
        <v>8</v>
      </c>
      <c r="AD2012" s="5">
        <v>4.9356656906271601</v>
      </c>
      <c r="AE2012" s="5">
        <v>2.1324301291028451</v>
      </c>
      <c r="AF2012">
        <v>1</v>
      </c>
    </row>
    <row r="2013" spans="27:32" x14ac:dyDescent="0.3">
      <c r="AA2013" s="3">
        <v>17721.080000000002</v>
      </c>
      <c r="AB2013">
        <v>1E-4</v>
      </c>
      <c r="AC2013">
        <v>8</v>
      </c>
      <c r="AD2013" s="5">
        <v>4.9734999118611452</v>
      </c>
      <c r="AE2013" s="5">
        <v>2.2166244497658916</v>
      </c>
      <c r="AF2013">
        <v>1</v>
      </c>
    </row>
    <row r="2014" spans="27:32" x14ac:dyDescent="0.3">
      <c r="AA2014" s="3">
        <v>37032.720000000001</v>
      </c>
      <c r="AB2014">
        <v>1E-4</v>
      </c>
      <c r="AC2014">
        <v>7</v>
      </c>
      <c r="AD2014" s="5">
        <v>4.9869175886928012</v>
      </c>
      <c r="AE2014" s="5">
        <v>2.1075863445345995</v>
      </c>
      <c r="AF2014">
        <v>1</v>
      </c>
    </row>
    <row r="2015" spans="27:32" x14ac:dyDescent="0.3">
      <c r="AA2015" s="3">
        <v>3969.58</v>
      </c>
      <c r="AB2015">
        <v>1E-4</v>
      </c>
      <c r="AC2015">
        <v>8</v>
      </c>
      <c r="AD2015" s="5">
        <v>5.0579864223892983</v>
      </c>
      <c r="AE2015" s="5">
        <v>2.1802802373504959</v>
      </c>
      <c r="AF2015">
        <v>1</v>
      </c>
    </row>
    <row r="2016" spans="27:32" x14ac:dyDescent="0.3">
      <c r="AA2016" s="3">
        <v>-4907</v>
      </c>
      <c r="AB2016">
        <v>1E-4</v>
      </c>
      <c r="AC2016">
        <v>9</v>
      </c>
      <c r="AD2016" s="5">
        <v>4.8996542835532342</v>
      </c>
      <c r="AE2016" s="5">
        <v>2.2073612461579128</v>
      </c>
      <c r="AF2016">
        <v>1</v>
      </c>
    </row>
    <row r="2017" spans="27:32" x14ac:dyDescent="0.3">
      <c r="AA2017" s="3">
        <v>-5020.8599999999997</v>
      </c>
      <c r="AB2017">
        <v>1E-4</v>
      </c>
      <c r="AC2017">
        <v>9</v>
      </c>
      <c r="AD2017" s="5">
        <v>4.9513838402243397</v>
      </c>
      <c r="AE2017" s="5">
        <v>2.1591462241046981</v>
      </c>
      <c r="AF2017">
        <v>1</v>
      </c>
    </row>
    <row r="2018" spans="27:32" x14ac:dyDescent="0.3">
      <c r="AA2018" s="3">
        <v>28265.18</v>
      </c>
      <c r="AB2018">
        <v>1E-4</v>
      </c>
      <c r="AC2018">
        <v>8</v>
      </c>
      <c r="AD2018" s="5">
        <v>5.0029237873929588</v>
      </c>
      <c r="AE2018" s="5">
        <v>2.2911538593566396</v>
      </c>
      <c r="AF2018">
        <v>1</v>
      </c>
    </row>
    <row r="2019" spans="27:32" x14ac:dyDescent="0.3">
      <c r="AA2019" s="3">
        <v>28984.36</v>
      </c>
      <c r="AB2019">
        <v>1E-4</v>
      </c>
      <c r="AC2019">
        <v>8</v>
      </c>
      <c r="AD2019" s="5">
        <v>4.9330835096283607</v>
      </c>
      <c r="AE2019" s="5">
        <v>2.0956911540457011</v>
      </c>
      <c r="AF2019">
        <v>1</v>
      </c>
    </row>
    <row r="2020" spans="27:32" x14ac:dyDescent="0.3">
      <c r="AA2020" s="3">
        <v>25069.05</v>
      </c>
      <c r="AB2020">
        <v>1E-4</v>
      </c>
      <c r="AC2020">
        <v>8</v>
      </c>
      <c r="AD2020" s="5">
        <v>5.2401351155890108</v>
      </c>
      <c r="AE2020" s="5">
        <v>2.2302308620205675</v>
      </c>
      <c r="AF2020">
        <v>1</v>
      </c>
    </row>
    <row r="2021" spans="27:32" x14ac:dyDescent="0.3">
      <c r="AA2021" s="3">
        <v>2153.3000000000002</v>
      </c>
      <c r="AB2021">
        <v>1E-4</v>
      </c>
      <c r="AC2021">
        <v>8</v>
      </c>
      <c r="AD2021" s="5">
        <v>4.9924855396009988</v>
      </c>
      <c r="AE2021" s="5">
        <v>2.154223249215073</v>
      </c>
      <c r="AF2021">
        <v>1</v>
      </c>
    </row>
    <row r="2022" spans="27:32" x14ac:dyDescent="0.3">
      <c r="AA2022" s="3">
        <v>48352.86</v>
      </c>
      <c r="AB2022">
        <v>1E-4</v>
      </c>
      <c r="AC2022">
        <v>6</v>
      </c>
      <c r="AD2022" s="5">
        <v>4.9539875237362212</v>
      </c>
      <c r="AE2022" s="5">
        <v>2.0795275467006555</v>
      </c>
      <c r="AF2022">
        <v>1</v>
      </c>
    </row>
    <row r="2023" spans="27:32" x14ac:dyDescent="0.3">
      <c r="AA2023" s="3">
        <v>-14044.35</v>
      </c>
      <c r="AB2023">
        <v>1E-4</v>
      </c>
      <c r="AC2023">
        <v>9</v>
      </c>
      <c r="AD2023" s="5">
        <v>4.9435357874236656</v>
      </c>
      <c r="AE2023" s="5">
        <v>2.2396583632540934</v>
      </c>
      <c r="AF2023">
        <v>1</v>
      </c>
    </row>
    <row r="2024" spans="27:32" x14ac:dyDescent="0.3">
      <c r="AA2024" s="3">
        <v>12574.01</v>
      </c>
      <c r="AB2024">
        <v>1E-4</v>
      </c>
      <c r="AC2024">
        <v>8</v>
      </c>
      <c r="AD2024" s="5">
        <v>4.8910088509424394</v>
      </c>
      <c r="AE2024" s="5">
        <v>2.2274446845848539</v>
      </c>
      <c r="AF2024">
        <v>1</v>
      </c>
    </row>
    <row r="2025" spans="27:32" x14ac:dyDescent="0.3">
      <c r="AA2025" s="3">
        <v>14328.37</v>
      </c>
      <c r="AB2025">
        <v>1E-4</v>
      </c>
      <c r="AC2025">
        <v>8</v>
      </c>
      <c r="AD2025" s="5">
        <v>4.9742016193271663</v>
      </c>
      <c r="AE2025" s="5">
        <v>2.2979510433641726</v>
      </c>
      <c r="AF2025">
        <v>1</v>
      </c>
    </row>
    <row r="2026" spans="27:32" x14ac:dyDescent="0.3">
      <c r="AA2026" s="3">
        <v>-2829.49</v>
      </c>
      <c r="AB2026">
        <v>1E-4</v>
      </c>
      <c r="AC2026">
        <v>9</v>
      </c>
      <c r="AD2026" s="5">
        <v>4.9144004025715917</v>
      </c>
      <c r="AE2026" s="5">
        <v>2.2477319229213824</v>
      </c>
      <c r="AF2026">
        <v>1</v>
      </c>
    </row>
    <row r="2027" spans="27:32" x14ac:dyDescent="0.3">
      <c r="AA2027" s="3">
        <v>-7991</v>
      </c>
      <c r="AB2027">
        <v>1E-4</v>
      </c>
      <c r="AC2027">
        <v>9</v>
      </c>
      <c r="AD2027" s="5">
        <v>4.9683272197537507</v>
      </c>
      <c r="AE2027" s="5">
        <v>2.22883240739236</v>
      </c>
      <c r="AF2027">
        <v>1</v>
      </c>
    </row>
    <row r="2028" spans="27:32" x14ac:dyDescent="0.3">
      <c r="AA2028" s="3">
        <v>5848.39</v>
      </c>
      <c r="AB2028">
        <v>1E-4</v>
      </c>
      <c r="AC2028">
        <v>8</v>
      </c>
      <c r="AD2028" s="5">
        <v>5.0917439190693035</v>
      </c>
      <c r="AE2028" s="5">
        <v>2.1670347911809875</v>
      </c>
      <c r="AF2028">
        <v>1</v>
      </c>
    </row>
    <row r="2029" spans="27:32" x14ac:dyDescent="0.3">
      <c r="AA2029" s="3">
        <v>52366.81</v>
      </c>
      <c r="AB2029">
        <v>1E-4</v>
      </c>
      <c r="AC2029">
        <v>6</v>
      </c>
      <c r="AD2029" s="5">
        <v>5.1616303096120797</v>
      </c>
      <c r="AE2029" s="5">
        <v>2.2343429581173644</v>
      </c>
      <c r="AF2029">
        <v>1</v>
      </c>
    </row>
    <row r="2030" spans="27:32" x14ac:dyDescent="0.3">
      <c r="AA2030" s="3">
        <v>37581.550000000003</v>
      </c>
      <c r="AB2030">
        <v>1E-4</v>
      </c>
      <c r="AC2030">
        <v>7</v>
      </c>
      <c r="AD2030" s="5">
        <v>5.1977195777805418</v>
      </c>
      <c r="AE2030" s="5">
        <v>2.2422541443126711</v>
      </c>
      <c r="AF2030">
        <v>1</v>
      </c>
    </row>
    <row r="2031" spans="27:32" x14ac:dyDescent="0.3">
      <c r="AA2031" s="3">
        <v>21232.49</v>
      </c>
      <c r="AB2031">
        <v>1E-4</v>
      </c>
      <c r="AC2031">
        <v>8</v>
      </c>
      <c r="AD2031" s="5">
        <v>4.9180912092468656</v>
      </c>
      <c r="AE2031" s="5">
        <v>2.142582325440721</v>
      </c>
      <c r="AF2031">
        <v>1</v>
      </c>
    </row>
    <row r="2032" spans="27:32" x14ac:dyDescent="0.3">
      <c r="AA2032" s="3">
        <v>2088.1999999999998</v>
      </c>
      <c r="AB2032">
        <v>1E-4</v>
      </c>
      <c r="AC2032">
        <v>8</v>
      </c>
      <c r="AD2032" s="5">
        <v>4.9886200661193225</v>
      </c>
      <c r="AE2032" s="5">
        <v>2.2244936401565503</v>
      </c>
      <c r="AF2032">
        <v>1</v>
      </c>
    </row>
    <row r="2033" spans="27:32" x14ac:dyDescent="0.3">
      <c r="AA2033" s="3">
        <v>6032.69</v>
      </c>
      <c r="AB2033">
        <v>1E-4</v>
      </c>
      <c r="AC2033">
        <v>8</v>
      </c>
      <c r="AD2033" s="5">
        <v>4.9847909166020781</v>
      </c>
      <c r="AE2033" s="5">
        <v>2.1922752436077482</v>
      </c>
      <c r="AF2033">
        <v>1</v>
      </c>
    </row>
    <row r="2034" spans="27:32" x14ac:dyDescent="0.3">
      <c r="AA2034" s="3">
        <v>12950.38</v>
      </c>
      <c r="AB2034">
        <v>1E-4</v>
      </c>
      <c r="AC2034">
        <v>8</v>
      </c>
      <c r="AD2034" s="5">
        <v>4.948759743099413</v>
      </c>
      <c r="AE2034" s="5">
        <v>2.2276027980094648</v>
      </c>
      <c r="AF2034">
        <v>1</v>
      </c>
    </row>
    <row r="2035" spans="27:32" x14ac:dyDescent="0.3">
      <c r="AA2035" s="3">
        <v>14218.92</v>
      </c>
      <c r="AB2035">
        <v>1E-4</v>
      </c>
      <c r="AC2035">
        <v>8</v>
      </c>
      <c r="AD2035" s="5">
        <v>4.9373218575113222</v>
      </c>
      <c r="AE2035" s="5">
        <v>2.2182576361500086</v>
      </c>
      <c r="AF2035">
        <v>1</v>
      </c>
    </row>
    <row r="2036" spans="27:32" x14ac:dyDescent="0.3">
      <c r="AA2036" s="3">
        <v>5471.72</v>
      </c>
      <c r="AB2036">
        <v>1E-4</v>
      </c>
      <c r="AC2036">
        <v>8</v>
      </c>
      <c r="AD2036" s="5">
        <v>4.9104255218859345</v>
      </c>
      <c r="AE2036" s="5">
        <v>2.166427578469901</v>
      </c>
      <c r="AF2036">
        <v>1</v>
      </c>
    </row>
    <row r="2037" spans="27:32" x14ac:dyDescent="0.3">
      <c r="AA2037" s="3">
        <v>-19356.16</v>
      </c>
      <c r="AB2037">
        <v>1E-4</v>
      </c>
      <c r="AC2037">
        <v>9</v>
      </c>
      <c r="AD2037" s="5">
        <v>5.0364235504968153</v>
      </c>
      <c r="AE2037" s="5">
        <v>2.2055268111691531</v>
      </c>
      <c r="AF2037">
        <v>1</v>
      </c>
    </row>
    <row r="2038" spans="27:32" x14ac:dyDescent="0.3">
      <c r="AA2038" s="3">
        <v>53875.98</v>
      </c>
      <c r="AB2038">
        <v>1E-4</v>
      </c>
      <c r="AC2038">
        <v>6</v>
      </c>
      <c r="AD2038" s="5">
        <v>5.1160514229245884</v>
      </c>
      <c r="AE2038" s="5">
        <v>2.1929438392617402</v>
      </c>
      <c r="AF2038">
        <v>1</v>
      </c>
    </row>
    <row r="2039" spans="27:32" x14ac:dyDescent="0.3">
      <c r="AA2039" s="3">
        <v>969.73</v>
      </c>
      <c r="AB2039">
        <v>1E-4</v>
      </c>
      <c r="AC2039">
        <v>8</v>
      </c>
      <c r="AD2039" s="5">
        <v>4.8041424108429931</v>
      </c>
      <c r="AE2039" s="5">
        <v>2.107842718881475</v>
      </c>
      <c r="AF2039">
        <v>1</v>
      </c>
    </row>
    <row r="2040" spans="27:32" x14ac:dyDescent="0.3">
      <c r="AA2040" s="3">
        <v>-47684.188622242888</v>
      </c>
      <c r="AB2040">
        <v>1E-4</v>
      </c>
      <c r="AC2040">
        <v>9</v>
      </c>
      <c r="AD2040" s="5">
        <v>4.7775423117512403</v>
      </c>
      <c r="AE2040" s="5">
        <v>2.1787703666846752</v>
      </c>
      <c r="AF2040">
        <v>0</v>
      </c>
    </row>
    <row r="2041" spans="27:32" x14ac:dyDescent="0.3">
      <c r="AA2041" s="3">
        <v>-8206.77</v>
      </c>
      <c r="AB2041">
        <v>1E-4</v>
      </c>
      <c r="AC2041">
        <v>9</v>
      </c>
      <c r="AD2041" s="5">
        <v>5.073168581102121</v>
      </c>
      <c r="AE2041" s="5">
        <v>2.2689512644945893</v>
      </c>
      <c r="AF2041">
        <v>1</v>
      </c>
    </row>
    <row r="2042" spans="27:32" x14ac:dyDescent="0.3">
      <c r="AA2042" s="3">
        <v>22930.79</v>
      </c>
      <c r="AB2042">
        <v>1E-4</v>
      </c>
      <c r="AC2042">
        <v>8</v>
      </c>
      <c r="AD2042" s="5">
        <v>4.9178279386496042</v>
      </c>
      <c r="AE2042" s="5">
        <v>2.1429785843723033</v>
      </c>
      <c r="AF2042">
        <v>1</v>
      </c>
    </row>
    <row r="2043" spans="27:32" x14ac:dyDescent="0.3">
      <c r="AA2043" s="3">
        <v>35898.43</v>
      </c>
      <c r="AB2043">
        <v>1E-4</v>
      </c>
      <c r="AC2043">
        <v>7</v>
      </c>
      <c r="AD2043" s="5">
        <v>5.2824390530894387</v>
      </c>
      <c r="AE2043" s="5">
        <v>2.2244941638944784</v>
      </c>
      <c r="AF2043">
        <v>1</v>
      </c>
    </row>
    <row r="2044" spans="27:32" x14ac:dyDescent="0.3">
      <c r="AA2044" s="3">
        <v>25786.32</v>
      </c>
      <c r="AB2044">
        <v>1E-4</v>
      </c>
      <c r="AC2044">
        <v>8</v>
      </c>
      <c r="AD2044" s="5">
        <v>5.0649156514352409</v>
      </c>
      <c r="AE2044" s="5">
        <v>2.201876332169471</v>
      </c>
      <c r="AF2044">
        <v>1</v>
      </c>
    </row>
    <row r="2045" spans="27:32" x14ac:dyDescent="0.3">
      <c r="AA2045" s="3">
        <v>23769.97</v>
      </c>
      <c r="AB2045">
        <v>1E-4</v>
      </c>
      <c r="AC2045">
        <v>8</v>
      </c>
      <c r="AD2045" s="5">
        <v>5.037362932059386</v>
      </c>
      <c r="AE2045" s="5">
        <v>2.2106579697394229</v>
      </c>
      <c r="AF2045">
        <v>1</v>
      </c>
    </row>
    <row r="2046" spans="27:32" x14ac:dyDescent="0.3">
      <c r="AA2046" s="3">
        <v>18741.53</v>
      </c>
      <c r="AB2046">
        <v>1E-4</v>
      </c>
      <c r="AC2046">
        <v>8</v>
      </c>
      <c r="AD2046" s="5">
        <v>4.9939577821150074</v>
      </c>
      <c r="AE2046" s="5">
        <v>2.2590705452669404</v>
      </c>
      <c r="AF2046">
        <v>1</v>
      </c>
    </row>
    <row r="2047" spans="27:32" x14ac:dyDescent="0.3">
      <c r="AA2047" s="3">
        <v>19782.23</v>
      </c>
      <c r="AB2047">
        <v>1E-4</v>
      </c>
      <c r="AC2047">
        <v>8</v>
      </c>
      <c r="AD2047" s="5">
        <v>5.0138319861287926</v>
      </c>
      <c r="AE2047" s="5">
        <v>2.1629302990921184</v>
      </c>
      <c r="AF2047">
        <v>1</v>
      </c>
    </row>
    <row r="2048" spans="27:32" x14ac:dyDescent="0.3">
      <c r="AA2048" s="3">
        <v>35191.480000000003</v>
      </c>
      <c r="AB2048">
        <v>1E-4</v>
      </c>
      <c r="AC2048">
        <v>7</v>
      </c>
      <c r="AD2048" s="5">
        <v>5.0958907838911598</v>
      </c>
      <c r="AE2048" s="5">
        <v>2.2986018932779144</v>
      </c>
      <c r="AF2048">
        <v>1</v>
      </c>
    </row>
    <row r="2049" spans="27:32" x14ac:dyDescent="0.3">
      <c r="AA2049" s="3">
        <v>27472.73</v>
      </c>
      <c r="AB2049">
        <v>1E-4</v>
      </c>
      <c r="AC2049">
        <v>8</v>
      </c>
      <c r="AD2049" s="5">
        <v>4.9338649928634144</v>
      </c>
      <c r="AE2049" s="5">
        <v>2.1907728692738404</v>
      </c>
      <c r="AF2049">
        <v>1</v>
      </c>
    </row>
    <row r="2050" spans="27:32" x14ac:dyDescent="0.3">
      <c r="AA2050" s="3">
        <v>41719.69</v>
      </c>
      <c r="AB2050">
        <v>1E-4</v>
      </c>
      <c r="AC2050">
        <v>7</v>
      </c>
      <c r="AD2050" s="5">
        <v>5.0820891302467981</v>
      </c>
      <c r="AE2050" s="5">
        <v>2.1822348353975247</v>
      </c>
      <c r="AF2050">
        <v>1</v>
      </c>
    </row>
    <row r="2051" spans="27:32" x14ac:dyDescent="0.3">
      <c r="AA2051" s="3">
        <v>12180.5</v>
      </c>
      <c r="AB2051">
        <v>1E-4</v>
      </c>
      <c r="AC2051">
        <v>8</v>
      </c>
      <c r="AD2051" s="5">
        <v>4.8894582828354194</v>
      </c>
      <c r="AE2051" s="5">
        <v>2.1854636929213878</v>
      </c>
      <c r="AF2051">
        <v>1</v>
      </c>
    </row>
    <row r="2052" spans="27:32" x14ac:dyDescent="0.3">
      <c r="AA2052" s="3">
        <v>14782.46</v>
      </c>
      <c r="AB2052">
        <v>1E-4</v>
      </c>
      <c r="AC2052">
        <v>8</v>
      </c>
      <c r="AD2052" s="5">
        <v>4.8986828954827768</v>
      </c>
      <c r="AE2052" s="5">
        <v>2.3207080856475892</v>
      </c>
      <c r="AF2052">
        <v>1</v>
      </c>
    </row>
    <row r="2053" spans="27:32" x14ac:dyDescent="0.3">
      <c r="AA2053" s="3">
        <v>25185.25</v>
      </c>
      <c r="AB2053">
        <v>1E-4</v>
      </c>
      <c r="AC2053">
        <v>8</v>
      </c>
      <c r="AD2053" s="5">
        <v>5.0565216155606496</v>
      </c>
      <c r="AE2053" s="5">
        <v>2.2569038723840458</v>
      </c>
      <c r="AF2053">
        <v>1</v>
      </c>
    </row>
    <row r="2054" spans="27:32" x14ac:dyDescent="0.3">
      <c r="AA2054" s="3">
        <v>-21551.62</v>
      </c>
      <c r="AB2054">
        <v>1E-4</v>
      </c>
      <c r="AC2054">
        <v>9</v>
      </c>
      <c r="AD2054" s="5">
        <v>4.8450805397442771</v>
      </c>
      <c r="AE2054" s="5">
        <v>2.1677883281713104</v>
      </c>
      <c r="AF2054">
        <v>1</v>
      </c>
    </row>
    <row r="2055" spans="27:32" x14ac:dyDescent="0.3">
      <c r="AA2055" s="3">
        <v>52697.9</v>
      </c>
      <c r="AB2055">
        <v>1E-4</v>
      </c>
      <c r="AC2055">
        <v>6</v>
      </c>
      <c r="AD2055" s="5">
        <v>5.0835049790276265</v>
      </c>
      <c r="AE2055" s="5">
        <v>2.1682906477509976</v>
      </c>
      <c r="AF2055">
        <v>1</v>
      </c>
    </row>
    <row r="2056" spans="27:32" x14ac:dyDescent="0.3">
      <c r="AA2056" s="3">
        <v>18049.060000000001</v>
      </c>
      <c r="AB2056">
        <v>1E-4</v>
      </c>
      <c r="AC2056">
        <v>8</v>
      </c>
      <c r="AD2056" s="5">
        <v>5.035145978539024</v>
      </c>
      <c r="AE2056" s="5">
        <v>2.2097105936738037</v>
      </c>
      <c r="AF2056">
        <v>1</v>
      </c>
    </row>
    <row r="2057" spans="27:32" x14ac:dyDescent="0.3">
      <c r="AA2057" s="3">
        <v>22148.02</v>
      </c>
      <c r="AB2057">
        <v>1E-4</v>
      </c>
      <c r="AC2057">
        <v>8</v>
      </c>
      <c r="AD2057" s="5">
        <v>4.9109161370994707</v>
      </c>
      <c r="AE2057" s="5">
        <v>2.2487055953735129</v>
      </c>
      <c r="AF2057">
        <v>1</v>
      </c>
    </row>
    <row r="2058" spans="27:32" x14ac:dyDescent="0.3">
      <c r="AA2058" s="3">
        <v>-244</v>
      </c>
      <c r="AB2058">
        <v>1E-4</v>
      </c>
      <c r="AC2058">
        <v>9</v>
      </c>
      <c r="AD2058" s="5">
        <v>4.9893879323815842</v>
      </c>
      <c r="AE2058" s="5">
        <v>2.2400472082351852</v>
      </c>
      <c r="AF2058">
        <v>1</v>
      </c>
    </row>
    <row r="2059" spans="27:32" x14ac:dyDescent="0.3">
      <c r="AA2059" s="3">
        <v>21210.81</v>
      </c>
      <c r="AB2059">
        <v>1E-4</v>
      </c>
      <c r="AC2059">
        <v>8</v>
      </c>
      <c r="AD2059" s="5">
        <v>5.1361777923836591</v>
      </c>
      <c r="AE2059" s="5">
        <v>2.2688977595696098</v>
      </c>
      <c r="AF2059">
        <v>1</v>
      </c>
    </row>
    <row r="2060" spans="27:32" x14ac:dyDescent="0.3">
      <c r="AA2060" s="3">
        <v>-3235.16</v>
      </c>
      <c r="AB2060">
        <v>1E-4</v>
      </c>
      <c r="AC2060">
        <v>9</v>
      </c>
      <c r="AD2060" s="5">
        <v>5.0069689332815557</v>
      </c>
      <c r="AE2060" s="5">
        <v>2.2284088868348357</v>
      </c>
      <c r="AF2060">
        <v>1</v>
      </c>
    </row>
    <row r="2061" spans="27:32" x14ac:dyDescent="0.3">
      <c r="AA2061" s="3">
        <v>22092.13</v>
      </c>
      <c r="AB2061">
        <v>1E-4</v>
      </c>
      <c r="AC2061">
        <v>8</v>
      </c>
      <c r="AD2061" s="5">
        <v>4.8787921360391744</v>
      </c>
      <c r="AE2061" s="5">
        <v>2.1902723556928438</v>
      </c>
      <c r="AF2061">
        <v>1</v>
      </c>
    </row>
    <row r="2062" spans="27:32" x14ac:dyDescent="0.3">
      <c r="AA2062" s="3">
        <v>28744.86</v>
      </c>
      <c r="AB2062">
        <v>1E-4</v>
      </c>
      <c r="AC2062">
        <v>8</v>
      </c>
      <c r="AD2062" s="5">
        <v>5.0306567283331596</v>
      </c>
      <c r="AE2062" s="5">
        <v>2.2308908760451356</v>
      </c>
      <c r="AF2062">
        <v>1</v>
      </c>
    </row>
    <row r="2063" spans="27:32" x14ac:dyDescent="0.3">
      <c r="AA2063" s="3">
        <v>4140.8999999999996</v>
      </c>
      <c r="AB2063">
        <v>1E-4</v>
      </c>
      <c r="AC2063">
        <v>8</v>
      </c>
      <c r="AD2063" s="5">
        <v>4.9884408795755579</v>
      </c>
      <c r="AE2063" s="5">
        <v>2.1724233786846567</v>
      </c>
      <c r="AF2063">
        <v>1</v>
      </c>
    </row>
    <row r="2064" spans="27:32" x14ac:dyDescent="0.3">
      <c r="AA2064" s="3">
        <v>20008.11</v>
      </c>
      <c r="AB2064">
        <v>1E-4</v>
      </c>
      <c r="AC2064">
        <v>8</v>
      </c>
      <c r="AD2064" s="5">
        <v>4.8639669472250997</v>
      </c>
      <c r="AE2064" s="5">
        <v>2.2860066524727367</v>
      </c>
      <c r="AF2064">
        <v>1</v>
      </c>
    </row>
    <row r="2065" spans="27:32" x14ac:dyDescent="0.3">
      <c r="AA2065" s="3">
        <v>14614.79</v>
      </c>
      <c r="AB2065">
        <v>1E-4</v>
      </c>
      <c r="AC2065">
        <v>8</v>
      </c>
      <c r="AD2065" s="5">
        <v>4.9626970800884411</v>
      </c>
      <c r="AE2065" s="5">
        <v>2.1664113926850237</v>
      </c>
      <c r="AF2065">
        <v>1</v>
      </c>
    </row>
    <row r="2066" spans="27:32" x14ac:dyDescent="0.3">
      <c r="AA2066" s="3">
        <v>5590.11</v>
      </c>
      <c r="AB2066">
        <v>1E-4</v>
      </c>
      <c r="AC2066">
        <v>8</v>
      </c>
      <c r="AD2066" s="5">
        <v>5.009646221978671</v>
      </c>
      <c r="AE2066" s="5">
        <v>2.2037622686317855</v>
      </c>
      <c r="AF2066">
        <v>1</v>
      </c>
    </row>
    <row r="2067" spans="27:32" x14ac:dyDescent="0.3">
      <c r="AA2067" s="3">
        <v>30337.119999999999</v>
      </c>
      <c r="AB2067">
        <v>1E-4</v>
      </c>
      <c r="AC2067">
        <v>7</v>
      </c>
      <c r="AD2067" s="5">
        <v>4.9235666621000851</v>
      </c>
      <c r="AE2067" s="5">
        <v>2.1640169087764667</v>
      </c>
      <c r="AF2067">
        <v>1</v>
      </c>
    </row>
    <row r="2068" spans="27:32" x14ac:dyDescent="0.3">
      <c r="AA2068" s="3">
        <v>15372.23</v>
      </c>
      <c r="AB2068">
        <v>1E-4</v>
      </c>
      <c r="AC2068">
        <v>8</v>
      </c>
      <c r="AD2068" s="5">
        <v>4.9112854496078624</v>
      </c>
      <c r="AE2068" s="5">
        <v>2.165298453672968</v>
      </c>
      <c r="AF2068">
        <v>1</v>
      </c>
    </row>
    <row r="2069" spans="27:32" x14ac:dyDescent="0.3">
      <c r="AA2069" s="3">
        <v>34105.1</v>
      </c>
      <c r="AB2069">
        <v>1E-4</v>
      </c>
      <c r="AC2069">
        <v>7</v>
      </c>
      <c r="AD2069" s="5">
        <v>4.9708446443079097</v>
      </c>
      <c r="AE2069" s="5">
        <v>2.1579428541772976</v>
      </c>
      <c r="AF2069">
        <v>1</v>
      </c>
    </row>
    <row r="2070" spans="27:32" x14ac:dyDescent="0.3">
      <c r="AA2070" s="3">
        <v>23767.59</v>
      </c>
      <c r="AB2070">
        <v>1E-4</v>
      </c>
      <c r="AC2070">
        <v>8</v>
      </c>
      <c r="AD2070" s="5">
        <v>4.9766588143895243</v>
      </c>
      <c r="AE2070" s="5">
        <v>2.1281238302747574</v>
      </c>
      <c r="AF2070">
        <v>1</v>
      </c>
    </row>
    <row r="2071" spans="27:32" x14ac:dyDescent="0.3">
      <c r="AA2071" s="3">
        <v>36693.800000000003</v>
      </c>
      <c r="AB2071">
        <v>1E-4</v>
      </c>
      <c r="AC2071">
        <v>7</v>
      </c>
      <c r="AD2071" s="5">
        <v>4.9986383003579942</v>
      </c>
      <c r="AE2071" s="5">
        <v>2.115228946560932</v>
      </c>
      <c r="AF2071">
        <v>1</v>
      </c>
    </row>
    <row r="2072" spans="27:32" x14ac:dyDescent="0.3">
      <c r="AA2072" s="3">
        <v>13370.71</v>
      </c>
      <c r="AB2072">
        <v>1E-4</v>
      </c>
      <c r="AC2072">
        <v>8</v>
      </c>
      <c r="AD2072" s="5">
        <v>4.9097086860480319</v>
      </c>
      <c r="AE2072" s="5">
        <v>2.1960641135011971</v>
      </c>
      <c r="AF2072">
        <v>1</v>
      </c>
    </row>
    <row r="2073" spans="27:32" x14ac:dyDescent="0.3">
      <c r="AA2073" s="3">
        <v>8373.25</v>
      </c>
      <c r="AB2073">
        <v>1E-4</v>
      </c>
      <c r="AC2073">
        <v>8</v>
      </c>
      <c r="AD2073" s="5">
        <v>5.0836994315344439</v>
      </c>
      <c r="AE2073" s="5">
        <v>2.2853159893305515</v>
      </c>
      <c r="AF2073">
        <v>1</v>
      </c>
    </row>
    <row r="2074" spans="27:32" x14ac:dyDescent="0.3">
      <c r="AA2074" s="3">
        <v>-5444.3</v>
      </c>
      <c r="AB2074">
        <v>1E-4</v>
      </c>
      <c r="AC2074">
        <v>9</v>
      </c>
      <c r="AD2074" s="5">
        <v>4.987627492592849</v>
      </c>
      <c r="AE2074" s="5">
        <v>2.2269149239359769</v>
      </c>
      <c r="AF2074">
        <v>1</v>
      </c>
    </row>
    <row r="2075" spans="27:32" x14ac:dyDescent="0.3">
      <c r="AA2075" s="3">
        <v>-1881.5</v>
      </c>
      <c r="AB2075">
        <v>1E-4</v>
      </c>
      <c r="AC2075">
        <v>9</v>
      </c>
      <c r="AD2075" s="5">
        <v>4.8908379331506158</v>
      </c>
      <c r="AE2075" s="5">
        <v>2.2054963976469071</v>
      </c>
      <c r="AF2075">
        <v>1</v>
      </c>
    </row>
    <row r="2076" spans="27:32" x14ac:dyDescent="0.3">
      <c r="AA2076" s="3">
        <v>23072.080000000002</v>
      </c>
      <c r="AB2076">
        <v>1E-4</v>
      </c>
      <c r="AC2076">
        <v>8</v>
      </c>
      <c r="AD2076" s="5">
        <v>5.0806116191228163</v>
      </c>
      <c r="AE2076" s="5">
        <v>2.2522232158453663</v>
      </c>
      <c r="AF2076">
        <v>1</v>
      </c>
    </row>
    <row r="2077" spans="27:32" x14ac:dyDescent="0.3">
      <c r="AA2077" s="3">
        <v>23335.25</v>
      </c>
      <c r="AB2077">
        <v>1E-4</v>
      </c>
      <c r="AC2077">
        <v>8</v>
      </c>
      <c r="AD2077" s="5">
        <v>5.1229977562385498</v>
      </c>
      <c r="AE2077" s="5">
        <v>2.1850238100950707</v>
      </c>
      <c r="AF2077">
        <v>1</v>
      </c>
    </row>
    <row r="2078" spans="27:32" x14ac:dyDescent="0.3">
      <c r="AA2078" s="3">
        <v>1305.07</v>
      </c>
      <c r="AB2078">
        <v>1E-4</v>
      </c>
      <c r="AC2078">
        <v>8</v>
      </c>
      <c r="AD2078" s="5">
        <v>5.0275514389864879</v>
      </c>
      <c r="AE2078" s="5">
        <v>2.2031685770766321</v>
      </c>
      <c r="AF2078">
        <v>1</v>
      </c>
    </row>
    <row r="2079" spans="27:32" x14ac:dyDescent="0.3">
      <c r="AA2079" s="3">
        <v>-26423.17</v>
      </c>
      <c r="AB2079">
        <v>1E-4</v>
      </c>
      <c r="AC2079">
        <v>9</v>
      </c>
      <c r="AD2079" s="5">
        <v>4.9187128917707392</v>
      </c>
      <c r="AE2079" s="5">
        <v>2.2378349556425463</v>
      </c>
      <c r="AF2079">
        <v>1</v>
      </c>
    </row>
    <row r="2080" spans="27:32" x14ac:dyDescent="0.3">
      <c r="AA2080" s="3">
        <v>-6561.53</v>
      </c>
      <c r="AB2080">
        <v>1E-4</v>
      </c>
      <c r="AC2080">
        <v>9</v>
      </c>
      <c r="AD2080" s="5">
        <v>5.0183601580930439</v>
      </c>
      <c r="AE2080" s="5">
        <v>2.3413911563953334</v>
      </c>
      <c r="AF2080">
        <v>1</v>
      </c>
    </row>
    <row r="2081" spans="27:32" x14ac:dyDescent="0.3">
      <c r="AA2081" s="3">
        <v>31291.43</v>
      </c>
      <c r="AB2081">
        <v>1E-4</v>
      </c>
      <c r="AC2081">
        <v>7</v>
      </c>
      <c r="AD2081" s="5">
        <v>4.9486526621440303</v>
      </c>
      <c r="AE2081" s="5">
        <v>2.1643991199596946</v>
      </c>
      <c r="AF2081">
        <v>1</v>
      </c>
    </row>
    <row r="2082" spans="27:32" x14ac:dyDescent="0.3">
      <c r="AA2082" s="3">
        <v>5295.77</v>
      </c>
      <c r="AB2082">
        <v>1E-4</v>
      </c>
      <c r="AC2082">
        <v>8</v>
      </c>
      <c r="AD2082" s="5">
        <v>5.0089551523154805</v>
      </c>
      <c r="AE2082" s="5">
        <v>2.1709063656294028</v>
      </c>
      <c r="AF2082">
        <v>1</v>
      </c>
    </row>
    <row r="2083" spans="27:32" x14ac:dyDescent="0.3">
      <c r="AA2083" s="3">
        <v>34288.47</v>
      </c>
      <c r="AB2083">
        <v>1E-4</v>
      </c>
      <c r="AC2083">
        <v>7</v>
      </c>
      <c r="AD2083" s="5">
        <v>5.0629696019098205</v>
      </c>
      <c r="AE2083" s="5">
        <v>2.2122035135185034</v>
      </c>
      <c r="AF2083">
        <v>1</v>
      </c>
    </row>
    <row r="2084" spans="27:32" x14ac:dyDescent="0.3">
      <c r="AA2084" s="3">
        <v>-606.76</v>
      </c>
      <c r="AB2084">
        <v>1E-4</v>
      </c>
      <c r="AC2084">
        <v>9</v>
      </c>
      <c r="AD2084" s="5">
        <v>5.0833493767435289</v>
      </c>
      <c r="AE2084" s="5">
        <v>2.2250338857268042</v>
      </c>
      <c r="AF2084">
        <v>1</v>
      </c>
    </row>
    <row r="2085" spans="27:32" x14ac:dyDescent="0.3">
      <c r="AA2085" s="3">
        <v>22576.6</v>
      </c>
      <c r="AB2085">
        <v>1E-4</v>
      </c>
      <c r="AC2085">
        <v>8</v>
      </c>
      <c r="AD2085" s="5">
        <v>4.9706671182208089</v>
      </c>
      <c r="AE2085" s="5">
        <v>2.2190996049683549</v>
      </c>
      <c r="AF2085">
        <v>1</v>
      </c>
    </row>
    <row r="2086" spans="27:32" x14ac:dyDescent="0.3">
      <c r="AA2086" s="3">
        <v>31455.11</v>
      </c>
      <c r="AB2086">
        <v>1E-4</v>
      </c>
      <c r="AC2086">
        <v>7</v>
      </c>
      <c r="AD2086" s="5">
        <v>4.9890870807016929</v>
      </c>
      <c r="AE2086" s="5">
        <v>2.2122297617525284</v>
      </c>
      <c r="AF2086">
        <v>1</v>
      </c>
    </row>
    <row r="2087" spans="27:32" x14ac:dyDescent="0.3">
      <c r="AA2087" s="3">
        <v>-67.64</v>
      </c>
      <c r="AB2087">
        <v>1E-4</v>
      </c>
      <c r="AC2087">
        <v>9</v>
      </c>
      <c r="AD2087" s="5">
        <v>5.0253667877304249</v>
      </c>
      <c r="AE2087" s="5">
        <v>2.3183202324551546</v>
      </c>
      <c r="AF2087">
        <v>1</v>
      </c>
    </row>
    <row r="2088" spans="27:32" x14ac:dyDescent="0.3">
      <c r="AA2088" s="3">
        <v>9212.5300000000007</v>
      </c>
      <c r="AB2088">
        <v>1E-4</v>
      </c>
      <c r="AC2088">
        <v>8</v>
      </c>
      <c r="AD2088" s="5">
        <v>4.9390203699246884</v>
      </c>
      <c r="AE2088" s="5">
        <v>2.2110457219056054</v>
      </c>
      <c r="AF2088">
        <v>1</v>
      </c>
    </row>
    <row r="2089" spans="27:32" x14ac:dyDescent="0.3">
      <c r="AA2089" s="3">
        <v>35608.379999999997</v>
      </c>
      <c r="AB2089">
        <v>1E-4</v>
      </c>
      <c r="AC2089">
        <v>7</v>
      </c>
      <c r="AD2089" s="5">
        <v>4.9955644580869194</v>
      </c>
      <c r="AE2089" s="5">
        <v>2.172173890396587</v>
      </c>
      <c r="AF2089">
        <v>1</v>
      </c>
    </row>
    <row r="2090" spans="27:32" x14ac:dyDescent="0.3">
      <c r="AA2090" s="3">
        <v>19045.560000000001</v>
      </c>
      <c r="AB2090">
        <v>1E-4</v>
      </c>
      <c r="AC2090">
        <v>8</v>
      </c>
      <c r="AD2090" s="5">
        <v>4.9903420295841396</v>
      </c>
      <c r="AE2090" s="5">
        <v>2.177507962033991</v>
      </c>
      <c r="AF2090">
        <v>1</v>
      </c>
    </row>
    <row r="2091" spans="27:32" x14ac:dyDescent="0.3">
      <c r="AA2091" s="3">
        <v>7280.9</v>
      </c>
      <c r="AB2091">
        <v>1E-4</v>
      </c>
      <c r="AC2091">
        <v>8</v>
      </c>
      <c r="AD2091" s="5">
        <v>4.9134280986919023</v>
      </c>
      <c r="AE2091" s="5">
        <v>2.2150332400950714</v>
      </c>
      <c r="AF2091">
        <v>1</v>
      </c>
    </row>
    <row r="2092" spans="27:32" x14ac:dyDescent="0.3">
      <c r="AA2092" s="3">
        <v>24101.16</v>
      </c>
      <c r="AB2092">
        <v>1E-4</v>
      </c>
      <c r="AC2092">
        <v>8</v>
      </c>
      <c r="AD2092" s="5">
        <v>5.018793403679493</v>
      </c>
      <c r="AE2092" s="5">
        <v>2.1397869374137048</v>
      </c>
      <c r="AF2092">
        <v>1</v>
      </c>
    </row>
    <row r="2093" spans="27:32" x14ac:dyDescent="0.3">
      <c r="AA2093" s="3">
        <v>33950.129999999997</v>
      </c>
      <c r="AB2093">
        <v>1E-4</v>
      </c>
      <c r="AC2093">
        <v>7</v>
      </c>
      <c r="AD2093" s="5">
        <v>4.9780512628583518</v>
      </c>
      <c r="AE2093" s="5">
        <v>2.1420048138033292</v>
      </c>
      <c r="AF2093">
        <v>1</v>
      </c>
    </row>
    <row r="2094" spans="27:32" x14ac:dyDescent="0.3">
      <c r="AA2094" s="3">
        <v>14125.71</v>
      </c>
      <c r="AB2094">
        <v>1E-4</v>
      </c>
      <c r="AC2094">
        <v>8</v>
      </c>
      <c r="AD2094" s="5">
        <v>5.1058651369946286</v>
      </c>
      <c r="AE2094" s="5">
        <v>2.1683492252252363</v>
      </c>
      <c r="AF2094">
        <v>1</v>
      </c>
    </row>
    <row r="2095" spans="27:32" x14ac:dyDescent="0.3">
      <c r="AA2095" s="3">
        <v>11885.82</v>
      </c>
      <c r="AB2095">
        <v>1E-4</v>
      </c>
      <c r="AC2095">
        <v>8</v>
      </c>
      <c r="AD2095" s="5">
        <v>5.1898902555998143</v>
      </c>
      <c r="AE2095" s="5">
        <v>2.0910001239235774</v>
      </c>
      <c r="AF2095">
        <v>1</v>
      </c>
    </row>
    <row r="2096" spans="27:32" x14ac:dyDescent="0.3">
      <c r="AA2096" s="3">
        <v>4177.3100000000004</v>
      </c>
      <c r="AB2096">
        <v>1E-4</v>
      </c>
      <c r="AC2096">
        <v>8</v>
      </c>
      <c r="AD2096" s="5">
        <v>5.0623884428733925</v>
      </c>
      <c r="AE2096" s="5">
        <v>2.2295923266003301</v>
      </c>
      <c r="AF2096">
        <v>1</v>
      </c>
    </row>
    <row r="2097" spans="27:32" x14ac:dyDescent="0.3">
      <c r="AA2097" s="3">
        <v>34314.74</v>
      </c>
      <c r="AB2097">
        <v>1E-4</v>
      </c>
      <c r="AC2097">
        <v>7</v>
      </c>
      <c r="AD2097" s="5">
        <v>4.9637254541800075</v>
      </c>
      <c r="AE2097" s="5">
        <v>2.2125247535317727</v>
      </c>
      <c r="AF2097">
        <v>1</v>
      </c>
    </row>
    <row r="2098" spans="27:32" x14ac:dyDescent="0.3">
      <c r="AA2098" s="3">
        <v>29631.26</v>
      </c>
      <c r="AB2098">
        <v>1E-4</v>
      </c>
      <c r="AC2098">
        <v>8</v>
      </c>
      <c r="AD2098" s="5">
        <v>5.0906306323515675</v>
      </c>
      <c r="AE2098" s="5">
        <v>2.1972693069468967</v>
      </c>
      <c r="AF2098">
        <v>1</v>
      </c>
    </row>
    <row r="2099" spans="27:32" x14ac:dyDescent="0.3">
      <c r="AA2099" s="3">
        <v>40097.21</v>
      </c>
      <c r="AB2099">
        <v>1E-4</v>
      </c>
      <c r="AC2099">
        <v>7</v>
      </c>
      <c r="AD2099" s="5">
        <v>4.9888674927303756</v>
      </c>
      <c r="AE2099" s="5">
        <v>2.2443782191207142</v>
      </c>
      <c r="AF2099">
        <v>1</v>
      </c>
    </row>
    <row r="2100" spans="27:32" x14ac:dyDescent="0.3">
      <c r="AA2100" s="3">
        <v>-7249.4</v>
      </c>
      <c r="AB2100">
        <v>1E-4</v>
      </c>
      <c r="AC2100">
        <v>9</v>
      </c>
      <c r="AD2100" s="5">
        <v>4.9759912246415912</v>
      </c>
      <c r="AE2100" s="5">
        <v>2.2435582773490217</v>
      </c>
      <c r="AF2100">
        <v>1</v>
      </c>
    </row>
    <row r="2101" spans="27:32" x14ac:dyDescent="0.3">
      <c r="AA2101" s="3">
        <v>22489.83</v>
      </c>
      <c r="AB2101">
        <v>1E-4</v>
      </c>
      <c r="AC2101">
        <v>8</v>
      </c>
      <c r="AD2101" s="5">
        <v>5.0405510391634314</v>
      </c>
      <c r="AE2101" s="5">
        <v>2.144053781654458</v>
      </c>
      <c r="AF2101">
        <v>1</v>
      </c>
    </row>
    <row r="2102" spans="27:32" x14ac:dyDescent="0.3">
      <c r="AA2102" s="3">
        <v>23230.33</v>
      </c>
      <c r="AB2102">
        <v>1E-4</v>
      </c>
      <c r="AC2102">
        <v>8</v>
      </c>
      <c r="AD2102" s="5">
        <v>4.9555097397342003</v>
      </c>
      <c r="AE2102" s="5">
        <v>2.2005626886238443</v>
      </c>
      <c r="AF2102">
        <v>1</v>
      </c>
    </row>
    <row r="2103" spans="27:32" x14ac:dyDescent="0.3">
      <c r="AA2103" s="3">
        <v>12744.12</v>
      </c>
      <c r="AB2103">
        <v>1E-4</v>
      </c>
      <c r="AC2103">
        <v>8</v>
      </c>
      <c r="AD2103" s="5">
        <v>5.0307461819539538</v>
      </c>
      <c r="AE2103" s="5">
        <v>2.1409106838285057</v>
      </c>
      <c r="AF2103">
        <v>1</v>
      </c>
    </row>
    <row r="2104" spans="27:32" x14ac:dyDescent="0.3">
      <c r="AA2104" s="3">
        <v>2410.5700000000002</v>
      </c>
      <c r="AB2104">
        <v>1E-4</v>
      </c>
      <c r="AC2104">
        <v>8</v>
      </c>
      <c r="AD2104" s="5">
        <v>4.940787527346604</v>
      </c>
      <c r="AE2104" s="5">
        <v>2.2894934715398829</v>
      </c>
      <c r="AF2104">
        <v>1</v>
      </c>
    </row>
    <row r="2105" spans="27:32" x14ac:dyDescent="0.3">
      <c r="AA2105" s="3">
        <v>29603.78</v>
      </c>
      <c r="AB2105">
        <v>1E-4</v>
      </c>
      <c r="AC2105">
        <v>8</v>
      </c>
      <c r="AD2105" s="5">
        <v>4.8538118741471692</v>
      </c>
      <c r="AE2105" s="5">
        <v>2.0906416534735084</v>
      </c>
      <c r="AF2105">
        <v>1</v>
      </c>
    </row>
    <row r="2106" spans="27:32" x14ac:dyDescent="0.3">
      <c r="AA2106" s="3">
        <v>9636.02</v>
      </c>
      <c r="AB2106">
        <v>1E-4</v>
      </c>
      <c r="AC2106">
        <v>8</v>
      </c>
      <c r="AD2106" s="5">
        <v>5.1380293670842834</v>
      </c>
      <c r="AE2106" s="5">
        <v>2.1959106717305272</v>
      </c>
      <c r="AF2106">
        <v>1</v>
      </c>
    </row>
    <row r="2107" spans="27:32" x14ac:dyDescent="0.3">
      <c r="AA2107" s="3">
        <v>9980.93</v>
      </c>
      <c r="AB2107">
        <v>1E-4</v>
      </c>
      <c r="AC2107">
        <v>8</v>
      </c>
      <c r="AD2107" s="5">
        <v>5.0137012944905646</v>
      </c>
      <c r="AE2107" s="5">
        <v>2.2266748146359356</v>
      </c>
      <c r="AF2107">
        <v>1</v>
      </c>
    </row>
    <row r="2108" spans="27:32" x14ac:dyDescent="0.3">
      <c r="AA2108" s="3">
        <v>30560.43</v>
      </c>
      <c r="AB2108">
        <v>1E-4</v>
      </c>
      <c r="AC2108">
        <v>7</v>
      </c>
      <c r="AD2108" s="5">
        <v>5.1667774032567948</v>
      </c>
      <c r="AE2108" s="5">
        <v>2.1669604553268496</v>
      </c>
      <c r="AF2108">
        <v>1</v>
      </c>
    </row>
    <row r="2109" spans="27:32" x14ac:dyDescent="0.3">
      <c r="AA2109" s="3">
        <v>-32351.35</v>
      </c>
      <c r="AB2109">
        <v>1E-4</v>
      </c>
      <c r="AC2109">
        <v>9</v>
      </c>
      <c r="AD2109" s="5">
        <v>4.9146561853246897</v>
      </c>
      <c r="AE2109" s="5">
        <v>2.2545369220720337</v>
      </c>
      <c r="AF2109">
        <v>1</v>
      </c>
    </row>
    <row r="2110" spans="27:32" x14ac:dyDescent="0.3">
      <c r="AA2110" s="3">
        <v>28412.95</v>
      </c>
      <c r="AB2110">
        <v>1E-4</v>
      </c>
      <c r="AC2110">
        <v>8</v>
      </c>
      <c r="AD2110" s="5">
        <v>4.9088464913663596</v>
      </c>
      <c r="AE2110" s="5">
        <v>2.2423635295565654</v>
      </c>
      <c r="AF2110">
        <v>1</v>
      </c>
    </row>
    <row r="2111" spans="27:32" x14ac:dyDescent="0.3">
      <c r="AA2111" s="3">
        <v>18104.25</v>
      </c>
      <c r="AB2111">
        <v>1E-4</v>
      </c>
      <c r="AC2111">
        <v>8</v>
      </c>
      <c r="AD2111" s="5">
        <v>5.0257930571849547</v>
      </c>
      <c r="AE2111" s="5">
        <v>2.1739744666196712</v>
      </c>
      <c r="AF2111">
        <v>1</v>
      </c>
    </row>
    <row r="2112" spans="27:32" x14ac:dyDescent="0.3">
      <c r="AA2112" s="3">
        <v>6060.09</v>
      </c>
      <c r="AB2112">
        <v>1E-4</v>
      </c>
      <c r="AC2112">
        <v>8</v>
      </c>
      <c r="AD2112" s="5">
        <v>5.0472730232663832</v>
      </c>
      <c r="AE2112" s="5">
        <v>2.1666743129332287</v>
      </c>
      <c r="AF2112">
        <v>1</v>
      </c>
    </row>
    <row r="2113" spans="27:32" x14ac:dyDescent="0.3">
      <c r="AA2113" s="3">
        <v>24527.21</v>
      </c>
      <c r="AB2113">
        <v>1E-4</v>
      </c>
      <c r="AC2113">
        <v>8</v>
      </c>
      <c r="AD2113" s="5">
        <v>4.9238695634076199</v>
      </c>
      <c r="AE2113" s="5">
        <v>2.2452974969717259</v>
      </c>
      <c r="AF2113">
        <v>1</v>
      </c>
    </row>
    <row r="2114" spans="27:32" x14ac:dyDescent="0.3">
      <c r="AA2114" s="3">
        <v>29965.99</v>
      </c>
      <c r="AB2114">
        <v>1E-4</v>
      </c>
      <c r="AC2114">
        <v>7</v>
      </c>
      <c r="AD2114" s="5">
        <v>4.9755720926043852</v>
      </c>
      <c r="AE2114" s="5">
        <v>2.2111406729261809</v>
      </c>
      <c r="AF2114">
        <v>1</v>
      </c>
    </row>
    <row r="2115" spans="27:32" x14ac:dyDescent="0.3">
      <c r="AA2115" s="3">
        <v>17377.36</v>
      </c>
      <c r="AB2115">
        <v>1E-4</v>
      </c>
      <c r="AC2115">
        <v>8</v>
      </c>
      <c r="AD2115" s="5">
        <v>5.0084569822447271</v>
      </c>
      <c r="AE2115" s="5">
        <v>2.1227362243713284</v>
      </c>
      <c r="AF2115">
        <v>1</v>
      </c>
    </row>
    <row r="2116" spans="27:32" x14ac:dyDescent="0.3">
      <c r="AA2116" s="3">
        <v>12358.47</v>
      </c>
      <c r="AB2116">
        <v>1E-4</v>
      </c>
      <c r="AC2116">
        <v>8</v>
      </c>
      <c r="AD2116" s="5">
        <v>4.8034118249358961</v>
      </c>
      <c r="AE2116" s="5">
        <v>2.138217890053673</v>
      </c>
      <c r="AF2116">
        <v>1</v>
      </c>
    </row>
    <row r="2117" spans="27:32" x14ac:dyDescent="0.3">
      <c r="AA2117" s="3">
        <v>9968.44</v>
      </c>
      <c r="AB2117">
        <v>1E-4</v>
      </c>
      <c r="AC2117">
        <v>8</v>
      </c>
      <c r="AD2117" s="5">
        <v>4.9374942331487395</v>
      </c>
      <c r="AE2117" s="5">
        <v>2.0772028069138471</v>
      </c>
      <c r="AF2117">
        <v>1</v>
      </c>
    </row>
    <row r="2118" spans="27:32" x14ac:dyDescent="0.3">
      <c r="AA2118" s="3">
        <v>13038.64</v>
      </c>
      <c r="AB2118">
        <v>1E-4</v>
      </c>
      <c r="AC2118">
        <v>8</v>
      </c>
      <c r="AD2118" s="5">
        <v>4.967746408401335</v>
      </c>
      <c r="AE2118" s="5">
        <v>2.2092993514484802</v>
      </c>
      <c r="AF2118">
        <v>1</v>
      </c>
    </row>
    <row r="2119" spans="27:32" x14ac:dyDescent="0.3">
      <c r="AA2119" s="3">
        <v>16725.240000000002</v>
      </c>
      <c r="AB2119">
        <v>1E-4</v>
      </c>
      <c r="AC2119">
        <v>8</v>
      </c>
      <c r="AD2119" s="5">
        <v>4.9804607873059963</v>
      </c>
      <c r="AE2119" s="5">
        <v>2.2279327742277713</v>
      </c>
      <c r="AF2119">
        <v>1</v>
      </c>
    </row>
    <row r="2120" spans="27:32" x14ac:dyDescent="0.3">
      <c r="AA2120" s="3">
        <v>20619.04</v>
      </c>
      <c r="AB2120">
        <v>1E-4</v>
      </c>
      <c r="AC2120">
        <v>8</v>
      </c>
      <c r="AD2120" s="5">
        <v>5.0152679452918427</v>
      </c>
      <c r="AE2120" s="5">
        <v>2.2335466362655589</v>
      </c>
      <c r="AF2120">
        <v>1</v>
      </c>
    </row>
    <row r="2121" spans="27:32" x14ac:dyDescent="0.3">
      <c r="AA2121" s="3">
        <v>12786.37</v>
      </c>
      <c r="AB2121">
        <v>1E-4</v>
      </c>
      <c r="AC2121">
        <v>8</v>
      </c>
      <c r="AD2121" s="5">
        <v>5.0582726690146105</v>
      </c>
      <c r="AE2121" s="5">
        <v>2.2230824494186616</v>
      </c>
      <c r="AF2121">
        <v>1</v>
      </c>
    </row>
    <row r="2122" spans="27:32" x14ac:dyDescent="0.3">
      <c r="AA2122" s="3">
        <v>2376.35</v>
      </c>
      <c r="AB2122">
        <v>1E-4</v>
      </c>
      <c r="AC2122">
        <v>8</v>
      </c>
      <c r="AD2122" s="5">
        <v>4.8264326907656949</v>
      </c>
      <c r="AE2122" s="5">
        <v>2.1442330088734738</v>
      </c>
      <c r="AF2122">
        <v>1</v>
      </c>
    </row>
    <row r="2123" spans="27:32" x14ac:dyDescent="0.3">
      <c r="AA2123" s="3">
        <v>21097.71</v>
      </c>
      <c r="AB2123">
        <v>1E-4</v>
      </c>
      <c r="AC2123">
        <v>8</v>
      </c>
      <c r="AD2123" s="5">
        <v>4.9671314871851839</v>
      </c>
      <c r="AE2123" s="5">
        <v>2.1619247311102585</v>
      </c>
      <c r="AF2123">
        <v>1</v>
      </c>
    </row>
    <row r="2124" spans="27:32" x14ac:dyDescent="0.3">
      <c r="AA2124" s="3">
        <v>29740.3</v>
      </c>
      <c r="AB2124">
        <v>1E-4</v>
      </c>
      <c r="AC2124">
        <v>8</v>
      </c>
      <c r="AD2124" s="5">
        <v>5.0428814358329781</v>
      </c>
      <c r="AE2124" s="5">
        <v>2.2024044101862135</v>
      </c>
      <c r="AF2124">
        <v>1</v>
      </c>
    </row>
    <row r="2125" spans="27:32" x14ac:dyDescent="0.3">
      <c r="AA2125" s="3">
        <v>28470.98</v>
      </c>
      <c r="AB2125">
        <v>1E-4</v>
      </c>
      <c r="AC2125">
        <v>8</v>
      </c>
      <c r="AD2125" s="5">
        <v>5.0161807539110228</v>
      </c>
      <c r="AE2125" s="5">
        <v>2.1494660143083246</v>
      </c>
      <c r="AF2125">
        <v>1</v>
      </c>
    </row>
    <row r="2126" spans="27:32" x14ac:dyDescent="0.3">
      <c r="AA2126" s="3">
        <v>34782.410000000003</v>
      </c>
      <c r="AB2126">
        <v>1E-4</v>
      </c>
      <c r="AC2126">
        <v>7</v>
      </c>
      <c r="AD2126" s="5">
        <v>5.0952642937459984</v>
      </c>
      <c r="AE2126" s="5">
        <v>2.1815965704488116</v>
      </c>
      <c r="AF2126">
        <v>1</v>
      </c>
    </row>
    <row r="2127" spans="27:32" x14ac:dyDescent="0.3">
      <c r="AA2127" s="3">
        <v>46868.29</v>
      </c>
      <c r="AB2127">
        <v>1E-4</v>
      </c>
      <c r="AC2127">
        <v>7</v>
      </c>
      <c r="AD2127" s="5">
        <v>5.0363046467115673</v>
      </c>
      <c r="AE2127" s="5">
        <v>2.2044577042534534</v>
      </c>
      <c r="AF2127">
        <v>1</v>
      </c>
    </row>
    <row r="2128" spans="27:32" x14ac:dyDescent="0.3">
      <c r="AA2128" s="3">
        <v>21779.52</v>
      </c>
      <c r="AB2128">
        <v>1E-4</v>
      </c>
      <c r="AC2128">
        <v>8</v>
      </c>
      <c r="AD2128" s="5">
        <v>4.8659119246617228</v>
      </c>
      <c r="AE2128" s="5">
        <v>2.1834395690533603</v>
      </c>
      <c r="AF2128">
        <v>1</v>
      </c>
    </row>
    <row r="2129" spans="27:32" x14ac:dyDescent="0.3">
      <c r="AA2129" s="3">
        <v>9124.14</v>
      </c>
      <c r="AB2129">
        <v>1E-4</v>
      </c>
      <c r="AC2129">
        <v>8</v>
      </c>
      <c r="AD2129" s="5">
        <v>5.0618076831838161</v>
      </c>
      <c r="AE2129" s="5">
        <v>2.2122879397256887</v>
      </c>
      <c r="AF2129">
        <v>1</v>
      </c>
    </row>
    <row r="2130" spans="27:32" x14ac:dyDescent="0.3">
      <c r="AA2130" s="3">
        <v>23457</v>
      </c>
      <c r="AB2130">
        <v>1E-4</v>
      </c>
      <c r="AC2130">
        <v>8</v>
      </c>
      <c r="AD2130" s="5">
        <v>4.9585829132392254</v>
      </c>
      <c r="AE2130" s="5">
        <v>2.1936296656539427</v>
      </c>
      <c r="AF2130">
        <v>1</v>
      </c>
    </row>
    <row r="2131" spans="27:32" x14ac:dyDescent="0.3">
      <c r="AA2131" s="3">
        <v>38143.660000000003</v>
      </c>
      <c r="AB2131">
        <v>1E-4</v>
      </c>
      <c r="AC2131">
        <v>7</v>
      </c>
      <c r="AD2131" s="5">
        <v>4.8050344953451152</v>
      </c>
      <c r="AE2131" s="5">
        <v>2.1376341056517436</v>
      </c>
      <c r="AF2131">
        <v>1</v>
      </c>
    </row>
    <row r="2132" spans="27:32" x14ac:dyDescent="0.3">
      <c r="AA2132" s="3">
        <v>34657.75</v>
      </c>
      <c r="AB2132">
        <v>1E-4</v>
      </c>
      <c r="AC2132">
        <v>7</v>
      </c>
      <c r="AD2132" s="5">
        <v>4.9745122061426086</v>
      </c>
      <c r="AE2132" s="5">
        <v>2.1568900438714538</v>
      </c>
      <c r="AF2132">
        <v>1</v>
      </c>
    </row>
    <row r="2133" spans="27:32" x14ac:dyDescent="0.3">
      <c r="AA2133" s="3">
        <v>24056.58</v>
      </c>
      <c r="AB2133">
        <v>1E-4</v>
      </c>
      <c r="AC2133">
        <v>8</v>
      </c>
      <c r="AD2133" s="5">
        <v>5.0568118812464107</v>
      </c>
      <c r="AE2133" s="5">
        <v>2.2653250470731514</v>
      </c>
      <c r="AF2133">
        <v>1</v>
      </c>
    </row>
    <row r="2134" spans="27:32" x14ac:dyDescent="0.3">
      <c r="AA2134" s="3">
        <v>-8792.31</v>
      </c>
      <c r="AB2134">
        <v>1E-4</v>
      </c>
      <c r="AC2134">
        <v>9</v>
      </c>
      <c r="AD2134" s="5">
        <v>4.8558270966507253</v>
      </c>
      <c r="AE2134" s="5">
        <v>2.2338972593360982</v>
      </c>
      <c r="AF2134">
        <v>1</v>
      </c>
    </row>
    <row r="2135" spans="27:32" x14ac:dyDescent="0.3">
      <c r="AA2135" s="3">
        <v>32411.5</v>
      </c>
      <c r="AB2135">
        <v>1E-4</v>
      </c>
      <c r="AC2135">
        <v>7</v>
      </c>
      <c r="AD2135" s="5">
        <v>4.864913641298787</v>
      </c>
      <c r="AE2135" s="5">
        <v>2.1650084610874849</v>
      </c>
      <c r="AF2135">
        <v>1</v>
      </c>
    </row>
    <row r="2136" spans="27:32" x14ac:dyDescent="0.3">
      <c r="AA2136" s="3">
        <v>13654.95</v>
      </c>
      <c r="AB2136">
        <v>1E-4</v>
      </c>
      <c r="AC2136">
        <v>8</v>
      </c>
      <c r="AD2136" s="5">
        <v>4.9876049888053871</v>
      </c>
      <c r="AE2136" s="5">
        <v>2.2214766868326934</v>
      </c>
      <c r="AF2136">
        <v>1</v>
      </c>
    </row>
    <row r="2137" spans="27:32" x14ac:dyDescent="0.3">
      <c r="AA2137" s="3">
        <v>13173.52</v>
      </c>
      <c r="AB2137">
        <v>1E-4</v>
      </c>
      <c r="AC2137">
        <v>8</v>
      </c>
      <c r="AD2137" s="5">
        <v>5.0204026669076116</v>
      </c>
      <c r="AE2137" s="5">
        <v>2.2209733716405964</v>
      </c>
      <c r="AF2137">
        <v>1</v>
      </c>
    </row>
    <row r="2138" spans="27:32" x14ac:dyDescent="0.3">
      <c r="AA2138" s="3">
        <v>2778.3</v>
      </c>
      <c r="AB2138">
        <v>1E-4</v>
      </c>
      <c r="AC2138">
        <v>8</v>
      </c>
      <c r="AD2138" s="5">
        <v>4.9101615140406585</v>
      </c>
      <c r="AE2138" s="5">
        <v>2.1410291682031328</v>
      </c>
      <c r="AF2138">
        <v>1</v>
      </c>
    </row>
    <row r="2139" spans="27:32" x14ac:dyDescent="0.3">
      <c r="AA2139" s="3">
        <v>36824.629999999997</v>
      </c>
      <c r="AB2139">
        <v>1E-4</v>
      </c>
      <c r="AC2139">
        <v>7</v>
      </c>
      <c r="AD2139" s="5">
        <v>5.1096941042989927</v>
      </c>
      <c r="AE2139" s="5">
        <v>2.1340715796766707</v>
      </c>
      <c r="AF2139">
        <v>1</v>
      </c>
    </row>
    <row r="2140" spans="27:32" x14ac:dyDescent="0.3">
      <c r="AA2140" s="3">
        <v>1275.78</v>
      </c>
      <c r="AB2140">
        <v>1E-4</v>
      </c>
      <c r="AC2140">
        <v>8</v>
      </c>
      <c r="AD2140" s="5">
        <v>4.9297284783407624</v>
      </c>
      <c r="AE2140" s="5">
        <v>2.2049364572440648</v>
      </c>
      <c r="AF2140">
        <v>1</v>
      </c>
    </row>
    <row r="2141" spans="27:32" x14ac:dyDescent="0.3">
      <c r="AA2141" s="3">
        <v>27137.32</v>
      </c>
      <c r="AB2141">
        <v>1E-4</v>
      </c>
      <c r="AC2141">
        <v>8</v>
      </c>
      <c r="AD2141" s="5">
        <v>5.0525890394957989</v>
      </c>
      <c r="AE2141" s="5">
        <v>2.2053703771956532</v>
      </c>
      <c r="AF2141">
        <v>1</v>
      </c>
    </row>
    <row r="2142" spans="27:32" x14ac:dyDescent="0.3">
      <c r="AA2142" s="3">
        <v>20981.18</v>
      </c>
      <c r="AB2142">
        <v>1E-4</v>
      </c>
      <c r="AC2142">
        <v>8</v>
      </c>
      <c r="AD2142" s="5">
        <v>5.0997050997165294</v>
      </c>
      <c r="AE2142" s="5">
        <v>2.1983829405293238</v>
      </c>
      <c r="AF2142">
        <v>1</v>
      </c>
    </row>
    <row r="2143" spans="27:32" x14ac:dyDescent="0.3">
      <c r="AA2143" s="3">
        <v>16915.490000000002</v>
      </c>
      <c r="AB2143">
        <v>1E-4</v>
      </c>
      <c r="AC2143">
        <v>8</v>
      </c>
      <c r="AD2143" s="5">
        <v>4.9007943188288952</v>
      </c>
      <c r="AE2143" s="5">
        <v>2.2685007303066627</v>
      </c>
      <c r="AF2143">
        <v>1</v>
      </c>
    </row>
    <row r="2144" spans="27:32" x14ac:dyDescent="0.3">
      <c r="AA2144" s="3">
        <v>26695.68</v>
      </c>
      <c r="AB2144">
        <v>1E-4</v>
      </c>
      <c r="AC2144">
        <v>8</v>
      </c>
      <c r="AD2144" s="5">
        <v>5.089226720545474</v>
      </c>
      <c r="AE2144" s="5">
        <v>2.2658487270382679</v>
      </c>
      <c r="AF2144">
        <v>1</v>
      </c>
    </row>
    <row r="2145" spans="27:32" x14ac:dyDescent="0.3">
      <c r="AA2145" s="3">
        <v>-16429.990000000002</v>
      </c>
      <c r="AB2145">
        <v>1E-4</v>
      </c>
      <c r="AC2145">
        <v>9</v>
      </c>
      <c r="AD2145" s="5">
        <v>5.1635337733506885</v>
      </c>
      <c r="AE2145" s="5">
        <v>2.2130313827094348</v>
      </c>
      <c r="AF2145">
        <v>1</v>
      </c>
    </row>
    <row r="2146" spans="27:32" x14ac:dyDescent="0.3">
      <c r="AA2146" s="3">
        <v>10723.02</v>
      </c>
      <c r="AB2146">
        <v>1E-4</v>
      </c>
      <c r="AC2146">
        <v>8</v>
      </c>
      <c r="AD2146" s="5">
        <v>5.089173566340242</v>
      </c>
      <c r="AE2146" s="5">
        <v>2.1078160385671127</v>
      </c>
      <c r="AF2146">
        <v>1</v>
      </c>
    </row>
    <row r="2147" spans="27:32" x14ac:dyDescent="0.3">
      <c r="AA2147" s="3">
        <v>3929.47</v>
      </c>
      <c r="AB2147">
        <v>1E-4</v>
      </c>
      <c r="AC2147">
        <v>8</v>
      </c>
      <c r="AD2147" s="5">
        <v>4.7963251905470043</v>
      </c>
      <c r="AE2147" s="5">
        <v>2.1112244723862119</v>
      </c>
      <c r="AF2147">
        <v>1</v>
      </c>
    </row>
    <row r="2148" spans="27:32" x14ac:dyDescent="0.3">
      <c r="AA2148" s="3">
        <v>28850.55</v>
      </c>
      <c r="AB2148">
        <v>1E-4</v>
      </c>
      <c r="AC2148">
        <v>8</v>
      </c>
      <c r="AD2148" s="5">
        <v>4.9028219546869192</v>
      </c>
      <c r="AE2148" s="5">
        <v>2.1809436645451594</v>
      </c>
      <c r="AF2148">
        <v>1</v>
      </c>
    </row>
    <row r="2149" spans="27:32" x14ac:dyDescent="0.3">
      <c r="AA2149" s="3">
        <v>43259.97</v>
      </c>
      <c r="AB2149">
        <v>1E-4</v>
      </c>
      <c r="AC2149">
        <v>7</v>
      </c>
      <c r="AD2149" s="5">
        <v>4.8636400504577928</v>
      </c>
      <c r="AE2149" s="5">
        <v>2.1571344146939433</v>
      </c>
      <c r="AF2149">
        <v>1</v>
      </c>
    </row>
    <row r="2150" spans="27:32" x14ac:dyDescent="0.3">
      <c r="AA2150" s="3">
        <v>6708.73</v>
      </c>
      <c r="AB2150">
        <v>1E-4</v>
      </c>
      <c r="AC2150">
        <v>8</v>
      </c>
      <c r="AD2150" s="5">
        <v>5.0276825016848923</v>
      </c>
      <c r="AE2150" s="5">
        <v>2.2256598803116106</v>
      </c>
      <c r="AF2150">
        <v>1</v>
      </c>
    </row>
    <row r="2151" spans="27:32" x14ac:dyDescent="0.3">
      <c r="AA2151" s="3">
        <v>4665.95</v>
      </c>
      <c r="AB2151">
        <v>1E-4</v>
      </c>
      <c r="AC2151">
        <v>8</v>
      </c>
      <c r="AD2151" s="5">
        <v>4.9503995007070296</v>
      </c>
      <c r="AE2151" s="5">
        <v>2.2286361664821617</v>
      </c>
      <c r="AF2151">
        <v>1</v>
      </c>
    </row>
    <row r="2152" spans="27:32" x14ac:dyDescent="0.3">
      <c r="AA2152" s="3">
        <v>36136.28</v>
      </c>
      <c r="AB2152">
        <v>1E-4</v>
      </c>
      <c r="AC2152">
        <v>7</v>
      </c>
      <c r="AD2152" s="5">
        <v>4.8993271976541779</v>
      </c>
      <c r="AE2152" s="5">
        <v>2.1697584025808303</v>
      </c>
      <c r="AF2152">
        <v>1</v>
      </c>
    </row>
    <row r="2153" spans="27:32" x14ac:dyDescent="0.3">
      <c r="AA2153" s="3">
        <v>29993.95</v>
      </c>
      <c r="AB2153">
        <v>1E-4</v>
      </c>
      <c r="AC2153">
        <v>8</v>
      </c>
      <c r="AD2153" s="5">
        <v>4.9469533319259158</v>
      </c>
      <c r="AE2153" s="5">
        <v>2.1051382124987308</v>
      </c>
      <c r="AF2153">
        <v>1</v>
      </c>
    </row>
    <row r="2154" spans="27:32" x14ac:dyDescent="0.3">
      <c r="AA2154" s="3">
        <v>3292.28</v>
      </c>
      <c r="AB2154">
        <v>1E-4</v>
      </c>
      <c r="AC2154">
        <v>8</v>
      </c>
      <c r="AD2154" s="5">
        <v>4.972288574977715</v>
      </c>
      <c r="AE2154" s="5">
        <v>2.2255237277949802</v>
      </c>
      <c r="AF2154">
        <v>1</v>
      </c>
    </row>
    <row r="2155" spans="27:32" x14ac:dyDescent="0.3">
      <c r="AA2155" s="3">
        <v>37002.620000000003</v>
      </c>
      <c r="AB2155">
        <v>1E-4</v>
      </c>
      <c r="AC2155">
        <v>7</v>
      </c>
      <c r="AD2155" s="5">
        <v>5.0987200964999211</v>
      </c>
      <c r="AE2155" s="5">
        <v>2.2886090036037068</v>
      </c>
      <c r="AF2155">
        <v>1</v>
      </c>
    </row>
    <row r="2156" spans="27:32" x14ac:dyDescent="0.3">
      <c r="AA2156" s="3">
        <v>49217.48</v>
      </c>
      <c r="AB2156">
        <v>1E-4</v>
      </c>
      <c r="AC2156">
        <v>7</v>
      </c>
      <c r="AD2156" s="5">
        <v>5.171516072829867</v>
      </c>
      <c r="AE2156" s="5">
        <v>2.192502695157486</v>
      </c>
      <c r="AF2156">
        <v>1</v>
      </c>
    </row>
    <row r="2157" spans="27:32" x14ac:dyDescent="0.3">
      <c r="AA2157" s="3">
        <v>7165.53</v>
      </c>
      <c r="AB2157">
        <v>1E-4</v>
      </c>
      <c r="AC2157">
        <v>8</v>
      </c>
      <c r="AD2157" s="5">
        <v>5.1213028959187179</v>
      </c>
      <c r="AE2157" s="5">
        <v>2.2635670469721414</v>
      </c>
      <c r="AF2157">
        <v>1</v>
      </c>
    </row>
    <row r="2158" spans="27:32" x14ac:dyDescent="0.3">
      <c r="AA2158" s="3">
        <v>-14254.81</v>
      </c>
      <c r="AB2158">
        <v>1E-4</v>
      </c>
      <c r="AC2158">
        <v>9</v>
      </c>
      <c r="AD2158" s="5">
        <v>5.0979298539543647</v>
      </c>
      <c r="AE2158" s="5">
        <v>2.2487435053296303</v>
      </c>
      <c r="AF2158">
        <v>1</v>
      </c>
    </row>
    <row r="2159" spans="27:32" x14ac:dyDescent="0.3">
      <c r="AA2159" s="3">
        <v>-9221.98</v>
      </c>
      <c r="AB2159">
        <v>1E-4</v>
      </c>
      <c r="AC2159">
        <v>9</v>
      </c>
      <c r="AD2159" s="5">
        <v>4.9439334396571963</v>
      </c>
      <c r="AE2159" s="5">
        <v>2.1894132354117892</v>
      </c>
      <c r="AF2159">
        <v>1</v>
      </c>
    </row>
    <row r="2160" spans="27:32" x14ac:dyDescent="0.3">
      <c r="AA2160" s="3">
        <v>27357.42</v>
      </c>
      <c r="AB2160">
        <v>1E-4</v>
      </c>
      <c r="AC2160">
        <v>8</v>
      </c>
      <c r="AD2160" s="5">
        <v>4.9830465430094053</v>
      </c>
      <c r="AE2160" s="5">
        <v>2.3614481784933945</v>
      </c>
      <c r="AF2160">
        <v>1</v>
      </c>
    </row>
    <row r="2161" spans="27:32" x14ac:dyDescent="0.3">
      <c r="AA2161" s="3">
        <v>4042.44</v>
      </c>
      <c r="AB2161">
        <v>1E-4</v>
      </c>
      <c r="AC2161">
        <v>8</v>
      </c>
      <c r="AD2161" s="5">
        <v>5.0372107469757221</v>
      </c>
      <c r="AE2161" s="5">
        <v>2.1691764403269964</v>
      </c>
      <c r="AF2161">
        <v>1</v>
      </c>
    </row>
    <row r="2162" spans="27:32" x14ac:dyDescent="0.3">
      <c r="AA2162" s="3">
        <v>33775.129999999997</v>
      </c>
      <c r="AB2162">
        <v>1E-4</v>
      </c>
      <c r="AC2162">
        <v>7</v>
      </c>
      <c r="AD2162" s="5">
        <v>5.0267397657355914</v>
      </c>
      <c r="AE2162" s="5">
        <v>2.1941594788368524</v>
      </c>
      <c r="AF2162">
        <v>1</v>
      </c>
    </row>
    <row r="2163" spans="27:32" x14ac:dyDescent="0.3">
      <c r="AA2163" s="3">
        <v>14719.1</v>
      </c>
      <c r="AB2163">
        <v>1E-4</v>
      </c>
      <c r="AC2163">
        <v>8</v>
      </c>
      <c r="AD2163" s="5">
        <v>4.9223447089349603</v>
      </c>
      <c r="AE2163" s="5">
        <v>2.2158495653717916</v>
      </c>
      <c r="AF2163">
        <v>1</v>
      </c>
    </row>
    <row r="2164" spans="27:32" x14ac:dyDescent="0.3">
      <c r="AA2164" s="3">
        <v>16436.05</v>
      </c>
      <c r="AB2164">
        <v>1E-4</v>
      </c>
      <c r="AC2164">
        <v>8</v>
      </c>
      <c r="AD2164" s="5">
        <v>4.9513801347234248</v>
      </c>
      <c r="AE2164" s="5">
        <v>2.1576215601753606</v>
      </c>
      <c r="AF2164">
        <v>1</v>
      </c>
    </row>
    <row r="2165" spans="27:32" x14ac:dyDescent="0.3">
      <c r="AA2165" s="3">
        <v>6660.01</v>
      </c>
      <c r="AB2165">
        <v>1E-4</v>
      </c>
      <c r="AC2165">
        <v>8</v>
      </c>
      <c r="AD2165" s="5">
        <v>5.0610999434612163</v>
      </c>
      <c r="AE2165" s="5">
        <v>2.2939770030622091</v>
      </c>
      <c r="AF2165">
        <v>1</v>
      </c>
    </row>
    <row r="2166" spans="27:32" x14ac:dyDescent="0.3">
      <c r="AA2166" s="3">
        <v>20086.72</v>
      </c>
      <c r="AB2166">
        <v>1E-4</v>
      </c>
      <c r="AC2166">
        <v>8</v>
      </c>
      <c r="AD2166" s="5">
        <v>5.0227863500141297</v>
      </c>
      <c r="AE2166" s="5">
        <v>2.2357631148162902</v>
      </c>
      <c r="AF2166">
        <v>1</v>
      </c>
    </row>
    <row r="2167" spans="27:32" x14ac:dyDescent="0.3">
      <c r="AA2167" s="3">
        <v>2078.8200000000002</v>
      </c>
      <c r="AB2167">
        <v>1E-4</v>
      </c>
      <c r="AC2167">
        <v>8</v>
      </c>
      <c r="AD2167" s="5">
        <v>4.8816465532984941</v>
      </c>
      <c r="AE2167" s="5">
        <v>2.2741418513632454</v>
      </c>
      <c r="AF2167">
        <v>1</v>
      </c>
    </row>
    <row r="2168" spans="27:32" x14ac:dyDescent="0.3">
      <c r="AA2168" s="3">
        <v>24014.639999999999</v>
      </c>
      <c r="AB2168">
        <v>1E-4</v>
      </c>
      <c r="AC2168">
        <v>8</v>
      </c>
      <c r="AD2168" s="5">
        <v>5.0324099505833573</v>
      </c>
      <c r="AE2168" s="5">
        <v>2.2293778185223783</v>
      </c>
      <c r="AF2168">
        <v>1</v>
      </c>
    </row>
    <row r="2169" spans="27:32" x14ac:dyDescent="0.3">
      <c r="AA2169" s="3">
        <v>41399.01</v>
      </c>
      <c r="AB2169">
        <v>1E-4</v>
      </c>
      <c r="AC2169">
        <v>7</v>
      </c>
      <c r="AD2169" s="5">
        <v>5.104431162225592</v>
      </c>
      <c r="AE2169" s="5">
        <v>2.2080750130844327</v>
      </c>
      <c r="AF2169">
        <v>1</v>
      </c>
    </row>
    <row r="2170" spans="27:32" x14ac:dyDescent="0.3">
      <c r="AA2170" s="3">
        <v>15101.61</v>
      </c>
      <c r="AB2170">
        <v>1E-4</v>
      </c>
      <c r="AC2170">
        <v>8</v>
      </c>
      <c r="AD2170" s="5">
        <v>4.9145760646591325</v>
      </c>
      <c r="AE2170" s="5">
        <v>2.1986639827419281</v>
      </c>
      <c r="AF2170">
        <v>1</v>
      </c>
    </row>
    <row r="2171" spans="27:32" x14ac:dyDescent="0.3">
      <c r="AA2171" s="3">
        <v>21589.09</v>
      </c>
      <c r="AB2171">
        <v>1E-4</v>
      </c>
      <c r="AC2171">
        <v>8</v>
      </c>
      <c r="AD2171" s="5">
        <v>5.0400610088638391</v>
      </c>
      <c r="AE2171" s="5">
        <v>2.1878097985139382</v>
      </c>
      <c r="AF2171">
        <v>1</v>
      </c>
    </row>
    <row r="2172" spans="27:32" x14ac:dyDescent="0.3">
      <c r="AA2172" s="3">
        <v>20297</v>
      </c>
      <c r="AB2172">
        <v>1E-4</v>
      </c>
      <c r="AC2172">
        <v>8</v>
      </c>
      <c r="AD2172" s="5">
        <v>5.0488137990326143</v>
      </c>
      <c r="AE2172" s="5">
        <v>2.2122621896832633</v>
      </c>
      <c r="AF2172">
        <v>1</v>
      </c>
    </row>
    <row r="2173" spans="27:32" x14ac:dyDescent="0.3">
      <c r="AA2173" s="3">
        <v>11572.64</v>
      </c>
      <c r="AB2173">
        <v>1E-4</v>
      </c>
      <c r="AC2173">
        <v>8</v>
      </c>
      <c r="AD2173" s="5">
        <v>4.9621198060288885</v>
      </c>
      <c r="AE2173" s="5">
        <v>2.1890093294403168</v>
      </c>
      <c r="AF2173">
        <v>1</v>
      </c>
    </row>
    <row r="2174" spans="27:32" x14ac:dyDescent="0.3">
      <c r="AA2174" s="3">
        <v>22617.14</v>
      </c>
      <c r="AB2174">
        <v>1E-4</v>
      </c>
      <c r="AC2174">
        <v>8</v>
      </c>
      <c r="AD2174" s="5">
        <v>4.9980446744247775</v>
      </c>
      <c r="AE2174" s="5">
        <v>2.2406118703746785</v>
      </c>
      <c r="AF2174">
        <v>1</v>
      </c>
    </row>
    <row r="2175" spans="27:32" x14ac:dyDescent="0.3">
      <c r="AA2175" s="3">
        <v>1969.53</v>
      </c>
      <c r="AB2175">
        <v>1E-4</v>
      </c>
      <c r="AC2175">
        <v>8</v>
      </c>
      <c r="AD2175" s="5">
        <v>5.0017974777094212</v>
      </c>
      <c r="AE2175" s="5">
        <v>2.2388783060222539</v>
      </c>
      <c r="AF2175">
        <v>1</v>
      </c>
    </row>
    <row r="2176" spans="27:32" x14ac:dyDescent="0.3">
      <c r="AA2176" s="3">
        <v>8885.84</v>
      </c>
      <c r="AB2176">
        <v>1E-4</v>
      </c>
      <c r="AC2176">
        <v>8</v>
      </c>
      <c r="AD2176" s="5">
        <v>5.0055898763878721</v>
      </c>
      <c r="AE2176" s="5">
        <v>2.2502509599101352</v>
      </c>
      <c r="AF2176">
        <v>1</v>
      </c>
    </row>
    <row r="2177" spans="27:32" x14ac:dyDescent="0.3">
      <c r="AA2177" s="3">
        <v>21931.63</v>
      </c>
      <c r="AB2177">
        <v>1E-4</v>
      </c>
      <c r="AC2177">
        <v>8</v>
      </c>
      <c r="AD2177" s="5">
        <v>5.0250494026563288</v>
      </c>
      <c r="AE2177" s="5">
        <v>2.2614742453043681</v>
      </c>
      <c r="AF2177">
        <v>1</v>
      </c>
    </row>
    <row r="2178" spans="27:32" x14ac:dyDescent="0.3">
      <c r="AA2178" s="3">
        <v>39772.160000000003</v>
      </c>
      <c r="AB2178">
        <v>1E-4</v>
      </c>
      <c r="AC2178">
        <v>7</v>
      </c>
      <c r="AD2178" s="5">
        <v>5.144196728663629</v>
      </c>
      <c r="AE2178" s="5">
        <v>2.2291513419604838</v>
      </c>
      <c r="AF2178">
        <v>1</v>
      </c>
    </row>
    <row r="2179" spans="27:32" x14ac:dyDescent="0.3">
      <c r="AA2179" s="3">
        <v>11994.12</v>
      </c>
      <c r="AB2179">
        <v>1E-4</v>
      </c>
      <c r="AC2179">
        <v>8</v>
      </c>
      <c r="AD2179" s="5">
        <v>5.0842929632637315</v>
      </c>
      <c r="AE2179" s="5">
        <v>2.2032382361195118</v>
      </c>
      <c r="AF2179">
        <v>1</v>
      </c>
    </row>
    <row r="2180" spans="27:32" x14ac:dyDescent="0.3">
      <c r="AA2180" s="3">
        <v>13460.53</v>
      </c>
      <c r="AB2180">
        <v>1E-4</v>
      </c>
      <c r="AC2180">
        <v>8</v>
      </c>
      <c r="AD2180" s="5">
        <v>4.9787240262470602</v>
      </c>
      <c r="AE2180" s="5">
        <v>2.2566533209596606</v>
      </c>
      <c r="AF2180">
        <v>1</v>
      </c>
    </row>
    <row r="2181" spans="27:32" x14ac:dyDescent="0.3">
      <c r="AA2181" s="3">
        <v>37464.35</v>
      </c>
      <c r="AB2181">
        <v>1E-4</v>
      </c>
      <c r="AC2181">
        <v>7</v>
      </c>
      <c r="AD2181" s="5">
        <v>4.9506449225717093</v>
      </c>
      <c r="AE2181" s="5">
        <v>2.1683814242387784</v>
      </c>
      <c r="AF2181">
        <v>1</v>
      </c>
    </row>
    <row r="2182" spans="27:32" x14ac:dyDescent="0.3">
      <c r="AA2182" s="3">
        <v>37055.410000000003</v>
      </c>
      <c r="AB2182">
        <v>1E-4</v>
      </c>
      <c r="AC2182">
        <v>7</v>
      </c>
      <c r="AD2182" s="5">
        <v>4.9755698509319561</v>
      </c>
      <c r="AE2182" s="5">
        <v>2.2735573085203584</v>
      </c>
      <c r="AF2182">
        <v>1</v>
      </c>
    </row>
    <row r="2183" spans="27:32" x14ac:dyDescent="0.3">
      <c r="AA2183" s="3">
        <v>-15424.273659019354</v>
      </c>
      <c r="AB2183">
        <v>1E-4</v>
      </c>
      <c r="AC2183">
        <v>8</v>
      </c>
      <c r="AD2183" s="5">
        <v>4.9437758372044804</v>
      </c>
      <c r="AE2183" s="5">
        <v>2.2117187702681012</v>
      </c>
      <c r="AF2183">
        <v>0</v>
      </c>
    </row>
    <row r="2184" spans="27:32" x14ac:dyDescent="0.3">
      <c r="AA2184" s="3">
        <v>31281.71</v>
      </c>
      <c r="AB2184">
        <v>1E-4</v>
      </c>
      <c r="AC2184">
        <v>7</v>
      </c>
      <c r="AD2184" s="5">
        <v>5.1106929947162438</v>
      </c>
      <c r="AE2184" s="5">
        <v>2.2284158690386913</v>
      </c>
      <c r="AF2184">
        <v>1</v>
      </c>
    </row>
    <row r="2185" spans="27:32" x14ac:dyDescent="0.3">
      <c r="AA2185" s="3">
        <v>25305.06</v>
      </c>
      <c r="AB2185">
        <v>1E-4</v>
      </c>
      <c r="AC2185">
        <v>8</v>
      </c>
      <c r="AD2185" s="5">
        <v>4.851671489533417</v>
      </c>
      <c r="AE2185" s="5">
        <v>2.144442064310895</v>
      </c>
      <c r="AF2185">
        <v>1</v>
      </c>
    </row>
    <row r="2186" spans="27:32" x14ac:dyDescent="0.3">
      <c r="AA2186" s="3">
        <v>-16874.38</v>
      </c>
      <c r="AB2186">
        <v>1E-4</v>
      </c>
      <c r="AC2186">
        <v>9</v>
      </c>
      <c r="AD2186" s="5">
        <v>4.9901066264879406</v>
      </c>
      <c r="AE2186" s="5">
        <v>2.1239412306689265</v>
      </c>
      <c r="AF2186">
        <v>1</v>
      </c>
    </row>
    <row r="2187" spans="27:32" x14ac:dyDescent="0.3">
      <c r="AA2187" s="3">
        <v>10583.3</v>
      </c>
      <c r="AB2187">
        <v>1E-4</v>
      </c>
      <c r="AC2187">
        <v>8</v>
      </c>
      <c r="AD2187" s="5">
        <v>4.9669408723002269</v>
      </c>
      <c r="AE2187" s="5">
        <v>2.1795868495200375</v>
      </c>
      <c r="AF2187">
        <v>1</v>
      </c>
    </row>
    <row r="2188" spans="27:32" x14ac:dyDescent="0.3">
      <c r="AA2188" s="3">
        <v>24735.25</v>
      </c>
      <c r="AB2188">
        <v>1E-4</v>
      </c>
      <c r="AC2188">
        <v>8</v>
      </c>
      <c r="AD2188" s="5">
        <v>5.128799040321252</v>
      </c>
      <c r="AE2188" s="5">
        <v>2.2145361003096946</v>
      </c>
      <c r="AF2188">
        <v>1</v>
      </c>
    </row>
    <row r="2189" spans="27:32" x14ac:dyDescent="0.3">
      <c r="AA2189" s="3">
        <v>-8234.24</v>
      </c>
      <c r="AB2189">
        <v>1E-4</v>
      </c>
      <c r="AC2189">
        <v>9</v>
      </c>
      <c r="AD2189" s="5">
        <v>4.9310708437831083</v>
      </c>
      <c r="AE2189" s="5">
        <v>2.2122578680070042</v>
      </c>
      <c r="AF2189">
        <v>1</v>
      </c>
    </row>
    <row r="2190" spans="27:32" x14ac:dyDescent="0.3">
      <c r="AA2190" s="3">
        <v>12408.85</v>
      </c>
      <c r="AB2190">
        <v>1E-4</v>
      </c>
      <c r="AC2190">
        <v>8</v>
      </c>
      <c r="AD2190" s="5">
        <v>4.9967097542212926</v>
      </c>
      <c r="AE2190" s="5">
        <v>2.1729253295113842</v>
      </c>
      <c r="AF2190">
        <v>1</v>
      </c>
    </row>
    <row r="2191" spans="27:32" x14ac:dyDescent="0.3">
      <c r="AA2191" s="3">
        <v>23359.06</v>
      </c>
      <c r="AB2191">
        <v>1E-4</v>
      </c>
      <c r="AC2191">
        <v>8</v>
      </c>
      <c r="AD2191" s="5">
        <v>5.0391300385706508</v>
      </c>
      <c r="AE2191" s="5">
        <v>2.1396068191925148</v>
      </c>
      <c r="AF2191">
        <v>1</v>
      </c>
    </row>
    <row r="2192" spans="27:32" x14ac:dyDescent="0.3">
      <c r="AA2192" s="3">
        <v>24600.6</v>
      </c>
      <c r="AB2192">
        <v>1E-4</v>
      </c>
      <c r="AC2192">
        <v>8</v>
      </c>
      <c r="AD2192" s="5">
        <v>5.0317203300412192</v>
      </c>
      <c r="AE2192" s="5">
        <v>2.2782296553032571</v>
      </c>
      <c r="AF2192">
        <v>1</v>
      </c>
    </row>
    <row r="2193" spans="27:32" x14ac:dyDescent="0.3">
      <c r="AA2193" s="3">
        <v>558.83000000000004</v>
      </c>
      <c r="AB2193">
        <v>1E-4</v>
      </c>
      <c r="AC2193">
        <v>8</v>
      </c>
      <c r="AD2193" s="5">
        <v>4.9892740863886926</v>
      </c>
      <c r="AE2193" s="5">
        <v>2.2438575851290636</v>
      </c>
      <c r="AF2193">
        <v>1</v>
      </c>
    </row>
    <row r="2194" spans="27:32" x14ac:dyDescent="0.3">
      <c r="AA2194" s="3">
        <v>-6238.44</v>
      </c>
      <c r="AB2194">
        <v>1E-4</v>
      </c>
      <c r="AC2194">
        <v>9</v>
      </c>
      <c r="AD2194" s="5">
        <v>5.0954235954545526</v>
      </c>
      <c r="AE2194" s="5">
        <v>2.2348194251614708</v>
      </c>
      <c r="AF2194">
        <v>1</v>
      </c>
    </row>
    <row r="2195" spans="27:32" x14ac:dyDescent="0.3">
      <c r="AA2195" s="3">
        <v>24085.53</v>
      </c>
      <c r="AB2195">
        <v>1E-4</v>
      </c>
      <c r="AC2195">
        <v>8</v>
      </c>
      <c r="AD2195" s="5">
        <v>5.1423150731671496</v>
      </c>
      <c r="AE2195" s="5">
        <v>2.2329234030576957</v>
      </c>
      <c r="AF2195">
        <v>1</v>
      </c>
    </row>
    <row r="2196" spans="27:32" x14ac:dyDescent="0.3">
      <c r="AA2196" s="3">
        <v>-25293.41402897668</v>
      </c>
      <c r="AB2196">
        <v>1E-4</v>
      </c>
      <c r="AC2196">
        <v>9</v>
      </c>
      <c r="AD2196" s="5">
        <v>5.0138013169068518</v>
      </c>
      <c r="AE2196" s="5">
        <v>2.2835768130354066</v>
      </c>
      <c r="AF2196">
        <v>0</v>
      </c>
    </row>
    <row r="2197" spans="27:32" x14ac:dyDescent="0.3">
      <c r="AA2197" s="3">
        <v>7986.35</v>
      </c>
      <c r="AB2197">
        <v>1E-4</v>
      </c>
      <c r="AC2197">
        <v>8</v>
      </c>
      <c r="AD2197" s="5">
        <v>4.9399415758321741</v>
      </c>
      <c r="AE2197" s="5">
        <v>2.0983842163467674</v>
      </c>
      <c r="AF2197">
        <v>1</v>
      </c>
    </row>
    <row r="2198" spans="27:32" x14ac:dyDescent="0.3">
      <c r="AA2198" s="3">
        <v>-2395.31</v>
      </c>
      <c r="AB2198">
        <v>1E-4</v>
      </c>
      <c r="AC2198">
        <v>9</v>
      </c>
      <c r="AD2198" s="5">
        <v>4.9879707396379853</v>
      </c>
      <c r="AE2198" s="5">
        <v>2.1678413405580921</v>
      </c>
      <c r="AF2198">
        <v>1</v>
      </c>
    </row>
    <row r="2199" spans="27:32" x14ac:dyDescent="0.3">
      <c r="AA2199" s="3">
        <v>14115.16</v>
      </c>
      <c r="AB2199">
        <v>1E-4</v>
      </c>
      <c r="AC2199">
        <v>8</v>
      </c>
      <c r="AD2199" s="5">
        <v>5.1394256591344059</v>
      </c>
      <c r="AE2199" s="5">
        <v>2.2383459206607554</v>
      </c>
      <c r="AF2199">
        <v>1</v>
      </c>
    </row>
    <row r="2200" spans="27:32" x14ac:dyDescent="0.3">
      <c r="AA2200" s="3">
        <v>17503.330000000002</v>
      </c>
      <c r="AB2200">
        <v>1E-4</v>
      </c>
      <c r="AC2200">
        <v>8</v>
      </c>
      <c r="AD2200" s="5">
        <v>5.0909952331648798</v>
      </c>
      <c r="AE2200" s="5">
        <v>2.179628073566906</v>
      </c>
      <c r="AF2200">
        <v>1</v>
      </c>
    </row>
    <row r="2201" spans="27:32" x14ac:dyDescent="0.3">
      <c r="AA2201" s="3">
        <v>24098.3</v>
      </c>
      <c r="AB2201">
        <v>1E-4</v>
      </c>
      <c r="AC2201">
        <v>8</v>
      </c>
      <c r="AD2201" s="5">
        <v>5.1057534463136953</v>
      </c>
      <c r="AE2201" s="5">
        <v>2.3234032594261045</v>
      </c>
      <c r="AF2201">
        <v>1</v>
      </c>
    </row>
    <row r="2202" spans="27:32" x14ac:dyDescent="0.3">
      <c r="AA2202" s="3">
        <v>17085.11</v>
      </c>
      <c r="AB2202">
        <v>1E-4</v>
      </c>
      <c r="AC2202">
        <v>8</v>
      </c>
      <c r="AD2202" s="5">
        <v>4.993403864060026</v>
      </c>
      <c r="AE2202" s="5">
        <v>2.2290023142528681</v>
      </c>
      <c r="AF2202">
        <v>1</v>
      </c>
    </row>
    <row r="2203" spans="27:32" x14ac:dyDescent="0.3">
      <c r="AA2203" s="3">
        <v>24378.25</v>
      </c>
      <c r="AB2203">
        <v>1E-4</v>
      </c>
      <c r="AC2203">
        <v>8</v>
      </c>
      <c r="AD2203" s="5">
        <v>5.0378772650018284</v>
      </c>
      <c r="AE2203" s="5">
        <v>2.2216373936270153</v>
      </c>
      <c r="AF2203">
        <v>1</v>
      </c>
    </row>
    <row r="2204" spans="27:32" x14ac:dyDescent="0.3">
      <c r="AA2204" s="3">
        <v>12578.65</v>
      </c>
      <c r="AB2204">
        <v>1E-4</v>
      </c>
      <c r="AC2204">
        <v>8</v>
      </c>
      <c r="AD2204" s="5">
        <v>5.0591758860919027</v>
      </c>
      <c r="AE2204" s="5">
        <v>2.162191324041804</v>
      </c>
      <c r="AF2204">
        <v>1</v>
      </c>
    </row>
    <row r="2205" spans="27:32" x14ac:dyDescent="0.3">
      <c r="AA2205" s="3">
        <v>-8074.67</v>
      </c>
      <c r="AB2205">
        <v>1E-4</v>
      </c>
      <c r="AC2205">
        <v>9</v>
      </c>
      <c r="AD2205" s="5">
        <v>4.933872274922388</v>
      </c>
      <c r="AE2205" s="5">
        <v>2.1864522425426016</v>
      </c>
      <c r="AF2205">
        <v>1</v>
      </c>
    </row>
    <row r="2206" spans="27:32" x14ac:dyDescent="0.3">
      <c r="AA2206" s="3">
        <v>27604.2</v>
      </c>
      <c r="AB2206">
        <v>1E-4</v>
      </c>
      <c r="AC2206">
        <v>7</v>
      </c>
      <c r="AD2206" s="5">
        <v>4.9713299698563072</v>
      </c>
      <c r="AE2206" s="5">
        <v>2.2235597196771728</v>
      </c>
      <c r="AF2206">
        <v>1</v>
      </c>
    </row>
    <row r="2207" spans="27:32" x14ac:dyDescent="0.3">
      <c r="AA2207" s="3">
        <v>27639.29</v>
      </c>
      <c r="AB2207">
        <v>1E-4</v>
      </c>
      <c r="AC2207">
        <v>8</v>
      </c>
      <c r="AD2207" s="5">
        <v>5.0749725366173175</v>
      </c>
      <c r="AE2207" s="5">
        <v>2.2295217894954749</v>
      </c>
      <c r="AF2207">
        <v>1</v>
      </c>
    </row>
    <row r="2208" spans="27:32" x14ac:dyDescent="0.3">
      <c r="AA2208" s="3">
        <v>3606.02</v>
      </c>
      <c r="AB2208">
        <v>1E-4</v>
      </c>
      <c r="AC2208">
        <v>8</v>
      </c>
      <c r="AD2208" s="5">
        <v>5.0012033535691787</v>
      </c>
      <c r="AE2208" s="5">
        <v>2.2029092225958533</v>
      </c>
      <c r="AF2208">
        <v>1</v>
      </c>
    </row>
    <row r="2209" spans="27:32" x14ac:dyDescent="0.3">
      <c r="AA2209" s="3">
        <v>24842.18</v>
      </c>
      <c r="AB2209">
        <v>1E-4</v>
      </c>
      <c r="AC2209">
        <v>8</v>
      </c>
      <c r="AD2209" s="5">
        <v>5.0697432478777875</v>
      </c>
      <c r="AE2209" s="5">
        <v>2.1965727093643026</v>
      </c>
      <c r="AF2209">
        <v>1</v>
      </c>
    </row>
    <row r="2210" spans="27:32" x14ac:dyDescent="0.3">
      <c r="AA2210" s="3">
        <v>30567.14</v>
      </c>
      <c r="AB2210">
        <v>1E-4</v>
      </c>
      <c r="AC2210">
        <v>8</v>
      </c>
      <c r="AD2210" s="5">
        <v>4.9507217697835406</v>
      </c>
      <c r="AE2210" s="5">
        <v>2.0930562718615864</v>
      </c>
      <c r="AF2210">
        <v>1</v>
      </c>
    </row>
    <row r="2211" spans="27:32" x14ac:dyDescent="0.3">
      <c r="AA2211" s="3">
        <v>30121.46</v>
      </c>
      <c r="AB2211">
        <v>1E-4</v>
      </c>
      <c r="AC2211">
        <v>7</v>
      </c>
      <c r="AD2211" s="5">
        <v>5.048628216847229</v>
      </c>
      <c r="AE2211" s="5">
        <v>2.2078459477373578</v>
      </c>
      <c r="AF2211">
        <v>1</v>
      </c>
    </row>
    <row r="2212" spans="27:32" x14ac:dyDescent="0.3">
      <c r="AA2212" s="3">
        <v>-14140.05</v>
      </c>
      <c r="AB2212">
        <v>1E-4</v>
      </c>
      <c r="AC2212">
        <v>9</v>
      </c>
      <c r="AD2212" s="5">
        <v>4.9383158100841058</v>
      </c>
      <c r="AE2212" s="5">
        <v>2.2338057465943963</v>
      </c>
      <c r="AF2212">
        <v>1</v>
      </c>
    </row>
    <row r="2213" spans="27:32" x14ac:dyDescent="0.3">
      <c r="AA2213" s="3">
        <v>3139.94</v>
      </c>
      <c r="AB2213">
        <v>1E-4</v>
      </c>
      <c r="AC2213">
        <v>8</v>
      </c>
      <c r="AD2213" s="5">
        <v>4.9646166844807844</v>
      </c>
      <c r="AE2213" s="5">
        <v>2.2156761202884385</v>
      </c>
      <c r="AF2213">
        <v>1</v>
      </c>
    </row>
    <row r="2214" spans="27:32" x14ac:dyDescent="0.3">
      <c r="AA2214" s="3">
        <v>-3487.38</v>
      </c>
      <c r="AB2214">
        <v>1E-4</v>
      </c>
      <c r="AC2214">
        <v>9</v>
      </c>
      <c r="AD2214" s="5">
        <v>4.9911895758631006</v>
      </c>
      <c r="AE2214" s="5">
        <v>2.194240637449818</v>
      </c>
      <c r="AF2214">
        <v>1</v>
      </c>
    </row>
    <row r="2215" spans="27:32" x14ac:dyDescent="0.3">
      <c r="AA2215" s="3">
        <v>8497</v>
      </c>
      <c r="AB2215">
        <v>1E-4</v>
      </c>
      <c r="AC2215">
        <v>8</v>
      </c>
      <c r="AD2215" s="5">
        <v>5.0280588548433389</v>
      </c>
      <c r="AE2215" s="5">
        <v>2.2033466030133377</v>
      </c>
      <c r="AF2215">
        <v>1</v>
      </c>
    </row>
    <row r="2216" spans="27:32" x14ac:dyDescent="0.3">
      <c r="AA2216" s="3">
        <v>30441.21</v>
      </c>
      <c r="AB2216">
        <v>1E-4</v>
      </c>
      <c r="AC2216">
        <v>8</v>
      </c>
      <c r="AD2216" s="5">
        <v>5.041230870880006</v>
      </c>
      <c r="AE2216" s="5">
        <v>2.1947664022006892</v>
      </c>
      <c r="AF2216">
        <v>1</v>
      </c>
    </row>
    <row r="2217" spans="27:32" x14ac:dyDescent="0.3">
      <c r="AA2217" s="3">
        <v>-20225.32</v>
      </c>
      <c r="AB2217">
        <v>1E-4</v>
      </c>
      <c r="AC2217">
        <v>9</v>
      </c>
      <c r="AD2217" s="5">
        <v>5.0765625481671695</v>
      </c>
      <c r="AE2217" s="5">
        <v>2.1337204755823604</v>
      </c>
      <c r="AF2217">
        <v>1</v>
      </c>
    </row>
    <row r="2218" spans="27:32" x14ac:dyDescent="0.3">
      <c r="AA2218" s="3">
        <v>2746.38</v>
      </c>
      <c r="AB2218">
        <v>1E-4</v>
      </c>
      <c r="AC2218">
        <v>8</v>
      </c>
      <c r="AD2218" s="5">
        <v>4.9491803182513303</v>
      </c>
      <c r="AE2218" s="5">
        <v>2.1715735204827089</v>
      </c>
      <c r="AF2218">
        <v>1</v>
      </c>
    </row>
    <row r="2219" spans="27:32" x14ac:dyDescent="0.3">
      <c r="AA2219" s="3">
        <v>3586.52</v>
      </c>
      <c r="AB2219">
        <v>1E-4</v>
      </c>
      <c r="AC2219">
        <v>8</v>
      </c>
      <c r="AD2219" s="5">
        <v>5.0749910774110916</v>
      </c>
      <c r="AE2219" s="5">
        <v>2.2277585567150289</v>
      </c>
      <c r="AF2219">
        <v>1</v>
      </c>
    </row>
    <row r="2220" spans="27:32" x14ac:dyDescent="0.3">
      <c r="AA2220" s="3">
        <v>1747.16</v>
      </c>
      <c r="AB2220">
        <v>1E-4</v>
      </c>
      <c r="AC2220">
        <v>8</v>
      </c>
      <c r="AD2220" s="5">
        <v>5.0842326302320053</v>
      </c>
      <c r="AE2220" s="5">
        <v>2.2170651428938939</v>
      </c>
      <c r="AF2220">
        <v>1</v>
      </c>
    </row>
    <row r="2221" spans="27:32" x14ac:dyDescent="0.3">
      <c r="AA2221" s="3">
        <v>20364.849999999999</v>
      </c>
      <c r="AB2221">
        <v>1E-4</v>
      </c>
      <c r="AC2221">
        <v>8</v>
      </c>
      <c r="AD2221" s="5">
        <v>5.0985551250979331</v>
      </c>
      <c r="AE2221" s="5">
        <v>2.1851185728694253</v>
      </c>
      <c r="AF2221">
        <v>1</v>
      </c>
    </row>
    <row r="2222" spans="27:32" x14ac:dyDescent="0.3">
      <c r="AA2222" s="3">
        <v>-946.96</v>
      </c>
      <c r="AB2222">
        <v>1E-4</v>
      </c>
      <c r="AC2222">
        <v>9</v>
      </c>
      <c r="AD2222" s="5">
        <v>4.9505879647638134</v>
      </c>
      <c r="AE2222" s="5">
        <v>2.2184017793918271</v>
      </c>
      <c r="AF2222">
        <v>1</v>
      </c>
    </row>
    <row r="2223" spans="27:32" x14ac:dyDescent="0.3">
      <c r="AA2223" s="3">
        <v>18085.54</v>
      </c>
      <c r="AB2223">
        <v>1E-4</v>
      </c>
      <c r="AC2223">
        <v>8</v>
      </c>
      <c r="AD2223" s="5">
        <v>4.7443642410378768</v>
      </c>
      <c r="AE2223" s="5">
        <v>2.2661084823766684</v>
      </c>
      <c r="AF2223">
        <v>1</v>
      </c>
    </row>
    <row r="2224" spans="27:32" x14ac:dyDescent="0.3">
      <c r="AA2224" s="3">
        <v>23777.99</v>
      </c>
      <c r="AB2224">
        <v>1E-4</v>
      </c>
      <c r="AC2224">
        <v>8</v>
      </c>
      <c r="AD2224" s="5">
        <v>4.9313428953484983</v>
      </c>
      <c r="AE2224" s="5">
        <v>2.1445595046415673</v>
      </c>
      <c r="AF2224">
        <v>1</v>
      </c>
    </row>
    <row r="2225" spans="27:32" x14ac:dyDescent="0.3">
      <c r="AA2225" s="3">
        <v>-5654.9483377708075</v>
      </c>
      <c r="AB2225">
        <v>1E-4</v>
      </c>
      <c r="AC2225">
        <v>8</v>
      </c>
      <c r="AD2225" s="5">
        <v>5.1485138886796316</v>
      </c>
      <c r="AE2225" s="5">
        <v>2.2078222923415005</v>
      </c>
      <c r="AF2225">
        <v>0</v>
      </c>
    </row>
    <row r="2226" spans="27:32" x14ac:dyDescent="0.3">
      <c r="AA2226" s="3">
        <v>14599.14</v>
      </c>
      <c r="AB2226">
        <v>1E-4</v>
      </c>
      <c r="AC2226">
        <v>8</v>
      </c>
      <c r="AD2226" s="5">
        <v>5.1182235521712816</v>
      </c>
      <c r="AE2226" s="5">
        <v>2.1854901847994377</v>
      </c>
      <c r="AF2226">
        <v>1</v>
      </c>
    </row>
    <row r="2227" spans="27:32" x14ac:dyDescent="0.3">
      <c r="AA2227" s="3">
        <v>34868.339999999997</v>
      </c>
      <c r="AB2227">
        <v>1E-4</v>
      </c>
      <c r="AC2227">
        <v>7</v>
      </c>
      <c r="AD2227" s="5">
        <v>5.0805029665573782</v>
      </c>
      <c r="AE2227" s="5">
        <v>2.2071741619930703</v>
      </c>
      <c r="AF2227">
        <v>1</v>
      </c>
    </row>
    <row r="2228" spans="27:32" x14ac:dyDescent="0.3">
      <c r="AA2228" s="3">
        <v>22434.1</v>
      </c>
      <c r="AB2228">
        <v>1E-4</v>
      </c>
      <c r="AC2228">
        <v>8</v>
      </c>
      <c r="AD2228" s="5">
        <v>5.0396698569352081</v>
      </c>
      <c r="AE2228" s="5">
        <v>2.2085438351402797</v>
      </c>
      <c r="AF2228">
        <v>1</v>
      </c>
    </row>
    <row r="2229" spans="27:32" x14ac:dyDescent="0.3">
      <c r="AA2229" s="3">
        <v>-7150.44</v>
      </c>
      <c r="AB2229">
        <v>1E-4</v>
      </c>
      <c r="AC2229">
        <v>9</v>
      </c>
      <c r="AD2229" s="5">
        <v>4.8783638617649157</v>
      </c>
      <c r="AE2229" s="5">
        <v>2.2343775963518944</v>
      </c>
      <c r="AF2229">
        <v>1</v>
      </c>
    </row>
    <row r="2230" spans="27:32" x14ac:dyDescent="0.3">
      <c r="AA2230" s="3">
        <v>28755.87</v>
      </c>
      <c r="AB2230">
        <v>1E-4</v>
      </c>
      <c r="AC2230">
        <v>7</v>
      </c>
      <c r="AD2230" s="5">
        <v>5.0278764570653509</v>
      </c>
      <c r="AE2230" s="5">
        <v>2.2620885360055181</v>
      </c>
      <c r="AF2230">
        <v>1</v>
      </c>
    </row>
    <row r="2231" spans="27:32" x14ac:dyDescent="0.3">
      <c r="AA2231" s="3">
        <v>32531.3</v>
      </c>
      <c r="AB2231">
        <v>1E-4</v>
      </c>
      <c r="AC2231">
        <v>7</v>
      </c>
      <c r="AD2231" s="5">
        <v>5.0786108318013667</v>
      </c>
      <c r="AE2231" s="5">
        <v>2.2599233510510435</v>
      </c>
      <c r="AF2231">
        <v>1</v>
      </c>
    </row>
    <row r="2232" spans="27:32" x14ac:dyDescent="0.3">
      <c r="AA2232" s="3">
        <v>7318.24</v>
      </c>
      <c r="AB2232">
        <v>1E-4</v>
      </c>
      <c r="AC2232">
        <v>8</v>
      </c>
      <c r="AD2232" s="5">
        <v>5.05074417333865</v>
      </c>
      <c r="AE2232" s="5">
        <v>2.2048610597239557</v>
      </c>
      <c r="AF2232">
        <v>1</v>
      </c>
    </row>
    <row r="2233" spans="27:32" x14ac:dyDescent="0.3">
      <c r="AA2233" s="3">
        <v>2822.51</v>
      </c>
      <c r="AB2233">
        <v>1E-4</v>
      </c>
      <c r="AC2233">
        <v>8</v>
      </c>
      <c r="AD2233" s="5">
        <v>4.9420670530921793</v>
      </c>
      <c r="AE2233" s="5">
        <v>2.182820057234828</v>
      </c>
      <c r="AF2233">
        <v>1</v>
      </c>
    </row>
    <row r="2234" spans="27:32" x14ac:dyDescent="0.3">
      <c r="AA2234" s="3">
        <v>31625.33</v>
      </c>
      <c r="AB2234">
        <v>1E-4</v>
      </c>
      <c r="AC2234">
        <v>7</v>
      </c>
      <c r="AD2234" s="5">
        <v>4.9693859637287643</v>
      </c>
      <c r="AE2234" s="5">
        <v>2.2653274861095163</v>
      </c>
      <c r="AF2234">
        <v>1</v>
      </c>
    </row>
    <row r="2235" spans="27:32" x14ac:dyDescent="0.3">
      <c r="AA2235" s="3">
        <v>26137.67</v>
      </c>
      <c r="AB2235">
        <v>1E-4</v>
      </c>
      <c r="AC2235">
        <v>8</v>
      </c>
      <c r="AD2235" s="5">
        <v>4.7994888148484254</v>
      </c>
      <c r="AE2235" s="5">
        <v>2.2641046806772875</v>
      </c>
      <c r="AF2235">
        <v>1</v>
      </c>
    </row>
    <row r="2236" spans="27:32" x14ac:dyDescent="0.3">
      <c r="AA2236" s="3">
        <v>16661.25</v>
      </c>
      <c r="AB2236">
        <v>1E-4</v>
      </c>
      <c r="AC2236">
        <v>8</v>
      </c>
      <c r="AD2236" s="5">
        <v>4.9254355542775503</v>
      </c>
      <c r="AE2236" s="5">
        <v>2.2262163761657749</v>
      </c>
      <c r="AF2236">
        <v>1</v>
      </c>
    </row>
    <row r="2237" spans="27:32" x14ac:dyDescent="0.3">
      <c r="AA2237" s="3">
        <v>52654.97</v>
      </c>
      <c r="AB2237">
        <v>1E-4</v>
      </c>
      <c r="AC2237">
        <v>6</v>
      </c>
      <c r="AD2237" s="5">
        <v>5.1198824513674737</v>
      </c>
      <c r="AE2237" s="5">
        <v>2.1758058298842244</v>
      </c>
      <c r="AF2237">
        <v>1</v>
      </c>
    </row>
    <row r="2238" spans="27:32" x14ac:dyDescent="0.3">
      <c r="AA2238" s="3">
        <v>-145.82</v>
      </c>
      <c r="AB2238">
        <v>1E-4</v>
      </c>
      <c r="AC2238">
        <v>9</v>
      </c>
      <c r="AD2238" s="5">
        <v>4.9961461261857414</v>
      </c>
      <c r="AE2238" s="5">
        <v>2.1685864356611431</v>
      </c>
      <c r="AF2238">
        <v>1</v>
      </c>
    </row>
    <row r="2239" spans="27:32" x14ac:dyDescent="0.3">
      <c r="AA2239" s="3">
        <v>18501.55</v>
      </c>
      <c r="AB2239">
        <v>1E-4</v>
      </c>
      <c r="AC2239">
        <v>8</v>
      </c>
      <c r="AD2239" s="5">
        <v>5.0187244007872671</v>
      </c>
      <c r="AE2239" s="5">
        <v>2.1581297514087932</v>
      </c>
      <c r="AF2239">
        <v>1</v>
      </c>
    </row>
    <row r="2240" spans="27:32" x14ac:dyDescent="0.3">
      <c r="AA2240" s="3">
        <v>20534.55</v>
      </c>
      <c r="AB2240">
        <v>1E-4</v>
      </c>
      <c r="AC2240">
        <v>8</v>
      </c>
      <c r="AD2240" s="5">
        <v>4.930193101323562</v>
      </c>
      <c r="AE2240" s="5">
        <v>2.1417435694371223</v>
      </c>
      <c r="AF2240">
        <v>1</v>
      </c>
    </row>
    <row r="2241" spans="27:32" x14ac:dyDescent="0.3">
      <c r="AA2241" s="3">
        <v>16983.599999999999</v>
      </c>
      <c r="AB2241">
        <v>1E-4</v>
      </c>
      <c r="AC2241">
        <v>8</v>
      </c>
      <c r="AD2241" s="5">
        <v>5.0055394393318009</v>
      </c>
      <c r="AE2241" s="5">
        <v>2.2163461502637851</v>
      </c>
      <c r="AF2241">
        <v>1</v>
      </c>
    </row>
    <row r="2242" spans="27:32" x14ac:dyDescent="0.3">
      <c r="AA2242" s="3">
        <v>35821.89</v>
      </c>
      <c r="AB2242">
        <v>1E-4</v>
      </c>
      <c r="AC2242">
        <v>7</v>
      </c>
      <c r="AD2242" s="5">
        <v>5.0165718949130271</v>
      </c>
      <c r="AE2242" s="5">
        <v>2.1424828804305256</v>
      </c>
      <c r="AF2242">
        <v>1</v>
      </c>
    </row>
    <row r="2243" spans="27:32" x14ac:dyDescent="0.3">
      <c r="AA2243" s="3">
        <v>3022.22</v>
      </c>
      <c r="AB2243">
        <v>1E-4</v>
      </c>
      <c r="AC2243">
        <v>8</v>
      </c>
      <c r="AD2243" s="5">
        <v>5.1259632564588502</v>
      </c>
      <c r="AE2243" s="5">
        <v>2.2453356806501157</v>
      </c>
      <c r="AF2243">
        <v>1</v>
      </c>
    </row>
    <row r="2244" spans="27:32" x14ac:dyDescent="0.3">
      <c r="AA2244" s="3">
        <v>-6853.7</v>
      </c>
      <c r="AB2244">
        <v>1E-4</v>
      </c>
      <c r="AC2244">
        <v>9</v>
      </c>
      <c r="AD2244" s="5">
        <v>4.916265233816322</v>
      </c>
      <c r="AE2244" s="5">
        <v>2.1224152784915318</v>
      </c>
      <c r="AF2244">
        <v>1</v>
      </c>
    </row>
    <row r="2245" spans="27:32" x14ac:dyDescent="0.3">
      <c r="AA2245" s="3">
        <v>6231.99</v>
      </c>
      <c r="AB2245">
        <v>1E-4</v>
      </c>
      <c r="AC2245">
        <v>8</v>
      </c>
      <c r="AD2245" s="5">
        <v>4.9970759835178695</v>
      </c>
      <c r="AE2245" s="5">
        <v>2.2093045009260326</v>
      </c>
      <c r="AF2245">
        <v>1</v>
      </c>
    </row>
    <row r="2246" spans="27:32" x14ac:dyDescent="0.3">
      <c r="AA2246" s="3">
        <v>-5570.88</v>
      </c>
      <c r="AB2246">
        <v>1E-4</v>
      </c>
      <c r="AC2246">
        <v>9</v>
      </c>
      <c r="AD2246" s="5">
        <v>4.8485843618108291</v>
      </c>
      <c r="AE2246" s="5">
        <v>2.1681083495693492</v>
      </c>
      <c r="AF2246">
        <v>1</v>
      </c>
    </row>
    <row r="2247" spans="27:32" x14ac:dyDescent="0.3">
      <c r="AA2247" s="3">
        <v>3777.31</v>
      </c>
      <c r="AB2247">
        <v>1E-4</v>
      </c>
      <c r="AC2247">
        <v>8</v>
      </c>
      <c r="AD2247" s="5">
        <v>5.1735560989966567</v>
      </c>
      <c r="AE2247" s="5">
        <v>2.1900374472480246</v>
      </c>
      <c r="AF2247">
        <v>1</v>
      </c>
    </row>
    <row r="2248" spans="27:32" x14ac:dyDescent="0.3">
      <c r="AA2248" s="3">
        <v>24033.57</v>
      </c>
      <c r="AB2248">
        <v>1E-4</v>
      </c>
      <c r="AC2248">
        <v>8</v>
      </c>
      <c r="AD2248" s="5">
        <v>5.1641506758568347</v>
      </c>
      <c r="AE2248" s="5">
        <v>2.2354683265487516</v>
      </c>
      <c r="AF2248">
        <v>1</v>
      </c>
    </row>
    <row r="2249" spans="27:32" x14ac:dyDescent="0.3">
      <c r="AA2249" s="3">
        <v>-13600.64</v>
      </c>
      <c r="AB2249">
        <v>1E-4</v>
      </c>
      <c r="AC2249">
        <v>9</v>
      </c>
      <c r="AD2249" s="5">
        <v>4.9260212666050753</v>
      </c>
      <c r="AE2249" s="5">
        <v>2.2444665574234817</v>
      </c>
      <c r="AF2249">
        <v>1</v>
      </c>
    </row>
    <row r="2250" spans="27:32" x14ac:dyDescent="0.3">
      <c r="AA2250" s="3">
        <v>11753.53</v>
      </c>
      <c r="AB2250">
        <v>1E-4</v>
      </c>
      <c r="AC2250">
        <v>8</v>
      </c>
      <c r="AD2250" s="5">
        <v>4.8929513602202892</v>
      </c>
      <c r="AE2250" s="5">
        <v>2.2271981611388685</v>
      </c>
      <c r="AF2250">
        <v>1</v>
      </c>
    </row>
    <row r="2251" spans="27:32" x14ac:dyDescent="0.3">
      <c r="AA2251" s="3">
        <v>39180.92</v>
      </c>
      <c r="AB2251">
        <v>1E-4</v>
      </c>
      <c r="AC2251">
        <v>7</v>
      </c>
      <c r="AD2251" s="5">
        <v>5.1509002978462863</v>
      </c>
      <c r="AE2251" s="5">
        <v>2.2525716906969637</v>
      </c>
      <c r="AF2251">
        <v>1</v>
      </c>
    </row>
    <row r="2252" spans="27:32" x14ac:dyDescent="0.3">
      <c r="AA2252" s="3">
        <v>7557.87</v>
      </c>
      <c r="AB2252">
        <v>1E-4</v>
      </c>
      <c r="AC2252">
        <v>8</v>
      </c>
      <c r="AD2252" s="5">
        <v>4.9380986993480693</v>
      </c>
      <c r="AE2252" s="5">
        <v>2.2006428084898833</v>
      </c>
      <c r="AF2252">
        <v>1</v>
      </c>
    </row>
    <row r="2253" spans="27:32" x14ac:dyDescent="0.3">
      <c r="AA2253" s="3">
        <v>43237.01</v>
      </c>
      <c r="AB2253">
        <v>1E-4</v>
      </c>
      <c r="AC2253">
        <v>7</v>
      </c>
      <c r="AD2253" s="5">
        <v>4.9737266744804272</v>
      </c>
      <c r="AE2253" s="5">
        <v>2.2063679512148271</v>
      </c>
      <c r="AF2253">
        <v>1</v>
      </c>
    </row>
    <row r="2254" spans="27:32" x14ac:dyDescent="0.3">
      <c r="AA2254" s="3">
        <v>18531.25</v>
      </c>
      <c r="AB2254">
        <v>1E-4</v>
      </c>
      <c r="AC2254">
        <v>8</v>
      </c>
      <c r="AD2254" s="5">
        <v>4.9876661841321832</v>
      </c>
      <c r="AE2254" s="5">
        <v>2.1737129645392272</v>
      </c>
      <c r="AF2254">
        <v>1</v>
      </c>
    </row>
    <row r="2255" spans="27:32" x14ac:dyDescent="0.3">
      <c r="AA2255" s="3">
        <v>4867.6499999999996</v>
      </c>
      <c r="AB2255">
        <v>1E-4</v>
      </c>
      <c r="AC2255">
        <v>8</v>
      </c>
      <c r="AD2255" s="5">
        <v>5.0988373309754405</v>
      </c>
      <c r="AE2255" s="5">
        <v>2.2165060143697097</v>
      </c>
      <c r="AF2255">
        <v>1</v>
      </c>
    </row>
    <row r="2256" spans="27:32" x14ac:dyDescent="0.3">
      <c r="AA2256" s="3">
        <v>-8214.99</v>
      </c>
      <c r="AB2256">
        <v>1E-4</v>
      </c>
      <c r="AC2256">
        <v>9</v>
      </c>
      <c r="AD2256" s="5">
        <v>4.797781407758352</v>
      </c>
      <c r="AE2256" s="5">
        <v>2.1871271179685454</v>
      </c>
      <c r="AF2256">
        <v>1</v>
      </c>
    </row>
    <row r="2257" spans="27:32" x14ac:dyDescent="0.3">
      <c r="AA2257" s="3">
        <v>24128.560000000001</v>
      </c>
      <c r="AB2257">
        <v>1E-4</v>
      </c>
      <c r="AC2257">
        <v>8</v>
      </c>
      <c r="AD2257" s="5">
        <v>5.0668702976160471</v>
      </c>
      <c r="AE2257" s="5">
        <v>2.218952140961417</v>
      </c>
      <c r="AF2257">
        <v>1</v>
      </c>
    </row>
    <row r="2258" spans="27:32" x14ac:dyDescent="0.3">
      <c r="AA2258" s="3">
        <v>6856.71</v>
      </c>
      <c r="AB2258">
        <v>1E-4</v>
      </c>
      <c r="AC2258">
        <v>8</v>
      </c>
      <c r="AD2258" s="5">
        <v>4.8636860196612339</v>
      </c>
      <c r="AE2258" s="5">
        <v>2.1656313892083143</v>
      </c>
      <c r="AF2258">
        <v>1</v>
      </c>
    </row>
    <row r="2259" spans="27:32" x14ac:dyDescent="0.3">
      <c r="AA2259" s="3">
        <v>34437.300000000003</v>
      </c>
      <c r="AB2259">
        <v>1E-4</v>
      </c>
      <c r="AC2259">
        <v>7</v>
      </c>
      <c r="AD2259" s="5">
        <v>5.058204752420723</v>
      </c>
      <c r="AE2259" s="5">
        <v>2.1127170311090255</v>
      </c>
      <c r="AF2259">
        <v>1</v>
      </c>
    </row>
    <row r="2260" spans="27:32" x14ac:dyDescent="0.3">
      <c r="AA2260" s="3">
        <v>36440.44</v>
      </c>
      <c r="AB2260">
        <v>1E-4</v>
      </c>
      <c r="AC2260">
        <v>7</v>
      </c>
      <c r="AD2260" s="5">
        <v>5.0543070231120248</v>
      </c>
      <c r="AE2260" s="5">
        <v>2.1403657174345487</v>
      </c>
      <c r="AF2260">
        <v>1</v>
      </c>
    </row>
    <row r="2261" spans="27:32" x14ac:dyDescent="0.3">
      <c r="AA2261" s="3">
        <v>20038.79</v>
      </c>
      <c r="AB2261">
        <v>1E-4</v>
      </c>
      <c r="AC2261">
        <v>8</v>
      </c>
      <c r="AD2261" s="5">
        <v>5.0481383915182079</v>
      </c>
      <c r="AE2261" s="5">
        <v>2.2841028155628278</v>
      </c>
      <c r="AF2261">
        <v>1</v>
      </c>
    </row>
    <row r="2262" spans="27:32" x14ac:dyDescent="0.3">
      <c r="AA2262" s="3">
        <v>32230.78</v>
      </c>
      <c r="AB2262">
        <v>1E-4</v>
      </c>
      <c r="AC2262">
        <v>7</v>
      </c>
      <c r="AD2262" s="5">
        <v>5.1059821054890095</v>
      </c>
      <c r="AE2262" s="5">
        <v>2.2558991465407079</v>
      </c>
      <c r="AF2262">
        <v>1</v>
      </c>
    </row>
    <row r="2263" spans="27:32" x14ac:dyDescent="0.3">
      <c r="AA2263" s="3">
        <v>29586.83</v>
      </c>
      <c r="AB2263">
        <v>1E-4</v>
      </c>
      <c r="AC2263">
        <v>8</v>
      </c>
      <c r="AD2263" s="5">
        <v>5.0840499160852559</v>
      </c>
      <c r="AE2263" s="5">
        <v>2.1030465195494896</v>
      </c>
      <c r="AF2263">
        <v>1</v>
      </c>
    </row>
    <row r="2264" spans="27:32" x14ac:dyDescent="0.3">
      <c r="AA2264" s="3">
        <v>16183.68</v>
      </c>
      <c r="AB2264">
        <v>1E-4</v>
      </c>
      <c r="AC2264">
        <v>8</v>
      </c>
      <c r="AD2264" s="5">
        <v>5.0359253989279322</v>
      </c>
      <c r="AE2264" s="5">
        <v>2.1527613401329244</v>
      </c>
      <c r="AF2264">
        <v>1</v>
      </c>
    </row>
    <row r="2265" spans="27:32" x14ac:dyDescent="0.3">
      <c r="AA2265" s="3">
        <v>-2542.23</v>
      </c>
      <c r="AB2265">
        <v>1E-4</v>
      </c>
      <c r="AC2265">
        <v>9</v>
      </c>
      <c r="AD2265" s="5">
        <v>5.0335430463514053</v>
      </c>
      <c r="AE2265" s="5">
        <v>2.3115954163176249</v>
      </c>
      <c r="AF2265">
        <v>1</v>
      </c>
    </row>
    <row r="2266" spans="27:32" x14ac:dyDescent="0.3">
      <c r="AA2266" s="3">
        <v>32504.9</v>
      </c>
      <c r="AB2266">
        <v>1E-4</v>
      </c>
      <c r="AC2266">
        <v>7</v>
      </c>
      <c r="AD2266" s="5">
        <v>5.1511000231902111</v>
      </c>
      <c r="AE2266" s="5">
        <v>2.2736574738959128</v>
      </c>
      <c r="AF2266">
        <v>1</v>
      </c>
    </row>
    <row r="2267" spans="27:32" x14ac:dyDescent="0.3">
      <c r="AA2267" s="3">
        <v>-17666.830000000002</v>
      </c>
      <c r="AB2267">
        <v>1E-4</v>
      </c>
      <c r="AC2267">
        <v>9</v>
      </c>
      <c r="AD2267" s="5">
        <v>4.905045605862453</v>
      </c>
      <c r="AE2267" s="5">
        <v>2.27938293554246</v>
      </c>
      <c r="AF2267">
        <v>1</v>
      </c>
    </row>
    <row r="2268" spans="27:32" x14ac:dyDescent="0.3">
      <c r="AA2268" s="3">
        <v>11552.33</v>
      </c>
      <c r="AB2268">
        <v>1E-4</v>
      </c>
      <c r="AC2268">
        <v>8</v>
      </c>
      <c r="AD2268" s="5">
        <v>4.8429147712914187</v>
      </c>
      <c r="AE2268" s="5">
        <v>2.177754936550198</v>
      </c>
      <c r="AF2268">
        <v>1</v>
      </c>
    </row>
    <row r="2269" spans="27:32" x14ac:dyDescent="0.3">
      <c r="AA2269" s="3">
        <v>-2018.39</v>
      </c>
      <c r="AB2269">
        <v>1E-4</v>
      </c>
      <c r="AC2269">
        <v>9</v>
      </c>
      <c r="AD2269" s="5">
        <v>4.9928134396654453</v>
      </c>
      <c r="AE2269" s="5">
        <v>2.2512936761466378</v>
      </c>
      <c r="AF2269">
        <v>1</v>
      </c>
    </row>
    <row r="2270" spans="27:32" x14ac:dyDescent="0.3">
      <c r="AA2270" s="3">
        <v>27850.45</v>
      </c>
      <c r="AB2270">
        <v>1E-4</v>
      </c>
      <c r="AC2270">
        <v>7</v>
      </c>
      <c r="AD2270" s="5">
        <v>5.0980262538552763</v>
      </c>
      <c r="AE2270" s="5">
        <v>2.1117156960128516</v>
      </c>
      <c r="AF2270">
        <v>1</v>
      </c>
    </row>
    <row r="2271" spans="27:32" x14ac:dyDescent="0.3">
      <c r="AA2271" s="3">
        <v>279.64</v>
      </c>
      <c r="AB2271">
        <v>1E-4</v>
      </c>
      <c r="AC2271">
        <v>8</v>
      </c>
      <c r="AD2271" s="5">
        <v>5.0430338798494727</v>
      </c>
      <c r="AE2271" s="5">
        <v>2.2919262443220578</v>
      </c>
      <c r="AF2271">
        <v>1</v>
      </c>
    </row>
    <row r="2272" spans="27:32" x14ac:dyDescent="0.3">
      <c r="AA2272" s="3">
        <v>-3289.74</v>
      </c>
      <c r="AB2272">
        <v>1E-4</v>
      </c>
      <c r="AC2272">
        <v>9</v>
      </c>
      <c r="AD2272" s="5">
        <v>4.9432042940809469</v>
      </c>
      <c r="AE2272" s="5">
        <v>2.2505403478527879</v>
      </c>
      <c r="AF2272">
        <v>1</v>
      </c>
    </row>
    <row r="2273" spans="27:32" x14ac:dyDescent="0.3">
      <c r="AA2273" s="3">
        <v>1711.95</v>
      </c>
      <c r="AB2273">
        <v>1E-4</v>
      </c>
      <c r="AC2273">
        <v>8</v>
      </c>
      <c r="AD2273" s="5">
        <v>4.8899906278907563</v>
      </c>
      <c r="AE2273" s="5">
        <v>2.2269888442516694</v>
      </c>
      <c r="AF2273">
        <v>1</v>
      </c>
    </row>
    <row r="2274" spans="27:32" x14ac:dyDescent="0.3">
      <c r="AA2274" s="3">
        <v>-7371.51</v>
      </c>
      <c r="AB2274">
        <v>1E-4</v>
      </c>
      <c r="AC2274">
        <v>9</v>
      </c>
      <c r="AD2274" s="5">
        <v>4.9574195710088444</v>
      </c>
      <c r="AE2274" s="5">
        <v>2.2883648467327409</v>
      </c>
      <c r="AF2274">
        <v>1</v>
      </c>
    </row>
    <row r="2275" spans="27:32" x14ac:dyDescent="0.3">
      <c r="AA2275" s="3">
        <v>37022.97</v>
      </c>
      <c r="AB2275">
        <v>1E-4</v>
      </c>
      <c r="AC2275">
        <v>7</v>
      </c>
      <c r="AD2275" s="5">
        <v>4.8905460886148386</v>
      </c>
      <c r="AE2275" s="5">
        <v>2.1532293758846524</v>
      </c>
      <c r="AF2275">
        <v>1</v>
      </c>
    </row>
    <row r="2276" spans="27:32" x14ac:dyDescent="0.3">
      <c r="AA2276" s="3">
        <v>38246.53</v>
      </c>
      <c r="AB2276">
        <v>1E-4</v>
      </c>
      <c r="AC2276">
        <v>7</v>
      </c>
      <c r="AD2276" s="5">
        <v>5.0782456974679917</v>
      </c>
      <c r="AE2276" s="5">
        <v>2.1520448194739124</v>
      </c>
      <c r="AF2276">
        <v>1</v>
      </c>
    </row>
    <row r="2277" spans="27:32" x14ac:dyDescent="0.3">
      <c r="AA2277" s="3">
        <v>7851.76</v>
      </c>
      <c r="AB2277">
        <v>1E-4</v>
      </c>
      <c r="AC2277">
        <v>8</v>
      </c>
      <c r="AD2277" s="5">
        <v>5.001456101186716</v>
      </c>
      <c r="AE2277" s="5">
        <v>2.1595025230589586</v>
      </c>
      <c r="AF2277">
        <v>1</v>
      </c>
    </row>
    <row r="2278" spans="27:32" x14ac:dyDescent="0.3">
      <c r="AA2278" s="3">
        <v>32270.12</v>
      </c>
      <c r="AB2278">
        <v>1E-4</v>
      </c>
      <c r="AC2278">
        <v>7</v>
      </c>
      <c r="AD2278" s="5">
        <v>5.0776363811704988</v>
      </c>
      <c r="AE2278" s="5">
        <v>2.2243481044057805</v>
      </c>
      <c r="AF2278">
        <v>1</v>
      </c>
    </row>
    <row r="2279" spans="27:32" x14ac:dyDescent="0.3">
      <c r="AA2279" s="3">
        <v>9760.64</v>
      </c>
      <c r="AB2279">
        <v>1E-4</v>
      </c>
      <c r="AC2279">
        <v>8</v>
      </c>
      <c r="AD2279" s="5">
        <v>4.9012837045771995</v>
      </c>
      <c r="AE2279" s="5">
        <v>2.1358114930621039</v>
      </c>
      <c r="AF2279">
        <v>1</v>
      </c>
    </row>
    <row r="2280" spans="27:32" x14ac:dyDescent="0.3">
      <c r="AA2280" s="3">
        <v>30292.79</v>
      </c>
      <c r="AB2280">
        <v>1E-4</v>
      </c>
      <c r="AC2280">
        <v>7</v>
      </c>
      <c r="AD2280" s="5">
        <v>4.8974158567893422</v>
      </c>
      <c r="AE2280" s="5">
        <v>2.2112779128711244</v>
      </c>
      <c r="AF2280">
        <v>1</v>
      </c>
    </row>
    <row r="2281" spans="27:32" x14ac:dyDescent="0.3">
      <c r="AA2281" s="3">
        <v>-4545</v>
      </c>
      <c r="AB2281">
        <v>1E-4</v>
      </c>
      <c r="AC2281">
        <v>9</v>
      </c>
      <c r="AD2281" s="5">
        <v>4.8747680315550017</v>
      </c>
      <c r="AE2281" s="5">
        <v>2.2250626944938854</v>
      </c>
      <c r="AF2281">
        <v>1</v>
      </c>
    </row>
    <row r="2282" spans="27:32" x14ac:dyDescent="0.3">
      <c r="AA2282" s="3">
        <v>32466.240000000002</v>
      </c>
      <c r="AB2282">
        <v>1E-4</v>
      </c>
      <c r="AC2282">
        <v>7</v>
      </c>
      <c r="AD2282" s="5">
        <v>4.9779783463594516</v>
      </c>
      <c r="AE2282" s="5">
        <v>2.1471622960226084</v>
      </c>
      <c r="AF2282">
        <v>1</v>
      </c>
    </row>
    <row r="2283" spans="27:32" x14ac:dyDescent="0.3">
      <c r="AA2283" s="3">
        <v>18891.57</v>
      </c>
      <c r="AB2283">
        <v>1E-4</v>
      </c>
      <c r="AC2283">
        <v>8</v>
      </c>
      <c r="AD2283" s="5">
        <v>4.8994270269213542</v>
      </c>
      <c r="AE2283" s="5">
        <v>2.2253838445002367</v>
      </c>
      <c r="AF2283">
        <v>1</v>
      </c>
    </row>
    <row r="2284" spans="27:32" x14ac:dyDescent="0.3">
      <c r="AA2284" s="3">
        <v>-2601.79</v>
      </c>
      <c r="AB2284">
        <v>1E-4</v>
      </c>
      <c r="AC2284">
        <v>9</v>
      </c>
      <c r="AD2284" s="5">
        <v>4.9173169848027305</v>
      </c>
      <c r="AE2284" s="5">
        <v>2.2744292373932637</v>
      </c>
      <c r="AF2284">
        <v>1</v>
      </c>
    </row>
    <row r="2285" spans="27:32" x14ac:dyDescent="0.3">
      <c r="AA2285" s="3">
        <v>24689.68</v>
      </c>
      <c r="AB2285">
        <v>1E-4</v>
      </c>
      <c r="AC2285">
        <v>8</v>
      </c>
      <c r="AD2285" s="5">
        <v>4.8998889199642273</v>
      </c>
      <c r="AE2285" s="5">
        <v>2.2074191320800942</v>
      </c>
      <c r="AF2285">
        <v>1</v>
      </c>
    </row>
    <row r="2286" spans="27:32" x14ac:dyDescent="0.3">
      <c r="AA2286" s="3">
        <v>16883.82</v>
      </c>
      <c r="AB2286">
        <v>1E-4</v>
      </c>
      <c r="AC2286">
        <v>8</v>
      </c>
      <c r="AD2286" s="5">
        <v>4.9184674679704683</v>
      </c>
      <c r="AE2286" s="5">
        <v>2.2468359484492324</v>
      </c>
      <c r="AF2286">
        <v>1</v>
      </c>
    </row>
    <row r="2287" spans="27:32" x14ac:dyDescent="0.3">
      <c r="AA2287" s="3">
        <v>26200.11</v>
      </c>
      <c r="AB2287">
        <v>1E-4</v>
      </c>
      <c r="AC2287">
        <v>8</v>
      </c>
      <c r="AD2287" s="5">
        <v>5.0014624067669224</v>
      </c>
      <c r="AE2287" s="5">
        <v>2.2201512903358602</v>
      </c>
      <c r="AF2287">
        <v>1</v>
      </c>
    </row>
    <row r="2288" spans="27:32" x14ac:dyDescent="0.3">
      <c r="AA2288" s="3">
        <v>36631.699999999997</v>
      </c>
      <c r="AB2288">
        <v>1E-4</v>
      </c>
      <c r="AC2288">
        <v>7</v>
      </c>
      <c r="AD2288" s="5">
        <v>4.9362004831597366</v>
      </c>
      <c r="AE2288" s="5">
        <v>2.2027251916945882</v>
      </c>
      <c r="AF2288">
        <v>1</v>
      </c>
    </row>
    <row r="2289" spans="27:32" x14ac:dyDescent="0.3">
      <c r="AA2289" s="3">
        <v>18185.28</v>
      </c>
      <c r="AB2289">
        <v>1E-4</v>
      </c>
      <c r="AC2289">
        <v>8</v>
      </c>
      <c r="AD2289" s="5">
        <v>4.963946008353302</v>
      </c>
      <c r="AE2289" s="5">
        <v>2.1355074660871929</v>
      </c>
      <c r="AF2289">
        <v>1</v>
      </c>
    </row>
    <row r="2290" spans="27:32" x14ac:dyDescent="0.3">
      <c r="AA2290" s="3">
        <v>23120.400000000001</v>
      </c>
      <c r="AB2290">
        <v>1E-4</v>
      </c>
      <c r="AC2290">
        <v>8</v>
      </c>
      <c r="AD2290" s="5">
        <v>4.9611029700600877</v>
      </c>
      <c r="AE2290" s="5">
        <v>2.1499567311843646</v>
      </c>
      <c r="AF2290">
        <v>1</v>
      </c>
    </row>
    <row r="2291" spans="27:32" x14ac:dyDescent="0.3">
      <c r="AA2291" s="3">
        <v>21748.53</v>
      </c>
      <c r="AB2291">
        <v>1E-4</v>
      </c>
      <c r="AC2291">
        <v>8</v>
      </c>
      <c r="AD2291" s="5">
        <v>5.0980051142412792</v>
      </c>
      <c r="AE2291" s="5">
        <v>2.1506902354455146</v>
      </c>
      <c r="AF2291">
        <v>1</v>
      </c>
    </row>
    <row r="2292" spans="27:32" x14ac:dyDescent="0.3">
      <c r="AA2292" s="3">
        <v>12667.01</v>
      </c>
      <c r="AB2292">
        <v>1E-4</v>
      </c>
      <c r="AC2292">
        <v>8</v>
      </c>
      <c r="AD2292" s="5">
        <v>4.8953016333008579</v>
      </c>
      <c r="AE2292" s="5">
        <v>2.273153457780265</v>
      </c>
      <c r="AF2292">
        <v>1</v>
      </c>
    </row>
    <row r="2293" spans="27:32" x14ac:dyDescent="0.3">
      <c r="AA2293" s="3">
        <v>11828.91</v>
      </c>
      <c r="AB2293">
        <v>1E-4</v>
      </c>
      <c r="AC2293">
        <v>8</v>
      </c>
      <c r="AD2293" s="5">
        <v>4.9733944003310944</v>
      </c>
      <c r="AE2293" s="5">
        <v>2.2235957848928454</v>
      </c>
      <c r="AF2293">
        <v>1</v>
      </c>
    </row>
    <row r="2294" spans="27:32" x14ac:dyDescent="0.3">
      <c r="AA2294" s="3">
        <v>15994.1</v>
      </c>
      <c r="AB2294">
        <v>1E-4</v>
      </c>
      <c r="AC2294">
        <v>8</v>
      </c>
      <c r="AD2294" s="5">
        <v>4.9040254428575532</v>
      </c>
      <c r="AE2294" s="5">
        <v>2.1981855253461098</v>
      </c>
      <c r="AF2294">
        <v>1</v>
      </c>
    </row>
    <row r="2295" spans="27:32" x14ac:dyDescent="0.3">
      <c r="AA2295" s="3">
        <v>5508.63</v>
      </c>
      <c r="AB2295">
        <v>1E-4</v>
      </c>
      <c r="AC2295">
        <v>8</v>
      </c>
      <c r="AD2295" s="5">
        <v>4.9829481640497288</v>
      </c>
      <c r="AE2295" s="5">
        <v>2.2993167491294555</v>
      </c>
      <c r="AF2295">
        <v>1</v>
      </c>
    </row>
    <row r="2296" spans="27:32" x14ac:dyDescent="0.3">
      <c r="AA2296" s="3">
        <v>7364.62</v>
      </c>
      <c r="AB2296">
        <v>1E-4</v>
      </c>
      <c r="AC2296">
        <v>8</v>
      </c>
      <c r="AD2296" s="5">
        <v>4.9382473338967827</v>
      </c>
      <c r="AE2296" s="5">
        <v>2.2466772442228886</v>
      </c>
      <c r="AF2296">
        <v>1</v>
      </c>
    </row>
    <row r="2297" spans="27:32" x14ac:dyDescent="0.3">
      <c r="AA2297" s="3">
        <v>19042.71</v>
      </c>
      <c r="AB2297">
        <v>1E-4</v>
      </c>
      <c r="AC2297">
        <v>8</v>
      </c>
      <c r="AD2297" s="5">
        <v>5.0669835231795943</v>
      </c>
      <c r="AE2297" s="5">
        <v>2.2188163194512462</v>
      </c>
      <c r="AF2297">
        <v>1</v>
      </c>
    </row>
    <row r="2298" spans="27:32" x14ac:dyDescent="0.3">
      <c r="AA2298" s="3">
        <v>49724.25</v>
      </c>
      <c r="AB2298">
        <v>1E-4</v>
      </c>
      <c r="AC2298">
        <v>6</v>
      </c>
      <c r="AD2298" s="5">
        <v>5.0608018124462113</v>
      </c>
      <c r="AE2298" s="5">
        <v>2.2360920679064886</v>
      </c>
      <c r="AF2298">
        <v>1</v>
      </c>
    </row>
    <row r="2299" spans="27:32" x14ac:dyDescent="0.3">
      <c r="AA2299" s="3">
        <v>31377.48</v>
      </c>
      <c r="AB2299">
        <v>1E-4</v>
      </c>
      <c r="AC2299">
        <v>7</v>
      </c>
      <c r="AD2299" s="5">
        <v>5.0568862583440763</v>
      </c>
      <c r="AE2299" s="5">
        <v>2.2026014945304557</v>
      </c>
      <c r="AF2299">
        <v>1</v>
      </c>
    </row>
    <row r="2300" spans="27:32" x14ac:dyDescent="0.3">
      <c r="AA2300" s="3">
        <v>6885.07</v>
      </c>
      <c r="AB2300">
        <v>1E-4</v>
      </c>
      <c r="AC2300">
        <v>8</v>
      </c>
      <c r="AD2300" s="5">
        <v>5.118053057958547</v>
      </c>
      <c r="AE2300" s="5">
        <v>2.2339068821773882</v>
      </c>
      <c r="AF2300">
        <v>1</v>
      </c>
    </row>
    <row r="2301" spans="27:32" x14ac:dyDescent="0.3">
      <c r="AA2301" s="3">
        <v>13053.14</v>
      </c>
      <c r="AB2301">
        <v>1E-4</v>
      </c>
      <c r="AC2301">
        <v>8</v>
      </c>
      <c r="AD2301" s="5">
        <v>4.9316642113849092</v>
      </c>
      <c r="AE2301" s="5">
        <v>2.2003964794705912</v>
      </c>
      <c r="AF2301">
        <v>1</v>
      </c>
    </row>
    <row r="2302" spans="27:32" x14ac:dyDescent="0.3">
      <c r="AA2302" s="3">
        <v>15654.93</v>
      </c>
      <c r="AB2302">
        <v>1E-4</v>
      </c>
      <c r="AC2302">
        <v>8</v>
      </c>
      <c r="AD2302" s="5">
        <v>5.0590913578409262</v>
      </c>
      <c r="AE2302" s="5">
        <v>2.1584416721130935</v>
      </c>
      <c r="AF2302">
        <v>1</v>
      </c>
    </row>
    <row r="2303" spans="27:32" x14ac:dyDescent="0.3">
      <c r="AA2303" s="3">
        <v>33551.919999999998</v>
      </c>
      <c r="AB2303">
        <v>1E-4</v>
      </c>
      <c r="AC2303">
        <v>7</v>
      </c>
      <c r="AD2303" s="5">
        <v>5.0381063521812006</v>
      </c>
      <c r="AE2303" s="5">
        <v>2.2761761012648614</v>
      </c>
      <c r="AF2303">
        <v>1</v>
      </c>
    </row>
    <row r="2304" spans="27:32" x14ac:dyDescent="0.3">
      <c r="AA2304" s="3">
        <v>17778.509999999998</v>
      </c>
      <c r="AB2304">
        <v>1E-4</v>
      </c>
      <c r="AC2304">
        <v>8</v>
      </c>
      <c r="AD2304" s="5">
        <v>5.0183972782639259</v>
      </c>
      <c r="AE2304" s="5">
        <v>2.1825615078986633</v>
      </c>
      <c r="AF2304">
        <v>1</v>
      </c>
    </row>
    <row r="2305" spans="27:32" x14ac:dyDescent="0.3">
      <c r="AA2305" s="3">
        <v>27716.21</v>
      </c>
      <c r="AB2305">
        <v>1E-4</v>
      </c>
      <c r="AC2305">
        <v>8</v>
      </c>
      <c r="AD2305" s="5">
        <v>5.091264586810297</v>
      </c>
      <c r="AE2305" s="5">
        <v>2.1377555455832171</v>
      </c>
      <c r="AF2305">
        <v>1</v>
      </c>
    </row>
    <row r="2306" spans="27:32" x14ac:dyDescent="0.3">
      <c r="AA2306" s="3">
        <v>8391.1200000000008</v>
      </c>
      <c r="AB2306">
        <v>1E-4</v>
      </c>
      <c r="AC2306">
        <v>8</v>
      </c>
      <c r="AD2306" s="5">
        <v>5.0956969032955692</v>
      </c>
      <c r="AE2306" s="5">
        <v>2.1427320223666557</v>
      </c>
      <c r="AF2306">
        <v>1</v>
      </c>
    </row>
    <row r="2307" spans="27:32" x14ac:dyDescent="0.3">
      <c r="AA2307" s="3">
        <v>4060.6</v>
      </c>
      <c r="AB2307">
        <v>1E-4</v>
      </c>
      <c r="AC2307">
        <v>8</v>
      </c>
      <c r="AD2307" s="5">
        <v>4.974967572038727</v>
      </c>
      <c r="AE2307" s="5">
        <v>2.2353605633704472</v>
      </c>
      <c r="AF2307">
        <v>1</v>
      </c>
    </row>
    <row r="2308" spans="27:32" x14ac:dyDescent="0.3">
      <c r="AA2308" s="3">
        <v>3255.17</v>
      </c>
      <c r="AB2308">
        <v>1E-4</v>
      </c>
      <c r="AC2308">
        <v>8</v>
      </c>
      <c r="AD2308" s="5">
        <v>4.9879262842331569</v>
      </c>
      <c r="AE2308" s="5">
        <v>2.152562275510804</v>
      </c>
      <c r="AF2308">
        <v>1</v>
      </c>
    </row>
    <row r="2309" spans="27:32" x14ac:dyDescent="0.3">
      <c r="AA2309" s="3">
        <v>6261.63</v>
      </c>
      <c r="AB2309">
        <v>1E-4</v>
      </c>
      <c r="AC2309">
        <v>8</v>
      </c>
      <c r="AD2309" s="5">
        <v>5.0169420872494515</v>
      </c>
      <c r="AE2309" s="5">
        <v>2.1120428216602347</v>
      </c>
      <c r="AF2309">
        <v>1</v>
      </c>
    </row>
    <row r="2310" spans="27:32" x14ac:dyDescent="0.3">
      <c r="AA2310" s="3">
        <v>2160.1</v>
      </c>
      <c r="AB2310">
        <v>1E-4</v>
      </c>
      <c r="AC2310">
        <v>8</v>
      </c>
      <c r="AD2310" s="5">
        <v>4.9980841747697111</v>
      </c>
      <c r="AE2310" s="5">
        <v>2.2181010756894231</v>
      </c>
      <c r="AF2310">
        <v>1</v>
      </c>
    </row>
    <row r="2311" spans="27:32" x14ac:dyDescent="0.3">
      <c r="AA2311" s="3">
        <v>-35688.401112449348</v>
      </c>
      <c r="AB2311">
        <v>1E-4</v>
      </c>
      <c r="AC2311">
        <v>9</v>
      </c>
      <c r="AD2311" s="5">
        <v>4.9975516618383775</v>
      </c>
      <c r="AE2311" s="5">
        <v>2.1931508317505353</v>
      </c>
      <c r="AF2311">
        <v>0</v>
      </c>
    </row>
    <row r="2312" spans="27:32" x14ac:dyDescent="0.3">
      <c r="AA2312" s="3">
        <v>6869.27</v>
      </c>
      <c r="AB2312">
        <v>1E-4</v>
      </c>
      <c r="AC2312">
        <v>8</v>
      </c>
      <c r="AD2312" s="5">
        <v>5.001548098093819</v>
      </c>
      <c r="AE2312" s="5">
        <v>2.1916295043581373</v>
      </c>
      <c r="AF2312">
        <v>1</v>
      </c>
    </row>
    <row r="2313" spans="27:32" x14ac:dyDescent="0.3">
      <c r="AA2313" s="3">
        <v>15217.54</v>
      </c>
      <c r="AB2313">
        <v>1E-4</v>
      </c>
      <c r="AC2313">
        <v>8</v>
      </c>
      <c r="AD2313" s="5">
        <v>5.1043156337968023</v>
      </c>
      <c r="AE2313" s="5">
        <v>2.1952680418158237</v>
      </c>
      <c r="AF2313">
        <v>1</v>
      </c>
    </row>
    <row r="2314" spans="27:32" x14ac:dyDescent="0.3">
      <c r="AA2314" s="3">
        <v>2803.06</v>
      </c>
      <c r="AB2314">
        <v>1E-4</v>
      </c>
      <c r="AC2314">
        <v>8</v>
      </c>
      <c r="AD2314" s="5">
        <v>5.0200953605585976</v>
      </c>
      <c r="AE2314" s="5">
        <v>2.2066631485663031</v>
      </c>
      <c r="AF2314">
        <v>1</v>
      </c>
    </row>
    <row r="2315" spans="27:32" x14ac:dyDescent="0.3">
      <c r="AA2315" s="3">
        <v>9656.7999999999993</v>
      </c>
      <c r="AB2315">
        <v>1E-4</v>
      </c>
      <c r="AC2315">
        <v>8</v>
      </c>
      <c r="AD2315" s="5">
        <v>4.850407729387741</v>
      </c>
      <c r="AE2315" s="5">
        <v>2.1736345705634474</v>
      </c>
      <c r="AF2315">
        <v>1</v>
      </c>
    </row>
    <row r="2316" spans="27:32" x14ac:dyDescent="0.3">
      <c r="AA2316" s="3">
        <v>38101.89</v>
      </c>
      <c r="AB2316">
        <v>1E-4</v>
      </c>
      <c r="AC2316">
        <v>7</v>
      </c>
      <c r="AD2316" s="5">
        <v>4.8447965882131525</v>
      </c>
      <c r="AE2316" s="5">
        <v>2.1320877511948382</v>
      </c>
      <c r="AF2316">
        <v>1</v>
      </c>
    </row>
    <row r="2317" spans="27:32" x14ac:dyDescent="0.3">
      <c r="AA2317" s="3">
        <v>-13873.24</v>
      </c>
      <c r="AB2317">
        <v>1E-4</v>
      </c>
      <c r="AC2317">
        <v>9</v>
      </c>
      <c r="AD2317" s="5">
        <v>4.9275122678121797</v>
      </c>
      <c r="AE2317" s="5">
        <v>2.1794840175625381</v>
      </c>
      <c r="AF2317">
        <v>1</v>
      </c>
    </row>
    <row r="2318" spans="27:32" x14ac:dyDescent="0.3">
      <c r="AA2318" s="3">
        <v>-24872.998816126725</v>
      </c>
      <c r="AB2318">
        <v>1E-4</v>
      </c>
      <c r="AC2318">
        <v>9</v>
      </c>
      <c r="AD2318" s="5">
        <v>5.0410566157421037</v>
      </c>
      <c r="AE2318" s="5">
        <v>2.180033052735534</v>
      </c>
      <c r="AF2318">
        <v>0</v>
      </c>
    </row>
    <row r="2319" spans="27:32" x14ac:dyDescent="0.3">
      <c r="AA2319" s="3">
        <v>9352.11</v>
      </c>
      <c r="AB2319">
        <v>1E-4</v>
      </c>
      <c r="AC2319">
        <v>8</v>
      </c>
      <c r="AD2319" s="5">
        <v>4.849145595732745</v>
      </c>
      <c r="AE2319" s="5">
        <v>2.1640403850022847</v>
      </c>
      <c r="AF2319">
        <v>1</v>
      </c>
    </row>
    <row r="2320" spans="27:32" x14ac:dyDescent="0.3">
      <c r="AA2320" s="3">
        <v>11633.76</v>
      </c>
      <c r="AB2320">
        <v>1E-4</v>
      </c>
      <c r="AC2320">
        <v>8</v>
      </c>
      <c r="AD2320" s="5">
        <v>5.0990841825070978</v>
      </c>
      <c r="AE2320" s="5">
        <v>2.1524946676688534</v>
      </c>
      <c r="AF2320">
        <v>1</v>
      </c>
    </row>
    <row r="2321" spans="27:32" x14ac:dyDescent="0.3">
      <c r="AA2321" s="3">
        <v>34152.43</v>
      </c>
      <c r="AB2321">
        <v>1E-4</v>
      </c>
      <c r="AC2321">
        <v>7</v>
      </c>
      <c r="AD2321" s="5">
        <v>5.117267557450238</v>
      </c>
      <c r="AE2321" s="5">
        <v>2.2127481929681529</v>
      </c>
      <c r="AF2321">
        <v>1</v>
      </c>
    </row>
    <row r="2322" spans="27:32" x14ac:dyDescent="0.3">
      <c r="AA2322" s="3">
        <v>471.5</v>
      </c>
      <c r="AB2322">
        <v>1E-4</v>
      </c>
      <c r="AC2322">
        <v>8</v>
      </c>
      <c r="AD2322" s="5">
        <v>4.9723386861445782</v>
      </c>
      <c r="AE2322" s="5">
        <v>2.2450729493537467</v>
      </c>
      <c r="AF2322">
        <v>1</v>
      </c>
    </row>
    <row r="2323" spans="27:32" x14ac:dyDescent="0.3">
      <c r="AA2323" s="3">
        <v>24181.81</v>
      </c>
      <c r="AB2323">
        <v>1E-4</v>
      </c>
      <c r="AC2323">
        <v>8</v>
      </c>
      <c r="AD2323" s="5">
        <v>5.1207931352256439</v>
      </c>
      <c r="AE2323" s="5">
        <v>2.2415137994268592</v>
      </c>
      <c r="AF2323">
        <v>1</v>
      </c>
    </row>
    <row r="2324" spans="27:32" x14ac:dyDescent="0.3">
      <c r="AA2324" s="3">
        <v>20655.11</v>
      </c>
      <c r="AB2324">
        <v>1E-4</v>
      </c>
      <c r="AC2324">
        <v>8</v>
      </c>
      <c r="AD2324" s="5">
        <v>4.9980808380372359</v>
      </c>
      <c r="AE2324" s="5">
        <v>2.1920171365436549</v>
      </c>
      <c r="AF2324">
        <v>1</v>
      </c>
    </row>
    <row r="2325" spans="27:32" x14ac:dyDescent="0.3">
      <c r="AA2325" s="3">
        <v>23646.54</v>
      </c>
      <c r="AB2325">
        <v>1E-4</v>
      </c>
      <c r="AC2325">
        <v>8</v>
      </c>
      <c r="AD2325" s="5">
        <v>5.1866849806423492</v>
      </c>
      <c r="AE2325" s="5">
        <v>2.1600665170147813</v>
      </c>
      <c r="AF2325">
        <v>1</v>
      </c>
    </row>
    <row r="2326" spans="27:32" x14ac:dyDescent="0.3">
      <c r="AA2326" s="3">
        <v>11769.33</v>
      </c>
      <c r="AB2326">
        <v>1E-4</v>
      </c>
      <c r="AC2326">
        <v>8</v>
      </c>
      <c r="AD2326" s="5">
        <v>4.9679650931545014</v>
      </c>
      <c r="AE2326" s="5">
        <v>2.2145212751520384</v>
      </c>
      <c r="AF2326">
        <v>1</v>
      </c>
    </row>
    <row r="2327" spans="27:32" x14ac:dyDescent="0.3">
      <c r="AA2327" s="3">
        <v>-5954</v>
      </c>
      <c r="AB2327">
        <v>1E-4</v>
      </c>
      <c r="AC2327">
        <v>9</v>
      </c>
      <c r="AD2327" s="5">
        <v>5.024272638655189</v>
      </c>
      <c r="AE2327" s="5">
        <v>2.1685301545765436</v>
      </c>
      <c r="AF2327">
        <v>1</v>
      </c>
    </row>
    <row r="2328" spans="27:32" x14ac:dyDescent="0.3">
      <c r="AA2328" s="3">
        <v>-24129.17</v>
      </c>
      <c r="AB2328">
        <v>1E-4</v>
      </c>
      <c r="AC2328">
        <v>9</v>
      </c>
      <c r="AD2328" s="5">
        <v>4.903102835696429</v>
      </c>
      <c r="AE2328" s="5">
        <v>2.2967652778398224</v>
      </c>
      <c r="AF2328">
        <v>1</v>
      </c>
    </row>
    <row r="2329" spans="27:32" x14ac:dyDescent="0.3">
      <c r="AA2329" s="3">
        <v>6610.49</v>
      </c>
      <c r="AB2329">
        <v>1E-4</v>
      </c>
      <c r="AC2329">
        <v>8</v>
      </c>
      <c r="AD2329" s="5">
        <v>4.9603633938384339</v>
      </c>
      <c r="AE2329" s="5">
        <v>2.2035443482455204</v>
      </c>
      <c r="AF2329">
        <v>1</v>
      </c>
    </row>
    <row r="2330" spans="27:32" x14ac:dyDescent="0.3">
      <c r="AA2330" s="3">
        <v>-8038.28</v>
      </c>
      <c r="AB2330">
        <v>1E-4</v>
      </c>
      <c r="AC2330">
        <v>9</v>
      </c>
      <c r="AD2330" s="5">
        <v>5.044654622774539</v>
      </c>
      <c r="AE2330" s="5">
        <v>2.2106004730171254</v>
      </c>
      <c r="AF2330">
        <v>1</v>
      </c>
    </row>
    <row r="2331" spans="27:32" x14ac:dyDescent="0.3">
      <c r="AA2331" s="3">
        <v>22948.45</v>
      </c>
      <c r="AB2331">
        <v>1E-4</v>
      </c>
      <c r="AC2331">
        <v>8</v>
      </c>
      <c r="AD2331" s="5">
        <v>4.971540223492255</v>
      </c>
      <c r="AE2331" s="5">
        <v>2.2289512207388138</v>
      </c>
      <c r="AF2331">
        <v>1</v>
      </c>
    </row>
    <row r="2332" spans="27:32" x14ac:dyDescent="0.3">
      <c r="AA2332" s="3">
        <v>32192.799999999999</v>
      </c>
      <c r="AB2332">
        <v>1E-4</v>
      </c>
      <c r="AC2332">
        <v>7</v>
      </c>
      <c r="AD2332" s="5">
        <v>5.101121409444759</v>
      </c>
      <c r="AE2332" s="5">
        <v>2.1719896746549194</v>
      </c>
      <c r="AF2332">
        <v>1</v>
      </c>
    </row>
    <row r="2333" spans="27:32" x14ac:dyDescent="0.3">
      <c r="AA2333" s="3">
        <v>-24523.65</v>
      </c>
      <c r="AB2333">
        <v>1E-4</v>
      </c>
      <c r="AC2333">
        <v>9</v>
      </c>
      <c r="AD2333" s="5">
        <v>5.0180252359257604</v>
      </c>
      <c r="AE2333" s="5">
        <v>2.2060342359874676</v>
      </c>
      <c r="AF2333">
        <v>1</v>
      </c>
    </row>
    <row r="2334" spans="27:32" x14ac:dyDescent="0.3">
      <c r="AA2334" s="3">
        <v>-20101.25</v>
      </c>
      <c r="AB2334">
        <v>1E-4</v>
      </c>
      <c r="AC2334">
        <v>9</v>
      </c>
      <c r="AD2334" s="5">
        <v>4.9786147336068547</v>
      </c>
      <c r="AE2334" s="5">
        <v>2.2885642410920251</v>
      </c>
      <c r="AF2334">
        <v>1</v>
      </c>
    </row>
    <row r="2335" spans="27:32" x14ac:dyDescent="0.3">
      <c r="AA2335" s="3">
        <v>5513.79</v>
      </c>
      <c r="AB2335">
        <v>1E-4</v>
      </c>
      <c r="AC2335">
        <v>8</v>
      </c>
      <c r="AD2335" s="5">
        <v>4.9758124972502511</v>
      </c>
      <c r="AE2335" s="5">
        <v>2.1684979405107003</v>
      </c>
      <c r="AF2335">
        <v>1</v>
      </c>
    </row>
    <row r="2336" spans="27:32" x14ac:dyDescent="0.3">
      <c r="AA2336" s="3">
        <v>17304.29</v>
      </c>
      <c r="AB2336">
        <v>1E-4</v>
      </c>
      <c r="AC2336">
        <v>8</v>
      </c>
      <c r="AD2336" s="5">
        <v>4.9354883528028575</v>
      </c>
      <c r="AE2336" s="5">
        <v>2.2353688165727323</v>
      </c>
      <c r="AF2336">
        <v>1</v>
      </c>
    </row>
    <row r="2337" spans="27:32" x14ac:dyDescent="0.3">
      <c r="AA2337" s="3">
        <v>10049.44</v>
      </c>
      <c r="AB2337">
        <v>1E-4</v>
      </c>
      <c r="AC2337">
        <v>8</v>
      </c>
      <c r="AD2337" s="5">
        <v>4.7960910089325752</v>
      </c>
      <c r="AE2337" s="5">
        <v>2.207573841457144</v>
      </c>
      <c r="AF2337">
        <v>1</v>
      </c>
    </row>
    <row r="2338" spans="27:32" x14ac:dyDescent="0.3">
      <c r="AA2338" s="3">
        <v>22901.31</v>
      </c>
      <c r="AB2338">
        <v>1E-4</v>
      </c>
      <c r="AC2338">
        <v>8</v>
      </c>
      <c r="AD2338" s="5">
        <v>5.0563586581310664</v>
      </c>
      <c r="AE2338" s="5">
        <v>2.1285976202986889</v>
      </c>
      <c r="AF2338">
        <v>1</v>
      </c>
    </row>
    <row r="2339" spans="27:32" x14ac:dyDescent="0.3">
      <c r="AA2339" s="3">
        <v>24942.71</v>
      </c>
      <c r="AB2339">
        <v>1E-4</v>
      </c>
      <c r="AC2339">
        <v>8</v>
      </c>
      <c r="AD2339" s="5">
        <v>5.0834119577757519</v>
      </c>
      <c r="AE2339" s="5">
        <v>2.1900941946473353</v>
      </c>
      <c r="AF2339">
        <v>1</v>
      </c>
    </row>
    <row r="2340" spans="27:32" x14ac:dyDescent="0.3">
      <c r="AA2340" s="3">
        <v>20085.330000000002</v>
      </c>
      <c r="AB2340">
        <v>1E-4</v>
      </c>
      <c r="AC2340">
        <v>8</v>
      </c>
      <c r="AD2340" s="5">
        <v>4.9665040108225149</v>
      </c>
      <c r="AE2340" s="5">
        <v>2.1575758064737651</v>
      </c>
      <c r="AF2340">
        <v>1</v>
      </c>
    </row>
    <row r="2341" spans="27:32" x14ac:dyDescent="0.3">
      <c r="AA2341" s="3">
        <v>40643.82</v>
      </c>
      <c r="AB2341">
        <v>1E-4</v>
      </c>
      <c r="AC2341">
        <v>7</v>
      </c>
      <c r="AD2341" s="5">
        <v>5.0833155332269273</v>
      </c>
      <c r="AE2341" s="5">
        <v>2.1562812797206399</v>
      </c>
      <c r="AF2341">
        <v>1</v>
      </c>
    </row>
    <row r="2342" spans="27:32" x14ac:dyDescent="0.3">
      <c r="AA2342" s="3">
        <v>35666.54</v>
      </c>
      <c r="AB2342">
        <v>1E-4</v>
      </c>
      <c r="AC2342">
        <v>7</v>
      </c>
      <c r="AD2342" s="5">
        <v>5.0940239622238188</v>
      </c>
      <c r="AE2342" s="5">
        <v>2.1672474495733685</v>
      </c>
      <c r="AF2342">
        <v>1</v>
      </c>
    </row>
    <row r="2343" spans="27:32" x14ac:dyDescent="0.3">
      <c r="AA2343" s="3">
        <v>16390.48</v>
      </c>
      <c r="AB2343">
        <v>1E-4</v>
      </c>
      <c r="AC2343">
        <v>8</v>
      </c>
      <c r="AD2343" s="5">
        <v>4.9958697701755579</v>
      </c>
      <c r="AE2343" s="5">
        <v>2.2111005954181193</v>
      </c>
      <c r="AF2343">
        <v>1</v>
      </c>
    </row>
    <row r="2344" spans="27:32" x14ac:dyDescent="0.3">
      <c r="AA2344" s="3">
        <v>-16826.97</v>
      </c>
      <c r="AB2344">
        <v>1E-4</v>
      </c>
      <c r="AC2344">
        <v>9</v>
      </c>
      <c r="AD2344" s="5">
        <v>4.8502063857755822</v>
      </c>
      <c r="AE2344" s="5">
        <v>2.2555546025097257</v>
      </c>
      <c r="AF2344">
        <v>1</v>
      </c>
    </row>
    <row r="2345" spans="27:32" x14ac:dyDescent="0.3">
      <c r="AA2345" s="3">
        <v>39063.9</v>
      </c>
      <c r="AB2345">
        <v>1E-4</v>
      </c>
      <c r="AC2345">
        <v>7</v>
      </c>
      <c r="AD2345" s="5">
        <v>5.1490321907243084</v>
      </c>
      <c r="AE2345" s="5">
        <v>2.1168907441391047</v>
      </c>
      <c r="AF2345">
        <v>1</v>
      </c>
    </row>
    <row r="2346" spans="27:32" x14ac:dyDescent="0.3">
      <c r="AA2346" s="3">
        <v>13332.21</v>
      </c>
      <c r="AB2346">
        <v>1E-4</v>
      </c>
      <c r="AC2346">
        <v>8</v>
      </c>
      <c r="AD2346" s="5">
        <v>5.0140861318580248</v>
      </c>
      <c r="AE2346" s="5">
        <v>2.1830331650324895</v>
      </c>
      <c r="AF2346">
        <v>1</v>
      </c>
    </row>
    <row r="2347" spans="27:32" x14ac:dyDescent="0.3">
      <c r="AA2347" s="3">
        <v>4074.34</v>
      </c>
      <c r="AB2347">
        <v>1E-4</v>
      </c>
      <c r="AC2347">
        <v>8</v>
      </c>
      <c r="AD2347" s="5">
        <v>4.9275244141041403</v>
      </c>
      <c r="AE2347" s="5">
        <v>2.2371214115204312</v>
      </c>
      <c r="AF2347">
        <v>1</v>
      </c>
    </row>
    <row r="2348" spans="27:32" x14ac:dyDescent="0.3">
      <c r="AA2348" s="3">
        <v>14928.63</v>
      </c>
      <c r="AB2348">
        <v>1E-4</v>
      </c>
      <c r="AC2348">
        <v>8</v>
      </c>
      <c r="AD2348" s="5">
        <v>4.7559402867206151</v>
      </c>
      <c r="AE2348" s="5">
        <v>2.201658286361857</v>
      </c>
      <c r="AF2348">
        <v>1</v>
      </c>
    </row>
    <row r="2349" spans="27:32" x14ac:dyDescent="0.3">
      <c r="AA2349" s="3">
        <v>20561.52</v>
      </c>
      <c r="AB2349">
        <v>1E-4</v>
      </c>
      <c r="AC2349">
        <v>8</v>
      </c>
      <c r="AD2349" s="5">
        <v>5.0175948683953289</v>
      </c>
      <c r="AE2349" s="5">
        <v>2.2230537956257357</v>
      </c>
      <c r="AF2349">
        <v>1</v>
      </c>
    </row>
    <row r="2350" spans="27:32" x14ac:dyDescent="0.3">
      <c r="AA2350" s="3">
        <v>1175.92</v>
      </c>
      <c r="AB2350">
        <v>1E-4</v>
      </c>
      <c r="AC2350">
        <v>8</v>
      </c>
      <c r="AD2350" s="5">
        <v>4.9610547376851466</v>
      </c>
      <c r="AE2350" s="5">
        <v>2.1653784825195239</v>
      </c>
      <c r="AF2350">
        <v>1</v>
      </c>
    </row>
    <row r="2351" spans="27:32" x14ac:dyDescent="0.3">
      <c r="AA2351" s="3">
        <v>18975.25</v>
      </c>
      <c r="AB2351">
        <v>1E-4</v>
      </c>
      <c r="AC2351">
        <v>8</v>
      </c>
      <c r="AD2351" s="5">
        <v>5.0505520313306382</v>
      </c>
      <c r="AE2351" s="5">
        <v>2.2325781095983062</v>
      </c>
      <c r="AF2351">
        <v>1</v>
      </c>
    </row>
    <row r="2352" spans="27:32" x14ac:dyDescent="0.3">
      <c r="AA2352" s="3">
        <v>33874.83</v>
      </c>
      <c r="AB2352">
        <v>1E-4</v>
      </c>
      <c r="AC2352">
        <v>7</v>
      </c>
      <c r="AD2352" s="5">
        <v>5.0055847729495584</v>
      </c>
      <c r="AE2352" s="5">
        <v>2.1533918816263773</v>
      </c>
      <c r="AF2352">
        <v>1</v>
      </c>
    </row>
    <row r="2353" spans="27:32" x14ac:dyDescent="0.3">
      <c r="AA2353" s="3">
        <v>-11850.65</v>
      </c>
      <c r="AB2353">
        <v>1E-4</v>
      </c>
      <c r="AC2353">
        <v>9</v>
      </c>
      <c r="AD2353" s="5">
        <v>5.073061343168968</v>
      </c>
      <c r="AE2353" s="5">
        <v>2.2617126863302941</v>
      </c>
      <c r="AF2353">
        <v>1</v>
      </c>
    </row>
    <row r="2354" spans="27:32" x14ac:dyDescent="0.3">
      <c r="AA2354" s="3">
        <v>23879.919999999998</v>
      </c>
      <c r="AB2354">
        <v>1E-4</v>
      </c>
      <c r="AC2354">
        <v>8</v>
      </c>
      <c r="AD2354" s="5">
        <v>5.0132828906807196</v>
      </c>
      <c r="AE2354" s="5">
        <v>2.2153228119218378</v>
      </c>
      <c r="AF2354">
        <v>1</v>
      </c>
    </row>
    <row r="2355" spans="27:32" x14ac:dyDescent="0.3">
      <c r="AA2355" s="3">
        <v>32677.42</v>
      </c>
      <c r="AB2355">
        <v>1E-4</v>
      </c>
      <c r="AC2355">
        <v>7</v>
      </c>
      <c r="AD2355" s="5">
        <v>5.1104472609389111</v>
      </c>
      <c r="AE2355" s="5">
        <v>2.2937825247162724</v>
      </c>
      <c r="AF2355">
        <v>1</v>
      </c>
    </row>
    <row r="2356" spans="27:32" x14ac:dyDescent="0.3">
      <c r="AA2356" s="3">
        <v>17918</v>
      </c>
      <c r="AB2356">
        <v>1E-4</v>
      </c>
      <c r="AC2356">
        <v>8</v>
      </c>
      <c r="AD2356" s="5">
        <v>4.9776334798659843</v>
      </c>
      <c r="AE2356" s="5">
        <v>2.1828651972358055</v>
      </c>
      <c r="AF2356">
        <v>1</v>
      </c>
    </row>
    <row r="2357" spans="27:32" x14ac:dyDescent="0.3">
      <c r="AA2357" s="3">
        <v>-8721.85</v>
      </c>
      <c r="AB2357">
        <v>1E-4</v>
      </c>
      <c r="AC2357">
        <v>9</v>
      </c>
      <c r="AD2357" s="5">
        <v>5.0113488502438637</v>
      </c>
      <c r="AE2357" s="5">
        <v>2.2651092771852954</v>
      </c>
      <c r="AF2357">
        <v>1</v>
      </c>
    </row>
    <row r="2358" spans="27:32" x14ac:dyDescent="0.3">
      <c r="AA2358" s="3">
        <v>983.44</v>
      </c>
      <c r="AB2358">
        <v>1E-4</v>
      </c>
      <c r="AC2358">
        <v>8</v>
      </c>
      <c r="AD2358" s="5">
        <v>5.1133504146382398</v>
      </c>
      <c r="AE2358" s="5">
        <v>2.2528376333260898</v>
      </c>
      <c r="AF2358">
        <v>1</v>
      </c>
    </row>
    <row r="2359" spans="27:32" x14ac:dyDescent="0.3">
      <c r="AA2359" s="3">
        <v>-1382.62</v>
      </c>
      <c r="AB2359">
        <v>1E-4</v>
      </c>
      <c r="AC2359">
        <v>9</v>
      </c>
      <c r="AD2359" s="5">
        <v>5.0188727216081759</v>
      </c>
      <c r="AE2359" s="5">
        <v>2.2107235545581942</v>
      </c>
      <c r="AF2359">
        <v>1</v>
      </c>
    </row>
    <row r="2360" spans="27:32" x14ac:dyDescent="0.3">
      <c r="AA2360" s="3">
        <v>16244.72</v>
      </c>
      <c r="AB2360">
        <v>1E-4</v>
      </c>
      <c r="AC2360">
        <v>8</v>
      </c>
      <c r="AD2360" s="5">
        <v>5.0051362553196972</v>
      </c>
      <c r="AE2360" s="5">
        <v>2.256098998798187</v>
      </c>
      <c r="AF2360">
        <v>1</v>
      </c>
    </row>
    <row r="2361" spans="27:32" x14ac:dyDescent="0.3">
      <c r="AA2361" s="3">
        <v>5324.4</v>
      </c>
      <c r="AB2361">
        <v>1E-4</v>
      </c>
      <c r="AC2361">
        <v>8</v>
      </c>
      <c r="AD2361" s="5">
        <v>4.9810667909362438</v>
      </c>
      <c r="AE2361" s="5">
        <v>2.2002885967726642</v>
      </c>
      <c r="AF2361">
        <v>1</v>
      </c>
    </row>
    <row r="2362" spans="27:32" x14ac:dyDescent="0.3">
      <c r="AA2362" s="3">
        <v>4280.58</v>
      </c>
      <c r="AB2362">
        <v>1E-4</v>
      </c>
      <c r="AC2362">
        <v>8</v>
      </c>
      <c r="AD2362" s="5">
        <v>5.0243814598608347</v>
      </c>
      <c r="AE2362" s="5">
        <v>2.1670764750700591</v>
      </c>
      <c r="AF2362">
        <v>1</v>
      </c>
    </row>
    <row r="2363" spans="27:32" x14ac:dyDescent="0.3">
      <c r="AA2363" s="3">
        <v>33027.279999999999</v>
      </c>
      <c r="AB2363">
        <v>1E-4</v>
      </c>
      <c r="AC2363">
        <v>7</v>
      </c>
      <c r="AD2363" s="5">
        <v>5.1587070209420434</v>
      </c>
      <c r="AE2363" s="5">
        <v>2.0909610718938025</v>
      </c>
      <c r="AF2363">
        <v>1</v>
      </c>
    </row>
    <row r="2364" spans="27:32" x14ac:dyDescent="0.3">
      <c r="AA2364" s="3">
        <v>15636.34</v>
      </c>
      <c r="AB2364">
        <v>1E-4</v>
      </c>
      <c r="AC2364">
        <v>8</v>
      </c>
      <c r="AD2364" s="5">
        <v>4.8656850555873925</v>
      </c>
      <c r="AE2364" s="5">
        <v>2.2063547613788881</v>
      </c>
      <c r="AF2364">
        <v>1</v>
      </c>
    </row>
    <row r="2365" spans="27:32" x14ac:dyDescent="0.3">
      <c r="AA2365" s="3">
        <v>-11000.92</v>
      </c>
      <c r="AB2365">
        <v>1E-4</v>
      </c>
      <c r="AC2365">
        <v>9</v>
      </c>
      <c r="AD2365" s="5">
        <v>5.1177942357455803</v>
      </c>
      <c r="AE2365" s="5">
        <v>2.3299624558767857</v>
      </c>
      <c r="AF2365">
        <v>1</v>
      </c>
    </row>
    <row r="2366" spans="27:32" x14ac:dyDescent="0.3">
      <c r="AA2366" s="3">
        <v>33010.550000000003</v>
      </c>
      <c r="AB2366">
        <v>1E-4</v>
      </c>
      <c r="AC2366">
        <v>7</v>
      </c>
      <c r="AD2366" s="5">
        <v>5.0965589340654596</v>
      </c>
      <c r="AE2366" s="5">
        <v>2.2364076339747299</v>
      </c>
      <c r="AF2366">
        <v>1</v>
      </c>
    </row>
    <row r="2367" spans="27:32" x14ac:dyDescent="0.3">
      <c r="AA2367" s="3">
        <v>21453.99</v>
      </c>
      <c r="AB2367">
        <v>1E-4</v>
      </c>
      <c r="AC2367">
        <v>8</v>
      </c>
      <c r="AD2367" s="5">
        <v>4.9662394571537067</v>
      </c>
      <c r="AE2367" s="5">
        <v>2.2397142289051093</v>
      </c>
      <c r="AF2367">
        <v>1</v>
      </c>
    </row>
    <row r="2368" spans="27:32" x14ac:dyDescent="0.3">
      <c r="AA2368" s="3">
        <v>-11644.74</v>
      </c>
      <c r="AB2368">
        <v>1E-4</v>
      </c>
      <c r="AC2368">
        <v>9</v>
      </c>
      <c r="AD2368" s="5">
        <v>4.9646359918749745</v>
      </c>
      <c r="AE2368" s="5">
        <v>2.1489120270134618</v>
      </c>
      <c r="AF2368">
        <v>1</v>
      </c>
    </row>
    <row r="2369" spans="27:32" x14ac:dyDescent="0.3">
      <c r="AA2369" s="3">
        <v>38538.620000000003</v>
      </c>
      <c r="AB2369">
        <v>1E-4</v>
      </c>
      <c r="AC2369">
        <v>7</v>
      </c>
      <c r="AD2369" s="5">
        <v>5.0261418764922547</v>
      </c>
      <c r="AE2369" s="5">
        <v>2.0801801252704912</v>
      </c>
      <c r="AF2369">
        <v>1</v>
      </c>
    </row>
    <row r="2370" spans="27:32" x14ac:dyDescent="0.3">
      <c r="AA2370" s="3">
        <v>15300.03</v>
      </c>
      <c r="AB2370">
        <v>1E-4</v>
      </c>
      <c r="AC2370">
        <v>8</v>
      </c>
      <c r="AD2370" s="5">
        <v>4.9415194181213726</v>
      </c>
      <c r="AE2370" s="5">
        <v>2.2385238781471797</v>
      </c>
      <c r="AF2370">
        <v>1</v>
      </c>
    </row>
    <row r="2371" spans="27:32" x14ac:dyDescent="0.3">
      <c r="AA2371" s="3">
        <v>17598.39</v>
      </c>
      <c r="AB2371">
        <v>1E-4</v>
      </c>
      <c r="AC2371">
        <v>8</v>
      </c>
      <c r="AD2371" s="5">
        <v>5.2256529460746481</v>
      </c>
      <c r="AE2371" s="5">
        <v>2.1623304250004836</v>
      </c>
      <c r="AF2371">
        <v>1</v>
      </c>
    </row>
    <row r="2372" spans="27:32" x14ac:dyDescent="0.3">
      <c r="AA2372" s="3">
        <v>13601.57</v>
      </c>
      <c r="AB2372">
        <v>1E-4</v>
      </c>
      <c r="AC2372">
        <v>8</v>
      </c>
      <c r="AD2372" s="5">
        <v>4.9215599824985867</v>
      </c>
      <c r="AE2372" s="5">
        <v>2.2472763429671168</v>
      </c>
      <c r="AF2372">
        <v>1</v>
      </c>
    </row>
    <row r="2373" spans="27:32" x14ac:dyDescent="0.3">
      <c r="AA2373" s="3">
        <v>16033.08</v>
      </c>
      <c r="AB2373">
        <v>1E-4</v>
      </c>
      <c r="AC2373">
        <v>8</v>
      </c>
      <c r="AD2373" s="5">
        <v>5.072454243862925</v>
      </c>
      <c r="AE2373" s="5">
        <v>2.239341443014359</v>
      </c>
      <c r="AF2373">
        <v>1</v>
      </c>
    </row>
    <row r="2374" spans="27:32" x14ac:dyDescent="0.3">
      <c r="AA2374" s="3">
        <v>24321.27</v>
      </c>
      <c r="AB2374">
        <v>1E-4</v>
      </c>
      <c r="AC2374">
        <v>8</v>
      </c>
      <c r="AD2374" s="5">
        <v>4.9782500541618306</v>
      </c>
      <c r="AE2374" s="5">
        <v>2.0724771067397847</v>
      </c>
      <c r="AF2374">
        <v>1</v>
      </c>
    </row>
    <row r="2375" spans="27:32" x14ac:dyDescent="0.3">
      <c r="AA2375" s="3">
        <v>29124.1</v>
      </c>
      <c r="AB2375">
        <v>1E-4</v>
      </c>
      <c r="AC2375">
        <v>8</v>
      </c>
      <c r="AD2375" s="5">
        <v>4.9216655439423791</v>
      </c>
      <c r="AE2375" s="5">
        <v>2.094017771115658</v>
      </c>
      <c r="AF2375">
        <v>1</v>
      </c>
    </row>
    <row r="2376" spans="27:32" x14ac:dyDescent="0.3">
      <c r="AA2376" s="3">
        <v>7545.08</v>
      </c>
      <c r="AB2376">
        <v>1E-4</v>
      </c>
      <c r="AC2376">
        <v>8</v>
      </c>
      <c r="AD2376" s="5">
        <v>4.8810320938344907</v>
      </c>
      <c r="AE2376" s="5">
        <v>2.0869492906527478</v>
      </c>
      <c r="AF2376">
        <v>1</v>
      </c>
    </row>
    <row r="2377" spans="27:32" x14ac:dyDescent="0.3">
      <c r="AA2377" s="3">
        <v>32316.34</v>
      </c>
      <c r="AB2377">
        <v>1E-4</v>
      </c>
      <c r="AC2377">
        <v>7</v>
      </c>
      <c r="AD2377" s="5">
        <v>4.9992424304154017</v>
      </c>
      <c r="AE2377" s="5">
        <v>2.1827928929736897</v>
      </c>
      <c r="AF2377">
        <v>1</v>
      </c>
    </row>
    <row r="2378" spans="27:32" x14ac:dyDescent="0.3">
      <c r="AA2378" s="3">
        <v>-16810.759999999998</v>
      </c>
      <c r="AB2378">
        <v>1E-4</v>
      </c>
      <c r="AC2378">
        <v>9</v>
      </c>
      <c r="AD2378" s="5">
        <v>4.8984981313774192</v>
      </c>
      <c r="AE2378" s="5">
        <v>2.248695178375832</v>
      </c>
      <c r="AF2378">
        <v>1</v>
      </c>
    </row>
    <row r="2379" spans="27:32" x14ac:dyDescent="0.3">
      <c r="AA2379" s="3">
        <v>2752.01</v>
      </c>
      <c r="AB2379">
        <v>1E-4</v>
      </c>
      <c r="AC2379">
        <v>8</v>
      </c>
      <c r="AD2379" s="5">
        <v>4.8193552119148846</v>
      </c>
      <c r="AE2379" s="5">
        <v>2.2567768439437623</v>
      </c>
      <c r="AF2379">
        <v>1</v>
      </c>
    </row>
    <row r="2380" spans="27:32" x14ac:dyDescent="0.3">
      <c r="AA2380" s="3">
        <v>21820.29</v>
      </c>
      <c r="AB2380">
        <v>1E-4</v>
      </c>
      <c r="AC2380">
        <v>8</v>
      </c>
      <c r="AD2380" s="5">
        <v>5.074807320570252</v>
      </c>
      <c r="AE2380" s="5">
        <v>2.3368157840392256</v>
      </c>
      <c r="AF2380">
        <v>1</v>
      </c>
    </row>
    <row r="2381" spans="27:32" x14ac:dyDescent="0.3">
      <c r="AA2381" s="3">
        <v>14326.67</v>
      </c>
      <c r="AB2381">
        <v>1E-4</v>
      </c>
      <c r="AC2381">
        <v>8</v>
      </c>
      <c r="AD2381" s="5">
        <v>4.9069221261676486</v>
      </c>
      <c r="AE2381" s="5">
        <v>2.2436625590725692</v>
      </c>
      <c r="AF2381">
        <v>1</v>
      </c>
    </row>
    <row r="2382" spans="27:32" x14ac:dyDescent="0.3">
      <c r="AA2382" s="3">
        <v>21584.01</v>
      </c>
      <c r="AB2382">
        <v>1E-4</v>
      </c>
      <c r="AC2382">
        <v>8</v>
      </c>
      <c r="AD2382" s="5">
        <v>5.0309796251496604</v>
      </c>
      <c r="AE2382" s="5">
        <v>2.2203228234000725</v>
      </c>
      <c r="AF2382">
        <v>1</v>
      </c>
    </row>
    <row r="2383" spans="27:32" x14ac:dyDescent="0.3">
      <c r="AA2383" s="3">
        <v>10994.79</v>
      </c>
      <c r="AB2383">
        <v>1E-4</v>
      </c>
      <c r="AC2383">
        <v>8</v>
      </c>
      <c r="AD2383" s="5">
        <v>4.9916914340673371</v>
      </c>
      <c r="AE2383" s="5">
        <v>2.1400240443366574</v>
      </c>
      <c r="AF2383">
        <v>1</v>
      </c>
    </row>
    <row r="2384" spans="27:32" x14ac:dyDescent="0.3">
      <c r="AA2384" s="3">
        <v>-4320.2299999999996</v>
      </c>
      <c r="AB2384">
        <v>1E-4</v>
      </c>
      <c r="AC2384">
        <v>9</v>
      </c>
      <c r="AD2384" s="5">
        <v>5.0768840429872659</v>
      </c>
      <c r="AE2384" s="5">
        <v>2.2342737260928835</v>
      </c>
      <c r="AF2384">
        <v>1</v>
      </c>
    </row>
    <row r="2385" spans="27:32" x14ac:dyDescent="0.3">
      <c r="AA2385" s="3">
        <v>19048.72</v>
      </c>
      <c r="AB2385">
        <v>1E-4</v>
      </c>
      <c r="AC2385">
        <v>8</v>
      </c>
      <c r="AD2385" s="5">
        <v>5.0960914472663168</v>
      </c>
      <c r="AE2385" s="5">
        <v>2.2201280012263909</v>
      </c>
      <c r="AF2385">
        <v>1</v>
      </c>
    </row>
    <row r="2386" spans="27:32" x14ac:dyDescent="0.3">
      <c r="AA2386" s="3">
        <v>33879.620000000003</v>
      </c>
      <c r="AB2386">
        <v>1E-4</v>
      </c>
      <c r="AC2386">
        <v>7</v>
      </c>
      <c r="AD2386" s="5">
        <v>4.8848562105092377</v>
      </c>
      <c r="AE2386" s="5">
        <v>2.1419630933999794</v>
      </c>
      <c r="AF2386">
        <v>1</v>
      </c>
    </row>
    <row r="2387" spans="27:32" x14ac:dyDescent="0.3">
      <c r="AA2387" s="3">
        <v>8523.61</v>
      </c>
      <c r="AB2387">
        <v>1E-4</v>
      </c>
      <c r="AC2387">
        <v>8</v>
      </c>
      <c r="AD2387" s="5">
        <v>5.1173706125757104</v>
      </c>
      <c r="AE2387" s="5">
        <v>2.2517893853379403</v>
      </c>
      <c r="AF2387">
        <v>1</v>
      </c>
    </row>
    <row r="2388" spans="27:32" x14ac:dyDescent="0.3">
      <c r="AA2388" s="3">
        <v>32827.660000000003</v>
      </c>
      <c r="AB2388">
        <v>1E-4</v>
      </c>
      <c r="AC2388">
        <v>7</v>
      </c>
      <c r="AD2388" s="5">
        <v>4.9203781719347059</v>
      </c>
      <c r="AE2388" s="5">
        <v>2.2490697338864143</v>
      </c>
      <c r="AF2388">
        <v>1</v>
      </c>
    </row>
    <row r="2389" spans="27:32" x14ac:dyDescent="0.3">
      <c r="AA2389" s="3">
        <v>56684.65</v>
      </c>
      <c r="AB2389">
        <v>1E-4</v>
      </c>
      <c r="AC2389">
        <v>6</v>
      </c>
      <c r="AD2389" s="5">
        <v>5.1890046918552457</v>
      </c>
      <c r="AE2389" s="5">
        <v>2.2102251444479801</v>
      </c>
      <c r="AF2389">
        <v>1</v>
      </c>
    </row>
    <row r="2390" spans="27:32" x14ac:dyDescent="0.3">
      <c r="AA2390" s="3">
        <v>22724.05</v>
      </c>
      <c r="AB2390">
        <v>1E-4</v>
      </c>
      <c r="AC2390">
        <v>8</v>
      </c>
      <c r="AD2390" s="5">
        <v>5.0271441973220181</v>
      </c>
      <c r="AE2390" s="5">
        <v>2.1805781022620221</v>
      </c>
      <c r="AF2390">
        <v>1</v>
      </c>
    </row>
    <row r="2391" spans="27:32" x14ac:dyDescent="0.3">
      <c r="AA2391" s="3">
        <v>14168.69</v>
      </c>
      <c r="AB2391">
        <v>1E-4</v>
      </c>
      <c r="AC2391">
        <v>8</v>
      </c>
      <c r="AD2391" s="5">
        <v>4.951743723857887</v>
      </c>
      <c r="AE2391" s="5">
        <v>2.1000828481508584</v>
      </c>
      <c r="AF2391">
        <v>1</v>
      </c>
    </row>
    <row r="2392" spans="27:32" x14ac:dyDescent="0.3">
      <c r="AA2392" s="3">
        <v>1336.07</v>
      </c>
      <c r="AB2392">
        <v>1E-4</v>
      </c>
      <c r="AC2392">
        <v>8</v>
      </c>
      <c r="AD2392" s="5">
        <v>4.8979290026758573</v>
      </c>
      <c r="AE2392" s="5">
        <v>2.2089419949151448</v>
      </c>
      <c r="AF2392">
        <v>1</v>
      </c>
    </row>
    <row r="2393" spans="27:32" x14ac:dyDescent="0.3">
      <c r="AA2393" s="3">
        <v>16941.53</v>
      </c>
      <c r="AB2393">
        <v>1E-4</v>
      </c>
      <c r="AC2393">
        <v>8</v>
      </c>
      <c r="AD2393" s="5">
        <v>5.053557899202918</v>
      </c>
      <c r="AE2393" s="5">
        <v>2.2182894678139546</v>
      </c>
      <c r="AF2393">
        <v>1</v>
      </c>
    </row>
    <row r="2394" spans="27:32" x14ac:dyDescent="0.3">
      <c r="AA2394" s="3">
        <v>4645.22</v>
      </c>
      <c r="AB2394">
        <v>1E-4</v>
      </c>
      <c r="AC2394">
        <v>8</v>
      </c>
      <c r="AD2394" s="5">
        <v>4.9755121534671973</v>
      </c>
      <c r="AE2394" s="5">
        <v>2.1569858080008601</v>
      </c>
      <c r="AF2394">
        <v>1</v>
      </c>
    </row>
    <row r="2395" spans="27:32" x14ac:dyDescent="0.3">
      <c r="AA2395" s="3">
        <v>16250.06</v>
      </c>
      <c r="AB2395">
        <v>1E-4</v>
      </c>
      <c r="AC2395">
        <v>8</v>
      </c>
      <c r="AD2395" s="5">
        <v>4.940379640807298</v>
      </c>
      <c r="AE2395" s="5">
        <v>2.233911106718403</v>
      </c>
      <c r="AF2395">
        <v>1</v>
      </c>
    </row>
    <row r="2396" spans="27:32" x14ac:dyDescent="0.3">
      <c r="AA2396" s="3">
        <v>-15709.402475632794</v>
      </c>
      <c r="AB2396">
        <v>1E-4</v>
      </c>
      <c r="AC2396">
        <v>8</v>
      </c>
      <c r="AD2396" s="5">
        <v>4.9410781912495043</v>
      </c>
      <c r="AE2396" s="5">
        <v>2.2521999039908356</v>
      </c>
      <c r="AF2396">
        <v>0</v>
      </c>
    </row>
    <row r="2397" spans="27:32" x14ac:dyDescent="0.3">
      <c r="AA2397" s="3">
        <v>47237.39</v>
      </c>
      <c r="AB2397">
        <v>1E-4</v>
      </c>
      <c r="AC2397">
        <v>7</v>
      </c>
      <c r="AD2397" s="5">
        <v>4.8462937558410761</v>
      </c>
      <c r="AE2397" s="5">
        <v>2.1167196253320264</v>
      </c>
      <c r="AF2397">
        <v>1</v>
      </c>
    </row>
    <row r="2398" spans="27:32" x14ac:dyDescent="0.3">
      <c r="AA2398" s="3">
        <v>13875.17</v>
      </c>
      <c r="AB2398">
        <v>1E-4</v>
      </c>
      <c r="AC2398">
        <v>8</v>
      </c>
      <c r="AD2398" s="5">
        <v>4.9431919941548381</v>
      </c>
      <c r="AE2398" s="5">
        <v>2.2229284565831779</v>
      </c>
      <c r="AF2398">
        <v>1</v>
      </c>
    </row>
    <row r="2399" spans="27:32" x14ac:dyDescent="0.3">
      <c r="AA2399" s="3">
        <v>32662.01</v>
      </c>
      <c r="AB2399">
        <v>1E-4</v>
      </c>
      <c r="AC2399">
        <v>7</v>
      </c>
      <c r="AD2399" s="5">
        <v>4.9710019832034105</v>
      </c>
      <c r="AE2399" s="5">
        <v>2.2208478474709588</v>
      </c>
      <c r="AF2399">
        <v>1</v>
      </c>
    </row>
    <row r="2400" spans="27:32" x14ac:dyDescent="0.3">
      <c r="AA2400" s="3">
        <v>-10661.167126269833</v>
      </c>
      <c r="AB2400">
        <v>1E-4</v>
      </c>
      <c r="AC2400">
        <v>8</v>
      </c>
      <c r="AD2400" s="5">
        <v>5.0349387949357194</v>
      </c>
      <c r="AE2400" s="5">
        <v>2.1878527862334876</v>
      </c>
      <c r="AF2400">
        <v>0</v>
      </c>
    </row>
    <row r="2401" spans="27:32" x14ac:dyDescent="0.3">
      <c r="AA2401" s="3">
        <v>22592.44</v>
      </c>
      <c r="AB2401">
        <v>1E-4</v>
      </c>
      <c r="AC2401">
        <v>8</v>
      </c>
      <c r="AD2401" s="5">
        <v>4.9513051623820825</v>
      </c>
      <c r="AE2401" s="5">
        <v>2.2108537583744092</v>
      </c>
      <c r="AF2401">
        <v>1</v>
      </c>
    </row>
    <row r="2402" spans="27:32" x14ac:dyDescent="0.3">
      <c r="AA2402" s="3">
        <v>9290.1</v>
      </c>
      <c r="AB2402">
        <v>1E-4</v>
      </c>
      <c r="AC2402">
        <v>8</v>
      </c>
      <c r="AD2402" s="5">
        <v>5.1107754717584299</v>
      </c>
      <c r="AE2402" s="5">
        <v>2.1644583862380178</v>
      </c>
      <c r="AF2402">
        <v>1</v>
      </c>
    </row>
    <row r="2403" spans="27:32" x14ac:dyDescent="0.3">
      <c r="AA2403" s="3">
        <v>19627.48</v>
      </c>
      <c r="AB2403">
        <v>1E-4</v>
      </c>
      <c r="AC2403">
        <v>8</v>
      </c>
      <c r="AD2403" s="5">
        <v>4.9782328483743798</v>
      </c>
      <c r="AE2403" s="5">
        <v>2.1422530602555141</v>
      </c>
      <c r="AF2403">
        <v>1</v>
      </c>
    </row>
    <row r="2404" spans="27:32" x14ac:dyDescent="0.3">
      <c r="AA2404" s="3">
        <v>29256.18</v>
      </c>
      <c r="AB2404">
        <v>1E-4</v>
      </c>
      <c r="AC2404">
        <v>8</v>
      </c>
      <c r="AD2404" s="5">
        <v>5.0738102981705619</v>
      </c>
      <c r="AE2404" s="5">
        <v>2.0846329954683616</v>
      </c>
      <c r="AF2404">
        <v>1</v>
      </c>
    </row>
    <row r="2405" spans="27:32" x14ac:dyDescent="0.3">
      <c r="AA2405" s="3">
        <v>-1491.6</v>
      </c>
      <c r="AB2405">
        <v>1E-4</v>
      </c>
      <c r="AC2405">
        <v>9</v>
      </c>
      <c r="AD2405" s="5">
        <v>4.9507676256051667</v>
      </c>
      <c r="AE2405" s="5">
        <v>2.2080151364446934</v>
      </c>
      <c r="AF2405">
        <v>1</v>
      </c>
    </row>
    <row r="2406" spans="27:32" x14ac:dyDescent="0.3">
      <c r="AA2406" s="3">
        <v>30391.02</v>
      </c>
      <c r="AB2406">
        <v>1E-4</v>
      </c>
      <c r="AC2406">
        <v>8</v>
      </c>
      <c r="AD2406" s="5">
        <v>5.0826183799457638</v>
      </c>
      <c r="AE2406" s="5">
        <v>2.1710141501961897</v>
      </c>
      <c r="AF2406">
        <v>1</v>
      </c>
    </row>
    <row r="2407" spans="27:32" x14ac:dyDescent="0.3">
      <c r="AA2407" s="3">
        <v>43152.29</v>
      </c>
      <c r="AB2407">
        <v>1E-4</v>
      </c>
      <c r="AC2407">
        <v>7</v>
      </c>
      <c r="AD2407" s="5">
        <v>4.921377084632625</v>
      </c>
      <c r="AE2407" s="5">
        <v>2.09184858131314</v>
      </c>
      <c r="AF2407">
        <v>1</v>
      </c>
    </row>
    <row r="2408" spans="27:32" x14ac:dyDescent="0.3">
      <c r="AA2408" s="3">
        <v>13704.86</v>
      </c>
      <c r="AB2408">
        <v>1E-4</v>
      </c>
      <c r="AC2408">
        <v>8</v>
      </c>
      <c r="AD2408" s="5">
        <v>5.0275051204874277</v>
      </c>
      <c r="AE2408" s="5">
        <v>2.2011891884541934</v>
      </c>
      <c r="AF2408">
        <v>1</v>
      </c>
    </row>
    <row r="2409" spans="27:32" x14ac:dyDescent="0.3">
      <c r="AA2409" s="3">
        <v>24342.44</v>
      </c>
      <c r="AB2409">
        <v>1E-4</v>
      </c>
      <c r="AC2409">
        <v>8</v>
      </c>
      <c r="AD2409" s="5">
        <v>5.0306044126543474</v>
      </c>
      <c r="AE2409" s="5">
        <v>2.21572252105309</v>
      </c>
      <c r="AF2409">
        <v>1</v>
      </c>
    </row>
    <row r="2410" spans="27:32" x14ac:dyDescent="0.3">
      <c r="AA2410" s="3">
        <v>-2304.19</v>
      </c>
      <c r="AB2410">
        <v>1E-4</v>
      </c>
      <c r="AC2410">
        <v>9</v>
      </c>
      <c r="AD2410" s="5">
        <v>4.9868045518572233</v>
      </c>
      <c r="AE2410" s="5">
        <v>2.2439255542475633</v>
      </c>
      <c r="AF2410">
        <v>1</v>
      </c>
    </row>
    <row r="2411" spans="27:32" x14ac:dyDescent="0.3">
      <c r="AA2411" s="3">
        <v>-13420.78</v>
      </c>
      <c r="AB2411">
        <v>1E-4</v>
      </c>
      <c r="AC2411">
        <v>9</v>
      </c>
      <c r="AD2411" s="5">
        <v>4.9195246483266528</v>
      </c>
      <c r="AE2411" s="5">
        <v>2.1902530656837809</v>
      </c>
      <c r="AF2411">
        <v>1</v>
      </c>
    </row>
    <row r="2412" spans="27:32" x14ac:dyDescent="0.3">
      <c r="AA2412" s="3">
        <v>29976.09</v>
      </c>
      <c r="AB2412">
        <v>1E-4</v>
      </c>
      <c r="AC2412">
        <v>8</v>
      </c>
      <c r="AD2412" s="5">
        <v>5.0778650257280349</v>
      </c>
      <c r="AE2412" s="5">
        <v>2.1915422745871282</v>
      </c>
      <c r="AF2412">
        <v>1</v>
      </c>
    </row>
    <row r="2413" spans="27:32" x14ac:dyDescent="0.3">
      <c r="AA2413" s="3">
        <v>4185.45</v>
      </c>
      <c r="AB2413">
        <v>1E-4</v>
      </c>
      <c r="AC2413">
        <v>8</v>
      </c>
      <c r="AD2413" s="5">
        <v>5.0217591383311264</v>
      </c>
      <c r="AE2413" s="5">
        <v>2.1467738290602685</v>
      </c>
      <c r="AF2413">
        <v>1</v>
      </c>
    </row>
    <row r="2414" spans="27:32" x14ac:dyDescent="0.3">
      <c r="AA2414" s="3">
        <v>23034.560000000001</v>
      </c>
      <c r="AB2414">
        <v>1E-4</v>
      </c>
      <c r="AC2414">
        <v>8</v>
      </c>
      <c r="AD2414" s="5">
        <v>5.0181938580641399</v>
      </c>
      <c r="AE2414" s="5">
        <v>2.133823904096225</v>
      </c>
      <c r="AF2414">
        <v>1</v>
      </c>
    </row>
    <row r="2415" spans="27:32" x14ac:dyDescent="0.3">
      <c r="AA2415" s="3">
        <v>36877.129999999997</v>
      </c>
      <c r="AB2415">
        <v>1E-4</v>
      </c>
      <c r="AC2415">
        <v>7</v>
      </c>
      <c r="AD2415" s="5">
        <v>4.9407691019933733</v>
      </c>
      <c r="AE2415" s="5">
        <v>2.2081819751381766</v>
      </c>
      <c r="AF2415">
        <v>1</v>
      </c>
    </row>
    <row r="2416" spans="27:32" x14ac:dyDescent="0.3">
      <c r="AA2416" s="3">
        <v>25843.18</v>
      </c>
      <c r="AB2416">
        <v>1E-4</v>
      </c>
      <c r="AC2416">
        <v>8</v>
      </c>
      <c r="AD2416" s="5">
        <v>4.9905435443660506</v>
      </c>
      <c r="AE2416" s="5">
        <v>2.2427932239063662</v>
      </c>
      <c r="AF2416">
        <v>1</v>
      </c>
    </row>
    <row r="2417" spans="27:32" x14ac:dyDescent="0.3">
      <c r="AA2417" s="3">
        <v>906.82</v>
      </c>
      <c r="AB2417">
        <v>1E-4</v>
      </c>
      <c r="AC2417">
        <v>8</v>
      </c>
      <c r="AD2417" s="5">
        <v>4.9180978123995747</v>
      </c>
      <c r="AE2417" s="5">
        <v>2.1660930576149218</v>
      </c>
      <c r="AF2417">
        <v>1</v>
      </c>
    </row>
    <row r="2418" spans="27:32" x14ac:dyDescent="0.3">
      <c r="AA2418" s="3">
        <v>27698.73</v>
      </c>
      <c r="AB2418">
        <v>1E-4</v>
      </c>
      <c r="AC2418">
        <v>8</v>
      </c>
      <c r="AD2418" s="5">
        <v>5.0896813203397926</v>
      </c>
      <c r="AE2418" s="5">
        <v>2.3037202188147186</v>
      </c>
      <c r="AF2418">
        <v>1</v>
      </c>
    </row>
    <row r="2419" spans="27:32" x14ac:dyDescent="0.3">
      <c r="AA2419" s="3">
        <v>26251.94</v>
      </c>
      <c r="AB2419">
        <v>1E-4</v>
      </c>
      <c r="AC2419">
        <v>8</v>
      </c>
      <c r="AD2419" s="5">
        <v>5.0613625238453368</v>
      </c>
      <c r="AE2419" s="5">
        <v>2.2454213327859511</v>
      </c>
      <c r="AF2419">
        <v>1</v>
      </c>
    </row>
    <row r="2420" spans="27:32" x14ac:dyDescent="0.3">
      <c r="AA2420" s="3">
        <v>15384.75</v>
      </c>
      <c r="AB2420">
        <v>1E-4</v>
      </c>
      <c r="AC2420">
        <v>8</v>
      </c>
      <c r="AD2420" s="5">
        <v>5.1369253302882374</v>
      </c>
      <c r="AE2420" s="5">
        <v>2.2104578632631693</v>
      </c>
      <c r="AF2420">
        <v>1</v>
      </c>
    </row>
    <row r="2421" spans="27:32" x14ac:dyDescent="0.3">
      <c r="AA2421" s="3">
        <v>-18813.580000000002</v>
      </c>
      <c r="AB2421">
        <v>1E-4</v>
      </c>
      <c r="AC2421">
        <v>9</v>
      </c>
      <c r="AD2421" s="5">
        <v>4.8075917683404947</v>
      </c>
      <c r="AE2421" s="5">
        <v>2.3004304937645879</v>
      </c>
      <c r="AF2421">
        <v>1</v>
      </c>
    </row>
    <row r="2422" spans="27:32" x14ac:dyDescent="0.3">
      <c r="AA2422" s="3">
        <v>26279.27</v>
      </c>
      <c r="AB2422">
        <v>1E-4</v>
      </c>
      <c r="AC2422">
        <v>8</v>
      </c>
      <c r="AD2422" s="5">
        <v>5.0450231404372312</v>
      </c>
      <c r="AE2422" s="5">
        <v>2.1304540559653007</v>
      </c>
      <c r="AF2422">
        <v>1</v>
      </c>
    </row>
    <row r="2423" spans="27:32" x14ac:dyDescent="0.3">
      <c r="AA2423" s="3">
        <v>-10402.68</v>
      </c>
      <c r="AB2423">
        <v>1E-4</v>
      </c>
      <c r="AC2423">
        <v>9</v>
      </c>
      <c r="AD2423" s="5">
        <v>4.8257747354653837</v>
      </c>
      <c r="AE2423" s="5">
        <v>2.2099684661889438</v>
      </c>
      <c r="AF2423">
        <v>1</v>
      </c>
    </row>
    <row r="2424" spans="27:32" x14ac:dyDescent="0.3">
      <c r="AA2424" s="3">
        <v>36473.4</v>
      </c>
      <c r="AB2424">
        <v>1E-4</v>
      </c>
      <c r="AC2424">
        <v>7</v>
      </c>
      <c r="AD2424" s="5">
        <v>5.094800617594986</v>
      </c>
      <c r="AE2424" s="5">
        <v>2.1598020971831544</v>
      </c>
      <c r="AF2424">
        <v>1</v>
      </c>
    </row>
    <row r="2425" spans="27:32" x14ac:dyDescent="0.3">
      <c r="AA2425" s="3">
        <v>10767.79</v>
      </c>
      <c r="AB2425">
        <v>1E-4</v>
      </c>
      <c r="AC2425">
        <v>8</v>
      </c>
      <c r="AD2425" s="5">
        <v>5.0317113428622884</v>
      </c>
      <c r="AE2425" s="5">
        <v>2.2044611110767276</v>
      </c>
      <c r="AF2425">
        <v>1</v>
      </c>
    </row>
    <row r="2426" spans="27:32" x14ac:dyDescent="0.3">
      <c r="AA2426" s="3">
        <v>-18777.27</v>
      </c>
      <c r="AB2426">
        <v>1E-4</v>
      </c>
      <c r="AC2426">
        <v>9</v>
      </c>
      <c r="AD2426" s="5">
        <v>5.0951119075655464</v>
      </c>
      <c r="AE2426" s="5">
        <v>2.1853540287871795</v>
      </c>
      <c r="AF2426">
        <v>1</v>
      </c>
    </row>
    <row r="2427" spans="27:32" x14ac:dyDescent="0.3">
      <c r="AA2427" s="3">
        <v>13419.5</v>
      </c>
      <c r="AB2427">
        <v>1E-4</v>
      </c>
      <c r="AC2427">
        <v>8</v>
      </c>
      <c r="AD2427" s="5">
        <v>4.8564905744633968</v>
      </c>
      <c r="AE2427" s="5">
        <v>2.2129870014559359</v>
      </c>
      <c r="AF2427">
        <v>1</v>
      </c>
    </row>
    <row r="2428" spans="27:32" x14ac:dyDescent="0.3">
      <c r="AA2428" s="3">
        <v>15257.08</v>
      </c>
      <c r="AB2428">
        <v>1E-4</v>
      </c>
      <c r="AC2428">
        <v>8</v>
      </c>
      <c r="AD2428" s="5">
        <v>5.106898921929993</v>
      </c>
      <c r="AE2428" s="5">
        <v>2.1549150667500303</v>
      </c>
      <c r="AF2428">
        <v>1</v>
      </c>
    </row>
    <row r="2429" spans="27:32" x14ac:dyDescent="0.3">
      <c r="AA2429" s="3">
        <v>61848.98</v>
      </c>
      <c r="AB2429">
        <v>1E-4</v>
      </c>
      <c r="AC2429">
        <v>6</v>
      </c>
      <c r="AD2429" s="5">
        <v>5.1012806873611014</v>
      </c>
      <c r="AE2429" s="5">
        <v>2.1627335220955746</v>
      </c>
      <c r="AF2429">
        <v>1</v>
      </c>
    </row>
    <row r="2430" spans="27:32" x14ac:dyDescent="0.3">
      <c r="AA2430" s="3">
        <v>22445.78</v>
      </c>
      <c r="AB2430">
        <v>1E-4</v>
      </c>
      <c r="AC2430">
        <v>8</v>
      </c>
      <c r="AD2430" s="5">
        <v>4.8930132794833527</v>
      </c>
      <c r="AE2430" s="5">
        <v>2.1803132596277268</v>
      </c>
      <c r="AF2430">
        <v>1</v>
      </c>
    </row>
    <row r="2431" spans="27:32" x14ac:dyDescent="0.3">
      <c r="AA2431" s="3">
        <v>30112.25</v>
      </c>
      <c r="AB2431">
        <v>1E-4</v>
      </c>
      <c r="AC2431">
        <v>8</v>
      </c>
      <c r="AD2431" s="5">
        <v>5.0781934131699176</v>
      </c>
      <c r="AE2431" s="5">
        <v>2.2572459598953163</v>
      </c>
      <c r="AF2431">
        <v>1</v>
      </c>
    </row>
    <row r="2432" spans="27:32" x14ac:dyDescent="0.3">
      <c r="AA2432" s="3">
        <v>13830.59</v>
      </c>
      <c r="AB2432">
        <v>1E-4</v>
      </c>
      <c r="AC2432">
        <v>8</v>
      </c>
      <c r="AD2432" s="5">
        <v>4.9238706611560064</v>
      </c>
      <c r="AE2432" s="5">
        <v>2.1298483904636529</v>
      </c>
      <c r="AF2432">
        <v>1</v>
      </c>
    </row>
    <row r="2433" spans="27:32" x14ac:dyDescent="0.3">
      <c r="AA2433" s="3">
        <v>22831.8</v>
      </c>
      <c r="AB2433">
        <v>1E-4</v>
      </c>
      <c r="AC2433">
        <v>8</v>
      </c>
      <c r="AD2433" s="5">
        <v>4.9335359586759484</v>
      </c>
      <c r="AE2433" s="5">
        <v>2.1963408741758732</v>
      </c>
      <c r="AF2433">
        <v>1</v>
      </c>
    </row>
    <row r="2434" spans="27:32" x14ac:dyDescent="0.3">
      <c r="AA2434" s="3">
        <v>13563.85</v>
      </c>
      <c r="AB2434">
        <v>1E-4</v>
      </c>
      <c r="AC2434">
        <v>8</v>
      </c>
      <c r="AD2434" s="5">
        <v>5.1553510549422672</v>
      </c>
      <c r="AE2434" s="5">
        <v>2.2477106126661042</v>
      </c>
      <c r="AF2434">
        <v>1</v>
      </c>
    </row>
    <row r="2435" spans="27:32" x14ac:dyDescent="0.3">
      <c r="AA2435" s="3">
        <v>18737.810000000001</v>
      </c>
      <c r="AB2435">
        <v>1E-4</v>
      </c>
      <c r="AC2435">
        <v>8</v>
      </c>
      <c r="AD2435" s="5">
        <v>4.9805042678041183</v>
      </c>
      <c r="AE2435" s="5">
        <v>2.1112747544597279</v>
      </c>
      <c r="AF2435">
        <v>1</v>
      </c>
    </row>
    <row r="2436" spans="27:32" x14ac:dyDescent="0.3">
      <c r="AA2436" s="3">
        <v>28747.52</v>
      </c>
      <c r="AB2436">
        <v>1E-4</v>
      </c>
      <c r="AC2436">
        <v>7</v>
      </c>
      <c r="AD2436" s="5">
        <v>5.0520221898549318</v>
      </c>
      <c r="AE2436" s="5">
        <v>2.1866515646314522</v>
      </c>
      <c r="AF2436">
        <v>1</v>
      </c>
    </row>
    <row r="2437" spans="27:32" x14ac:dyDescent="0.3">
      <c r="AA2437" s="3">
        <v>-5209.5200000000004</v>
      </c>
      <c r="AB2437">
        <v>1E-4</v>
      </c>
      <c r="AC2437">
        <v>9</v>
      </c>
      <c r="AD2437" s="5">
        <v>4.8173157894937511</v>
      </c>
      <c r="AE2437" s="5">
        <v>2.202041319730764</v>
      </c>
      <c r="AF2437">
        <v>1</v>
      </c>
    </row>
    <row r="2438" spans="27:32" x14ac:dyDescent="0.3">
      <c r="AA2438" s="3">
        <v>-1115.6099999999999</v>
      </c>
      <c r="AB2438">
        <v>1E-4</v>
      </c>
      <c r="AC2438">
        <v>9</v>
      </c>
      <c r="AD2438" s="5">
        <v>4.9498267799806728</v>
      </c>
      <c r="AE2438" s="5">
        <v>2.2557880675896946</v>
      </c>
      <c r="AF2438">
        <v>1</v>
      </c>
    </row>
    <row r="2439" spans="27:32" x14ac:dyDescent="0.3">
      <c r="AA2439" s="3">
        <v>37117.65</v>
      </c>
      <c r="AB2439">
        <v>1E-4</v>
      </c>
      <c r="AC2439">
        <v>7</v>
      </c>
      <c r="AD2439" s="5">
        <v>4.9188360495640575</v>
      </c>
      <c r="AE2439" s="5">
        <v>2.1480668891359525</v>
      </c>
      <c r="AF2439">
        <v>1</v>
      </c>
    </row>
    <row r="2440" spans="27:32" x14ac:dyDescent="0.3">
      <c r="AA2440" s="3">
        <v>-6226.78</v>
      </c>
      <c r="AB2440">
        <v>1E-4</v>
      </c>
      <c r="AC2440">
        <v>9</v>
      </c>
      <c r="AD2440" s="5">
        <v>5.023010482374147</v>
      </c>
      <c r="AE2440" s="5">
        <v>2.2776424631943017</v>
      </c>
      <c r="AF2440">
        <v>1</v>
      </c>
    </row>
    <row r="2441" spans="27:32" x14ac:dyDescent="0.3">
      <c r="AA2441" s="3">
        <v>15979.03</v>
      </c>
      <c r="AB2441">
        <v>1E-4</v>
      </c>
      <c r="AC2441">
        <v>8</v>
      </c>
      <c r="AD2441" s="5">
        <v>4.9476027979138726</v>
      </c>
      <c r="AE2441" s="5">
        <v>2.1607547917539582</v>
      </c>
      <c r="AF2441">
        <v>1</v>
      </c>
    </row>
    <row r="2442" spans="27:32" x14ac:dyDescent="0.3">
      <c r="AA2442" s="3">
        <v>49377.5</v>
      </c>
      <c r="AB2442">
        <v>1E-4</v>
      </c>
      <c r="AC2442">
        <v>6</v>
      </c>
      <c r="AD2442" s="5">
        <v>4.919174686772366</v>
      </c>
      <c r="AE2442" s="5">
        <v>2.1825293195370645</v>
      </c>
      <c r="AF2442">
        <v>1</v>
      </c>
    </row>
    <row r="2443" spans="27:32" x14ac:dyDescent="0.3">
      <c r="AA2443" s="3">
        <v>631.12</v>
      </c>
      <c r="AB2443">
        <v>1E-4</v>
      </c>
      <c r="AC2443">
        <v>8</v>
      </c>
      <c r="AD2443" s="5">
        <v>4.9123865448234998</v>
      </c>
      <c r="AE2443" s="5">
        <v>2.25949432210234</v>
      </c>
      <c r="AF2443">
        <v>1</v>
      </c>
    </row>
    <row r="2444" spans="27:32" x14ac:dyDescent="0.3">
      <c r="AA2444" s="3">
        <v>4054.0734727479248</v>
      </c>
      <c r="AB2444">
        <v>1E-4</v>
      </c>
      <c r="AC2444">
        <v>8</v>
      </c>
      <c r="AD2444" s="5">
        <v>5.1088291564281629</v>
      </c>
      <c r="AE2444" s="5">
        <v>2.193417758480726</v>
      </c>
      <c r="AF2444">
        <v>0</v>
      </c>
    </row>
    <row r="2445" spans="27:32" x14ac:dyDescent="0.3">
      <c r="AA2445" s="3">
        <v>15453.96</v>
      </c>
      <c r="AB2445">
        <v>1E-4</v>
      </c>
      <c r="AC2445">
        <v>8</v>
      </c>
      <c r="AD2445" s="5">
        <v>4.9924836598285633</v>
      </c>
      <c r="AE2445" s="5">
        <v>2.2127368518815111</v>
      </c>
      <c r="AF2445">
        <v>1</v>
      </c>
    </row>
    <row r="2446" spans="27:32" x14ac:dyDescent="0.3">
      <c r="AA2446" s="3">
        <v>-3826.45</v>
      </c>
      <c r="AB2446">
        <v>1E-4</v>
      </c>
      <c r="AC2446">
        <v>9</v>
      </c>
      <c r="AD2446" s="5">
        <v>4.8678069110111428</v>
      </c>
      <c r="AE2446" s="5">
        <v>2.2425615156490335</v>
      </c>
      <c r="AF2446">
        <v>1</v>
      </c>
    </row>
    <row r="2447" spans="27:32" x14ac:dyDescent="0.3">
      <c r="AA2447" s="3">
        <v>-30648.402001551178</v>
      </c>
      <c r="AB2447">
        <v>1E-4</v>
      </c>
      <c r="AC2447">
        <v>9</v>
      </c>
      <c r="AD2447" s="5">
        <v>4.8846432746015758</v>
      </c>
      <c r="AE2447" s="5">
        <v>2.2125392471321716</v>
      </c>
      <c r="AF2447">
        <v>0</v>
      </c>
    </row>
    <row r="2448" spans="27:32" x14ac:dyDescent="0.3">
      <c r="AA2448" s="3">
        <v>17694.77</v>
      </c>
      <c r="AB2448">
        <v>1E-4</v>
      </c>
      <c r="AC2448">
        <v>8</v>
      </c>
      <c r="AD2448" s="5">
        <v>5.1199820477145632</v>
      </c>
      <c r="AE2448" s="5">
        <v>2.2283257988617255</v>
      </c>
      <c r="AF2448">
        <v>1</v>
      </c>
    </row>
    <row r="2449" spans="27:32" x14ac:dyDescent="0.3">
      <c r="AA2449" s="3">
        <v>-9166.18</v>
      </c>
      <c r="AB2449">
        <v>1E-4</v>
      </c>
      <c r="AC2449">
        <v>9</v>
      </c>
      <c r="AD2449" s="5">
        <v>4.8975307108830943</v>
      </c>
      <c r="AE2449" s="5">
        <v>2.18629337741742</v>
      </c>
      <c r="AF2449">
        <v>1</v>
      </c>
    </row>
    <row r="2450" spans="27:32" x14ac:dyDescent="0.3">
      <c r="AA2450" s="3">
        <v>-29629.882239447616</v>
      </c>
      <c r="AB2450">
        <v>1E-4</v>
      </c>
      <c r="AC2450">
        <v>9</v>
      </c>
      <c r="AD2450" s="5">
        <v>5.0810304658367995</v>
      </c>
      <c r="AE2450" s="5">
        <v>2.2759717087539704</v>
      </c>
      <c r="AF2450">
        <v>0</v>
      </c>
    </row>
    <row r="2451" spans="27:32" x14ac:dyDescent="0.3">
      <c r="AA2451" s="3">
        <v>11542</v>
      </c>
      <c r="AB2451">
        <v>1E-4</v>
      </c>
      <c r="AC2451">
        <v>8</v>
      </c>
      <c r="AD2451" s="5">
        <v>5.1805526725564555</v>
      </c>
      <c r="AE2451" s="5">
        <v>2.1653812172752609</v>
      </c>
      <c r="AF2451">
        <v>1</v>
      </c>
    </row>
    <row r="2452" spans="27:32" x14ac:dyDescent="0.3">
      <c r="AA2452" s="3">
        <v>-2340.58</v>
      </c>
      <c r="AB2452">
        <v>1E-4</v>
      </c>
      <c r="AC2452">
        <v>9</v>
      </c>
      <c r="AD2452" s="5">
        <v>4.9912252750809332</v>
      </c>
      <c r="AE2452" s="5">
        <v>2.3126352066845639</v>
      </c>
      <c r="AF2452">
        <v>1</v>
      </c>
    </row>
    <row r="2453" spans="27:32" x14ac:dyDescent="0.3">
      <c r="AA2453" s="3">
        <v>-10659.81</v>
      </c>
      <c r="AB2453">
        <v>1E-4</v>
      </c>
      <c r="AC2453">
        <v>9</v>
      </c>
      <c r="AD2453" s="5">
        <v>4.8430936971232175</v>
      </c>
      <c r="AE2453" s="5">
        <v>2.226352295923506</v>
      </c>
      <c r="AF2453">
        <v>1</v>
      </c>
    </row>
    <row r="2454" spans="27:32" x14ac:dyDescent="0.3">
      <c r="AA2454" s="3">
        <v>1761.93</v>
      </c>
      <c r="AB2454">
        <v>1E-4</v>
      </c>
      <c r="AC2454">
        <v>8</v>
      </c>
      <c r="AD2454" s="5">
        <v>4.8538977432506067</v>
      </c>
      <c r="AE2454" s="5">
        <v>2.1324268919929992</v>
      </c>
      <c r="AF2454">
        <v>1</v>
      </c>
    </row>
    <row r="2455" spans="27:32" x14ac:dyDescent="0.3">
      <c r="AA2455" s="3">
        <v>22708.54</v>
      </c>
      <c r="AB2455">
        <v>1E-4</v>
      </c>
      <c r="AC2455">
        <v>8</v>
      </c>
      <c r="AD2455" s="5">
        <v>5.068405049007616</v>
      </c>
      <c r="AE2455" s="5">
        <v>2.2274220573478618</v>
      </c>
      <c r="AF2455">
        <v>1</v>
      </c>
    </row>
    <row r="2456" spans="27:32" x14ac:dyDescent="0.3">
      <c r="AA2456" s="3">
        <v>43521.919999999998</v>
      </c>
      <c r="AB2456">
        <v>1E-4</v>
      </c>
      <c r="AC2456">
        <v>7</v>
      </c>
      <c r="AD2456" s="5">
        <v>5.0918452831035443</v>
      </c>
      <c r="AE2456" s="5">
        <v>2.2364317528371642</v>
      </c>
      <c r="AF2456">
        <v>1</v>
      </c>
    </row>
    <row r="2457" spans="27:32" x14ac:dyDescent="0.3">
      <c r="AA2457" s="3">
        <v>1688.71</v>
      </c>
      <c r="AB2457">
        <v>1E-4</v>
      </c>
      <c r="AC2457">
        <v>8</v>
      </c>
      <c r="AD2457" s="5">
        <v>5.0651282488950269</v>
      </c>
      <c r="AE2457" s="5">
        <v>2.2737579243542183</v>
      </c>
      <c r="AF2457">
        <v>1</v>
      </c>
    </row>
    <row r="2458" spans="27:32" x14ac:dyDescent="0.3">
      <c r="AA2458" s="3">
        <v>29231.73</v>
      </c>
      <c r="AB2458">
        <v>1E-4</v>
      </c>
      <c r="AC2458">
        <v>8</v>
      </c>
      <c r="AD2458" s="5">
        <v>5.1062824812039054</v>
      </c>
      <c r="AE2458" s="5">
        <v>2.2360742747192446</v>
      </c>
      <c r="AF2458">
        <v>1</v>
      </c>
    </row>
    <row r="2459" spans="27:32" x14ac:dyDescent="0.3">
      <c r="AA2459" s="3">
        <v>6306.53</v>
      </c>
      <c r="AB2459">
        <v>1E-4</v>
      </c>
      <c r="AC2459">
        <v>8</v>
      </c>
      <c r="AD2459" s="5">
        <v>4.9590791415435547</v>
      </c>
      <c r="AE2459" s="5">
        <v>2.2714026297493217</v>
      </c>
      <c r="AF2459">
        <v>1</v>
      </c>
    </row>
    <row r="2460" spans="27:32" x14ac:dyDescent="0.3">
      <c r="AA2460" s="3">
        <v>22189.53</v>
      </c>
      <c r="AB2460">
        <v>1E-4</v>
      </c>
      <c r="AC2460">
        <v>8</v>
      </c>
      <c r="AD2460" s="5">
        <v>5.0770061486563272</v>
      </c>
      <c r="AE2460" s="5">
        <v>2.3126008378048861</v>
      </c>
      <c r="AF2460">
        <v>1</v>
      </c>
    </row>
    <row r="2461" spans="27:32" x14ac:dyDescent="0.3">
      <c r="AA2461" s="3">
        <v>37616.449999999997</v>
      </c>
      <c r="AB2461">
        <v>1E-4</v>
      </c>
      <c r="AC2461">
        <v>7</v>
      </c>
      <c r="AD2461" s="5">
        <v>5.1176622404536216</v>
      </c>
      <c r="AE2461" s="5">
        <v>2.2204931569145008</v>
      </c>
      <c r="AF2461">
        <v>1</v>
      </c>
    </row>
    <row r="2462" spans="27:32" x14ac:dyDescent="0.3">
      <c r="AA2462" s="3">
        <v>33900.44</v>
      </c>
      <c r="AB2462">
        <v>1E-4</v>
      </c>
      <c r="AC2462">
        <v>7</v>
      </c>
      <c r="AD2462" s="5">
        <v>5.0060556009807433</v>
      </c>
      <c r="AE2462" s="5">
        <v>2.2102626558035396</v>
      </c>
      <c r="AF2462">
        <v>1</v>
      </c>
    </row>
    <row r="2463" spans="27:32" x14ac:dyDescent="0.3">
      <c r="AA2463" s="3">
        <v>-23849.29</v>
      </c>
      <c r="AB2463">
        <v>1E-4</v>
      </c>
      <c r="AC2463">
        <v>9</v>
      </c>
      <c r="AD2463" s="5">
        <v>4.9340355960228219</v>
      </c>
      <c r="AE2463" s="5">
        <v>2.2423827910203826</v>
      </c>
      <c r="AF2463">
        <v>1</v>
      </c>
    </row>
    <row r="2464" spans="27:32" x14ac:dyDescent="0.3">
      <c r="AA2464" s="3">
        <v>43677.56</v>
      </c>
      <c r="AB2464">
        <v>1E-4</v>
      </c>
      <c r="AC2464">
        <v>7</v>
      </c>
      <c r="AD2464" s="5">
        <v>5.0483015559173969</v>
      </c>
      <c r="AE2464" s="5">
        <v>2.1980422841088192</v>
      </c>
      <c r="AF2464">
        <v>1</v>
      </c>
    </row>
    <row r="2465" spans="27:32" x14ac:dyDescent="0.3">
      <c r="AA2465" s="3">
        <v>17913.169999999998</v>
      </c>
      <c r="AB2465">
        <v>1E-4</v>
      </c>
      <c r="AC2465">
        <v>8</v>
      </c>
      <c r="AD2465" s="5">
        <v>4.9132715149603525</v>
      </c>
      <c r="AE2465" s="5">
        <v>2.2257502094731252</v>
      </c>
      <c r="AF2465">
        <v>1</v>
      </c>
    </row>
    <row r="2466" spans="27:32" x14ac:dyDescent="0.3">
      <c r="AA2466" s="3">
        <v>25591.919999999998</v>
      </c>
      <c r="AB2466">
        <v>1E-4</v>
      </c>
      <c r="AC2466">
        <v>8</v>
      </c>
      <c r="AD2466" s="5">
        <v>4.9934662317083198</v>
      </c>
      <c r="AE2466" s="5">
        <v>2.1745512142322392</v>
      </c>
      <c r="AF2466">
        <v>1</v>
      </c>
    </row>
    <row r="2467" spans="27:32" x14ac:dyDescent="0.3">
      <c r="AA2467" s="3">
        <v>7074.17</v>
      </c>
      <c r="AB2467">
        <v>1E-4</v>
      </c>
      <c r="AC2467">
        <v>8</v>
      </c>
      <c r="AD2467" s="5">
        <v>4.8366218170062156</v>
      </c>
      <c r="AE2467" s="5">
        <v>2.2255682986619334</v>
      </c>
      <c r="AF2467">
        <v>1</v>
      </c>
    </row>
    <row r="2468" spans="27:32" x14ac:dyDescent="0.3">
      <c r="AA2468" s="3">
        <v>-14998.23</v>
      </c>
      <c r="AB2468">
        <v>1E-4</v>
      </c>
      <c r="AC2468">
        <v>9</v>
      </c>
      <c r="AD2468" s="5">
        <v>4.878855847813532</v>
      </c>
      <c r="AE2468" s="5">
        <v>2.2273639085152888</v>
      </c>
      <c r="AF2468">
        <v>1</v>
      </c>
    </row>
    <row r="2469" spans="27:32" x14ac:dyDescent="0.3">
      <c r="AA2469" s="3">
        <v>-44.71</v>
      </c>
      <c r="AB2469">
        <v>1E-4</v>
      </c>
      <c r="AC2469">
        <v>9</v>
      </c>
      <c r="AD2469" s="5">
        <v>4.9579377044941255</v>
      </c>
      <c r="AE2469" s="5">
        <v>2.2470038237609478</v>
      </c>
      <c r="AF2469">
        <v>1</v>
      </c>
    </row>
    <row r="2470" spans="27:32" x14ac:dyDescent="0.3">
      <c r="AA2470" s="3">
        <v>22109.95</v>
      </c>
      <c r="AB2470">
        <v>1E-4</v>
      </c>
      <c r="AC2470">
        <v>8</v>
      </c>
      <c r="AD2470" s="5">
        <v>4.9146639693411576</v>
      </c>
      <c r="AE2470" s="5">
        <v>2.2100632487766578</v>
      </c>
      <c r="AF2470">
        <v>1</v>
      </c>
    </row>
    <row r="2471" spans="27:32" x14ac:dyDescent="0.3">
      <c r="AA2471" s="3">
        <v>4025.88</v>
      </c>
      <c r="AB2471">
        <v>1E-4</v>
      </c>
      <c r="AC2471">
        <v>8</v>
      </c>
      <c r="AD2471" s="5">
        <v>4.9709999084202234</v>
      </c>
      <c r="AE2471" s="5">
        <v>2.1795281754085618</v>
      </c>
      <c r="AF2471">
        <v>1</v>
      </c>
    </row>
    <row r="2472" spans="27:32" x14ac:dyDescent="0.3">
      <c r="AA2472" s="3">
        <v>-21792.461291627671</v>
      </c>
      <c r="AB2472">
        <v>1E-4</v>
      </c>
      <c r="AC2472">
        <v>9</v>
      </c>
      <c r="AD2472" s="5">
        <v>4.9134714154116734</v>
      </c>
      <c r="AE2472" s="5">
        <v>2.1833617908441183</v>
      </c>
      <c r="AF2472">
        <v>0</v>
      </c>
    </row>
    <row r="2473" spans="27:32" x14ac:dyDescent="0.3">
      <c r="AA2473" s="3">
        <v>11003.64</v>
      </c>
      <c r="AB2473">
        <v>1E-4</v>
      </c>
      <c r="AC2473">
        <v>8</v>
      </c>
      <c r="AD2473" s="5">
        <v>4.9077120537321113</v>
      </c>
      <c r="AE2473" s="5">
        <v>2.222592831996379</v>
      </c>
      <c r="AF2473">
        <v>1</v>
      </c>
    </row>
    <row r="2474" spans="27:32" x14ac:dyDescent="0.3">
      <c r="AA2474" s="3">
        <v>-7831.11</v>
      </c>
      <c r="AB2474">
        <v>1E-4</v>
      </c>
      <c r="AC2474">
        <v>9</v>
      </c>
      <c r="AD2474" s="5">
        <v>4.8300534259478365</v>
      </c>
      <c r="AE2474" s="5">
        <v>2.1700713796103046</v>
      </c>
      <c r="AF2474">
        <v>1</v>
      </c>
    </row>
    <row r="2475" spans="27:32" x14ac:dyDescent="0.3">
      <c r="AA2475" s="3">
        <v>30008.92</v>
      </c>
      <c r="AB2475">
        <v>1E-4</v>
      </c>
      <c r="AC2475">
        <v>8</v>
      </c>
      <c r="AD2475" s="5">
        <v>4.8937493748476975</v>
      </c>
      <c r="AE2475" s="5">
        <v>2.1892655401272201</v>
      </c>
      <c r="AF2475">
        <v>1</v>
      </c>
    </row>
    <row r="2476" spans="27:32" x14ac:dyDescent="0.3">
      <c r="AA2476" s="3">
        <v>21468.7</v>
      </c>
      <c r="AB2476">
        <v>1E-4</v>
      </c>
      <c r="AC2476">
        <v>8</v>
      </c>
      <c r="AD2476" s="5">
        <v>4.9434610794472258</v>
      </c>
      <c r="AE2476" s="5">
        <v>2.2123984587480257</v>
      </c>
      <c r="AF2476">
        <v>1</v>
      </c>
    </row>
    <row r="2477" spans="27:32" x14ac:dyDescent="0.3">
      <c r="AA2477" s="3">
        <v>35860.04</v>
      </c>
      <c r="AB2477">
        <v>1E-4</v>
      </c>
      <c r="AC2477">
        <v>7</v>
      </c>
      <c r="AD2477" s="5">
        <v>5.0360850098567198</v>
      </c>
      <c r="AE2477" s="5">
        <v>2.2260398088929993</v>
      </c>
      <c r="AF2477">
        <v>1</v>
      </c>
    </row>
    <row r="2478" spans="27:32" x14ac:dyDescent="0.3">
      <c r="AA2478" s="3">
        <v>7886.51</v>
      </c>
      <c r="AB2478">
        <v>1E-4</v>
      </c>
      <c r="AC2478">
        <v>8</v>
      </c>
      <c r="AD2478" s="5">
        <v>4.8988202597719424</v>
      </c>
      <c r="AE2478" s="5">
        <v>2.2155348392314762</v>
      </c>
      <c r="AF2478">
        <v>1</v>
      </c>
    </row>
    <row r="2479" spans="27:32" x14ac:dyDescent="0.3">
      <c r="AA2479" s="3">
        <v>37561.58</v>
      </c>
      <c r="AB2479">
        <v>1E-4</v>
      </c>
      <c r="AC2479">
        <v>7</v>
      </c>
      <c r="AD2479" s="5">
        <v>4.9052050724927607</v>
      </c>
      <c r="AE2479" s="5">
        <v>2.2093642095710799</v>
      </c>
      <c r="AF2479">
        <v>1</v>
      </c>
    </row>
    <row r="2480" spans="27:32" x14ac:dyDescent="0.3">
      <c r="AA2480" s="3">
        <v>-670.23780272410841</v>
      </c>
      <c r="AB2480">
        <v>1E-4</v>
      </c>
      <c r="AC2480">
        <v>8</v>
      </c>
      <c r="AD2480" s="5">
        <v>4.9189376156819744</v>
      </c>
      <c r="AE2480" s="5">
        <v>2.1098749980549614</v>
      </c>
      <c r="AF2480">
        <v>0</v>
      </c>
    </row>
    <row r="2481" spans="27:32" x14ac:dyDescent="0.3">
      <c r="AA2481" s="3">
        <v>18442.13</v>
      </c>
      <c r="AB2481">
        <v>1E-4</v>
      </c>
      <c r="AC2481">
        <v>8</v>
      </c>
      <c r="AD2481" s="5">
        <v>5.0116123422879859</v>
      </c>
      <c r="AE2481" s="5">
        <v>2.2402199303265657</v>
      </c>
      <c r="AF2481">
        <v>1</v>
      </c>
    </row>
    <row r="2482" spans="27:32" x14ac:dyDescent="0.3">
      <c r="AA2482" s="3">
        <v>40776.879999999997</v>
      </c>
      <c r="AB2482">
        <v>1E-4</v>
      </c>
      <c r="AC2482">
        <v>7</v>
      </c>
      <c r="AD2482" s="5">
        <v>5.169788738605817</v>
      </c>
      <c r="AE2482" s="5">
        <v>2.2046192062249861</v>
      </c>
      <c r="AF2482">
        <v>1</v>
      </c>
    </row>
    <row r="2483" spans="27:32" x14ac:dyDescent="0.3">
      <c r="AA2483" s="3">
        <v>10312.620000000001</v>
      </c>
      <c r="AB2483">
        <v>1E-4</v>
      </c>
      <c r="AC2483">
        <v>8</v>
      </c>
      <c r="AD2483" s="5">
        <v>4.9841480340724926</v>
      </c>
      <c r="AE2483" s="5">
        <v>2.1810104200118441</v>
      </c>
      <c r="AF2483">
        <v>1</v>
      </c>
    </row>
    <row r="2484" spans="27:32" x14ac:dyDescent="0.3">
      <c r="AA2484" s="3">
        <v>-584.42999999999995</v>
      </c>
      <c r="AB2484">
        <v>1E-4</v>
      </c>
      <c r="AC2484">
        <v>9</v>
      </c>
      <c r="AD2484" s="5">
        <v>5.0895890016471341</v>
      </c>
      <c r="AE2484" s="5">
        <v>2.2051865599648104</v>
      </c>
      <c r="AF2484">
        <v>1</v>
      </c>
    </row>
    <row r="2485" spans="27:32" x14ac:dyDescent="0.3">
      <c r="AA2485" s="3">
        <v>34952.800000000003</v>
      </c>
      <c r="AB2485">
        <v>1E-4</v>
      </c>
      <c r="AC2485">
        <v>7</v>
      </c>
      <c r="AD2485" s="5">
        <v>5.1336003656398574</v>
      </c>
      <c r="AE2485" s="5">
        <v>2.1099771958006337</v>
      </c>
      <c r="AF2485">
        <v>1</v>
      </c>
    </row>
    <row r="2486" spans="27:32" x14ac:dyDescent="0.3">
      <c r="AA2486" s="3">
        <v>13260.75</v>
      </c>
      <c r="AB2486">
        <v>1E-4</v>
      </c>
      <c r="AC2486">
        <v>8</v>
      </c>
      <c r="AD2486" s="5">
        <v>5.1000789177282853</v>
      </c>
      <c r="AE2486" s="5">
        <v>2.1691888735704183</v>
      </c>
      <c r="AF2486">
        <v>1</v>
      </c>
    </row>
    <row r="2487" spans="27:32" x14ac:dyDescent="0.3">
      <c r="AA2487" s="3">
        <v>-1565.85</v>
      </c>
      <c r="AB2487">
        <v>1E-4</v>
      </c>
      <c r="AC2487">
        <v>9</v>
      </c>
      <c r="AD2487" s="5">
        <v>4.9461439205855413</v>
      </c>
      <c r="AE2487" s="5">
        <v>2.1695404971824752</v>
      </c>
      <c r="AF2487">
        <v>1</v>
      </c>
    </row>
    <row r="2488" spans="27:32" x14ac:dyDescent="0.3">
      <c r="AA2488" s="3">
        <v>12378.25</v>
      </c>
      <c r="AB2488">
        <v>1E-4</v>
      </c>
      <c r="AC2488">
        <v>8</v>
      </c>
      <c r="AD2488" s="5">
        <v>5.168394030566005</v>
      </c>
      <c r="AE2488" s="5">
        <v>2.2277061913086675</v>
      </c>
      <c r="AF2488">
        <v>1</v>
      </c>
    </row>
    <row r="2489" spans="27:32" x14ac:dyDescent="0.3">
      <c r="AA2489" s="3">
        <v>-5912.92</v>
      </c>
      <c r="AB2489">
        <v>1E-4</v>
      </c>
      <c r="AC2489">
        <v>9</v>
      </c>
      <c r="AD2489" s="5">
        <v>4.7864750268885832</v>
      </c>
      <c r="AE2489" s="5">
        <v>2.2731055712959112</v>
      </c>
      <c r="AF2489">
        <v>1</v>
      </c>
    </row>
    <row r="2490" spans="27:32" x14ac:dyDescent="0.3">
      <c r="AA2490" s="3">
        <v>-2568.85</v>
      </c>
      <c r="AB2490">
        <v>1E-4</v>
      </c>
      <c r="AC2490">
        <v>9</v>
      </c>
      <c r="AD2490" s="5">
        <v>5.1488616627033581</v>
      </c>
      <c r="AE2490" s="5">
        <v>2.2253207462225757</v>
      </c>
      <c r="AF2490">
        <v>1</v>
      </c>
    </row>
    <row r="2491" spans="27:32" x14ac:dyDescent="0.3">
      <c r="AA2491" s="3">
        <v>7331.53</v>
      </c>
      <c r="AB2491">
        <v>1E-4</v>
      </c>
      <c r="AC2491">
        <v>8</v>
      </c>
      <c r="AD2491" s="5">
        <v>4.8240724762302554</v>
      </c>
      <c r="AE2491" s="5">
        <v>2.1835591530152789</v>
      </c>
      <c r="AF2491">
        <v>1</v>
      </c>
    </row>
    <row r="2492" spans="27:32" x14ac:dyDescent="0.3">
      <c r="AA2492" s="3">
        <v>15425.48</v>
      </c>
      <c r="AB2492">
        <v>1E-4</v>
      </c>
      <c r="AC2492">
        <v>8</v>
      </c>
      <c r="AD2492" s="5">
        <v>5.0205239246795816</v>
      </c>
      <c r="AE2492" s="5">
        <v>2.2077314391826</v>
      </c>
      <c r="AF2492">
        <v>1</v>
      </c>
    </row>
    <row r="2493" spans="27:32" x14ac:dyDescent="0.3">
      <c r="AA2493" s="3">
        <v>28851.67</v>
      </c>
      <c r="AB2493">
        <v>1E-4</v>
      </c>
      <c r="AC2493">
        <v>7</v>
      </c>
      <c r="AD2493" s="5">
        <v>4.9477715207346282</v>
      </c>
      <c r="AE2493" s="5">
        <v>2.1261975276040959</v>
      </c>
      <c r="AF2493">
        <v>1</v>
      </c>
    </row>
    <row r="2494" spans="27:32" x14ac:dyDescent="0.3">
      <c r="AA2494" s="3">
        <v>30077.48</v>
      </c>
      <c r="AB2494">
        <v>1E-4</v>
      </c>
      <c r="AC2494">
        <v>8</v>
      </c>
      <c r="AD2494" s="5">
        <v>5.0801863179209397</v>
      </c>
      <c r="AE2494" s="5">
        <v>2.1067889071635491</v>
      </c>
      <c r="AF2494">
        <v>1</v>
      </c>
    </row>
    <row r="2495" spans="27:32" x14ac:dyDescent="0.3">
      <c r="AA2495" s="3">
        <v>26138.42</v>
      </c>
      <c r="AB2495">
        <v>1E-4</v>
      </c>
      <c r="AC2495">
        <v>8</v>
      </c>
      <c r="AD2495" s="5">
        <v>4.9286420820466637</v>
      </c>
      <c r="AE2495" s="5">
        <v>2.1136069894747522</v>
      </c>
      <c r="AF2495">
        <v>1</v>
      </c>
    </row>
    <row r="2496" spans="27:32" x14ac:dyDescent="0.3">
      <c r="AA2496" s="3">
        <v>29693.33</v>
      </c>
      <c r="AB2496">
        <v>1E-4</v>
      </c>
      <c r="AC2496">
        <v>8</v>
      </c>
      <c r="AD2496" s="5">
        <v>5.0877318066975743</v>
      </c>
      <c r="AE2496" s="5">
        <v>2.2529012996979181</v>
      </c>
      <c r="AF2496">
        <v>1</v>
      </c>
    </row>
    <row r="2497" spans="27:32" x14ac:dyDescent="0.3">
      <c r="AA2497" s="3">
        <v>31241.07</v>
      </c>
      <c r="AB2497">
        <v>1E-4</v>
      </c>
      <c r="AC2497">
        <v>8</v>
      </c>
      <c r="AD2497" s="5">
        <v>4.9777814638562106</v>
      </c>
      <c r="AE2497" s="5">
        <v>2.0814415250850553</v>
      </c>
      <c r="AF2497">
        <v>1</v>
      </c>
    </row>
    <row r="2498" spans="27:32" x14ac:dyDescent="0.3">
      <c r="AA2498" s="3">
        <v>37031.25</v>
      </c>
      <c r="AB2498">
        <v>1E-4</v>
      </c>
      <c r="AC2498">
        <v>7</v>
      </c>
      <c r="AD2498" s="5">
        <v>5.2195390227723095</v>
      </c>
      <c r="AE2498" s="5">
        <v>2.1945166169094539</v>
      </c>
      <c r="AF2498">
        <v>1</v>
      </c>
    </row>
    <row r="2499" spans="27:32" x14ac:dyDescent="0.3">
      <c r="AA2499" s="3">
        <v>-2368.44</v>
      </c>
      <c r="AB2499">
        <v>1E-4</v>
      </c>
      <c r="AC2499">
        <v>9</v>
      </c>
      <c r="AD2499" s="5">
        <v>4.9584390950878143</v>
      </c>
      <c r="AE2499" s="5">
        <v>2.1890869812369682</v>
      </c>
      <c r="AF2499">
        <v>1</v>
      </c>
    </row>
    <row r="2500" spans="27:32" x14ac:dyDescent="0.3">
      <c r="AA2500" s="3">
        <v>-9560.8700000000008</v>
      </c>
      <c r="AB2500">
        <v>1E-4</v>
      </c>
      <c r="AC2500">
        <v>9</v>
      </c>
      <c r="AD2500" s="5">
        <v>5.0546718477242925</v>
      </c>
      <c r="AE2500" s="5">
        <v>2.2229012429462642</v>
      </c>
      <c r="AF2500">
        <v>1</v>
      </c>
    </row>
    <row r="2501" spans="27:32" x14ac:dyDescent="0.3">
      <c r="AA2501" s="3">
        <v>1642.2</v>
      </c>
      <c r="AB2501">
        <v>1E-4</v>
      </c>
      <c r="AC2501">
        <v>8</v>
      </c>
      <c r="AD2501" s="5">
        <v>4.7736783883730673</v>
      </c>
      <c r="AE2501" s="5">
        <v>2.1731079549458063</v>
      </c>
      <c r="AF2501">
        <v>1</v>
      </c>
    </row>
    <row r="2502" spans="27:32" x14ac:dyDescent="0.3">
      <c r="AA2502" s="3">
        <v>4232.93</v>
      </c>
      <c r="AB2502">
        <v>1E-4</v>
      </c>
      <c r="AC2502">
        <v>8</v>
      </c>
      <c r="AD2502" s="5">
        <v>4.7871486420187699</v>
      </c>
      <c r="AE2502" s="5">
        <v>2.1476780311906722</v>
      </c>
      <c r="AF2502">
        <v>1</v>
      </c>
    </row>
    <row r="2503" spans="27:32" x14ac:dyDescent="0.3">
      <c r="AA2503" s="3">
        <v>33199.68</v>
      </c>
      <c r="AB2503">
        <v>1E-4</v>
      </c>
      <c r="AC2503">
        <v>7</v>
      </c>
      <c r="AD2503" s="5">
        <v>5.0968419993259522</v>
      </c>
      <c r="AE2503" s="5">
        <v>2.2523736171081117</v>
      </c>
      <c r="AF2503">
        <v>1</v>
      </c>
    </row>
    <row r="2504" spans="27:32" x14ac:dyDescent="0.3">
      <c r="AA2504" s="3">
        <v>8365.36</v>
      </c>
      <c r="AB2504">
        <v>1E-4</v>
      </c>
      <c r="AC2504">
        <v>8</v>
      </c>
      <c r="AD2504" s="5">
        <v>5.1771911117052278</v>
      </c>
      <c r="AE2504" s="5">
        <v>2.2325550225207951</v>
      </c>
      <c r="AF2504">
        <v>1</v>
      </c>
    </row>
    <row r="2505" spans="27:32" x14ac:dyDescent="0.3">
      <c r="AA2505" s="3">
        <v>6660.33</v>
      </c>
      <c r="AB2505">
        <v>1E-4</v>
      </c>
      <c r="AC2505">
        <v>8</v>
      </c>
      <c r="AD2505" s="5">
        <v>5.0212928904801446</v>
      </c>
      <c r="AE2505" s="5">
        <v>2.2625531954112459</v>
      </c>
      <c r="AF2505">
        <v>1</v>
      </c>
    </row>
    <row r="2506" spans="27:32" x14ac:dyDescent="0.3">
      <c r="AA2506" s="3">
        <v>-10711.8</v>
      </c>
      <c r="AB2506">
        <v>1E-4</v>
      </c>
      <c r="AC2506">
        <v>9</v>
      </c>
      <c r="AD2506" s="5">
        <v>5.0849601907678021</v>
      </c>
      <c r="AE2506" s="5">
        <v>2.254259516606147</v>
      </c>
      <c r="AF2506">
        <v>1</v>
      </c>
    </row>
    <row r="2507" spans="27:32" x14ac:dyDescent="0.3">
      <c r="AA2507" s="3">
        <v>18215.310000000001</v>
      </c>
      <c r="AB2507">
        <v>1E-4</v>
      </c>
      <c r="AC2507">
        <v>8</v>
      </c>
      <c r="AD2507" s="5">
        <v>5.079908560924836</v>
      </c>
      <c r="AE2507" s="5">
        <v>2.3043744186323085</v>
      </c>
      <c r="AF2507">
        <v>1</v>
      </c>
    </row>
    <row r="2508" spans="27:32" x14ac:dyDescent="0.3">
      <c r="AA2508" s="3">
        <v>28817.17</v>
      </c>
      <c r="AB2508">
        <v>1E-4</v>
      </c>
      <c r="AC2508">
        <v>8</v>
      </c>
      <c r="AD2508" s="5">
        <v>4.8572310568080272</v>
      </c>
      <c r="AE2508" s="5">
        <v>2.1371838854752001</v>
      </c>
      <c r="AF2508">
        <v>1</v>
      </c>
    </row>
    <row r="2509" spans="27:32" x14ac:dyDescent="0.3">
      <c r="AA2509" s="3">
        <v>-4876.62</v>
      </c>
      <c r="AB2509">
        <v>1E-4</v>
      </c>
      <c r="AC2509">
        <v>9</v>
      </c>
      <c r="AD2509" s="5">
        <v>5.0511602872327739</v>
      </c>
      <c r="AE2509" s="5">
        <v>2.2833559984337954</v>
      </c>
      <c r="AF2509">
        <v>1</v>
      </c>
    </row>
    <row r="2510" spans="27:32" x14ac:dyDescent="0.3">
      <c r="AA2510" s="3">
        <v>49708.69</v>
      </c>
      <c r="AB2510">
        <v>1E-4</v>
      </c>
      <c r="AC2510">
        <v>7</v>
      </c>
      <c r="AD2510" s="5">
        <v>4.9711637122171561</v>
      </c>
      <c r="AE2510" s="5">
        <v>2.1207996790500725</v>
      </c>
      <c r="AF2510">
        <v>1</v>
      </c>
    </row>
    <row r="2511" spans="27:32" x14ac:dyDescent="0.3">
      <c r="AA2511" s="3">
        <v>13213.36</v>
      </c>
      <c r="AB2511">
        <v>1E-4</v>
      </c>
      <c r="AC2511">
        <v>8</v>
      </c>
      <c r="AD2511" s="5">
        <v>4.9679503151157833</v>
      </c>
      <c r="AE2511" s="5">
        <v>2.238434317355575</v>
      </c>
      <c r="AF2511">
        <v>1</v>
      </c>
    </row>
    <row r="2512" spans="27:32" x14ac:dyDescent="0.3">
      <c r="AA2512" s="3">
        <v>23397.5</v>
      </c>
      <c r="AB2512">
        <v>1E-4</v>
      </c>
      <c r="AC2512">
        <v>8</v>
      </c>
      <c r="AD2512" s="5">
        <v>4.969356643974379</v>
      </c>
      <c r="AE2512" s="5">
        <v>2.1546302770965715</v>
      </c>
      <c r="AF2512">
        <v>1</v>
      </c>
    </row>
    <row r="2513" spans="27:32" x14ac:dyDescent="0.3">
      <c r="AA2513" s="3">
        <v>18286.259999999998</v>
      </c>
      <c r="AB2513">
        <v>1E-4</v>
      </c>
      <c r="AC2513">
        <v>8</v>
      </c>
      <c r="AD2513" s="5">
        <v>4.8152046880456467</v>
      </c>
      <c r="AE2513" s="5">
        <v>2.2215981417835766</v>
      </c>
      <c r="AF2513">
        <v>1</v>
      </c>
    </row>
    <row r="2514" spans="27:32" x14ac:dyDescent="0.3">
      <c r="AA2514" s="3">
        <v>12754.8</v>
      </c>
      <c r="AB2514">
        <v>1E-4</v>
      </c>
      <c r="AC2514">
        <v>8</v>
      </c>
      <c r="AD2514" s="5">
        <v>4.8930283831391597</v>
      </c>
      <c r="AE2514" s="5">
        <v>2.2030470217710687</v>
      </c>
      <c r="AF2514">
        <v>1</v>
      </c>
    </row>
    <row r="2515" spans="27:32" x14ac:dyDescent="0.3">
      <c r="AA2515" s="3">
        <v>1406.75</v>
      </c>
      <c r="AB2515">
        <v>1E-4</v>
      </c>
      <c r="AC2515">
        <v>8</v>
      </c>
      <c r="AD2515" s="5">
        <v>5.0132414317479999</v>
      </c>
      <c r="AE2515" s="5">
        <v>2.2283881235844083</v>
      </c>
      <c r="AF2515">
        <v>1</v>
      </c>
    </row>
    <row r="2516" spans="27:32" x14ac:dyDescent="0.3">
      <c r="AA2516" s="3">
        <v>38529.68</v>
      </c>
      <c r="AB2516">
        <v>1E-4</v>
      </c>
      <c r="AC2516">
        <v>7</v>
      </c>
      <c r="AD2516" s="5">
        <v>5.0294268551002732</v>
      </c>
      <c r="AE2516" s="5">
        <v>2.2769350688365702</v>
      </c>
      <c r="AF2516">
        <v>1</v>
      </c>
    </row>
    <row r="2517" spans="27:32" x14ac:dyDescent="0.3">
      <c r="AA2517" s="3">
        <v>12110.85</v>
      </c>
      <c r="AB2517">
        <v>1E-4</v>
      </c>
      <c r="AC2517">
        <v>8</v>
      </c>
      <c r="AD2517" s="5">
        <v>4.8759347087116929</v>
      </c>
      <c r="AE2517" s="5">
        <v>2.1731555113953074</v>
      </c>
      <c r="AF2517">
        <v>1</v>
      </c>
    </row>
    <row r="2518" spans="27:32" x14ac:dyDescent="0.3">
      <c r="AA2518" s="3">
        <v>11686.2</v>
      </c>
      <c r="AB2518">
        <v>1E-4</v>
      </c>
      <c r="AC2518">
        <v>8</v>
      </c>
      <c r="AD2518" s="5">
        <v>5.05445805785914</v>
      </c>
      <c r="AE2518" s="5">
        <v>2.2271462690915018</v>
      </c>
      <c r="AF2518">
        <v>1</v>
      </c>
    </row>
    <row r="2519" spans="27:32" x14ac:dyDescent="0.3">
      <c r="AA2519" s="3">
        <v>28450.66</v>
      </c>
      <c r="AB2519">
        <v>1E-4</v>
      </c>
      <c r="AC2519">
        <v>8</v>
      </c>
      <c r="AD2519" s="5">
        <v>5.057840145606626</v>
      </c>
      <c r="AE2519" s="5">
        <v>2.2437515454254076</v>
      </c>
      <c r="AF2519">
        <v>1</v>
      </c>
    </row>
    <row r="2520" spans="27:32" x14ac:dyDescent="0.3">
      <c r="AA2520" s="3">
        <v>13971.49</v>
      </c>
      <c r="AB2520">
        <v>1E-4</v>
      </c>
      <c r="AC2520">
        <v>8</v>
      </c>
      <c r="AD2520" s="5">
        <v>5.1240705300981633</v>
      </c>
      <c r="AE2520" s="5">
        <v>2.2284946994153207</v>
      </c>
      <c r="AF2520">
        <v>1</v>
      </c>
    </row>
    <row r="2521" spans="27:32" x14ac:dyDescent="0.3">
      <c r="AA2521" s="3">
        <v>-11346.76</v>
      </c>
      <c r="AB2521">
        <v>1E-4</v>
      </c>
      <c r="AC2521">
        <v>9</v>
      </c>
      <c r="AD2521" s="5">
        <v>4.9158030845886724</v>
      </c>
      <c r="AE2521" s="5">
        <v>2.1302241126366415</v>
      </c>
      <c r="AF2521">
        <v>1</v>
      </c>
    </row>
    <row r="2522" spans="27:32" x14ac:dyDescent="0.3">
      <c r="AA2522" s="3">
        <v>17774.650000000001</v>
      </c>
      <c r="AB2522">
        <v>1E-4</v>
      </c>
      <c r="AC2522">
        <v>8</v>
      </c>
      <c r="AD2522" s="5">
        <v>4.9841099828297812</v>
      </c>
      <c r="AE2522" s="5">
        <v>2.163665891333419</v>
      </c>
      <c r="AF2522">
        <v>1</v>
      </c>
    </row>
    <row r="2523" spans="27:32" x14ac:dyDescent="0.3">
      <c r="AA2523" s="3">
        <v>38298.58</v>
      </c>
      <c r="AB2523">
        <v>1E-4</v>
      </c>
      <c r="AC2523">
        <v>7</v>
      </c>
      <c r="AD2523" s="5">
        <v>4.8979710554412481</v>
      </c>
      <c r="AE2523" s="5">
        <v>2.2091941869635074</v>
      </c>
      <c r="AF2523">
        <v>1</v>
      </c>
    </row>
    <row r="2524" spans="27:32" x14ac:dyDescent="0.3">
      <c r="AA2524" s="3">
        <v>21232.35</v>
      </c>
      <c r="AB2524">
        <v>1E-4</v>
      </c>
      <c r="AC2524">
        <v>8</v>
      </c>
      <c r="AD2524" s="5">
        <v>4.9611275079639023</v>
      </c>
      <c r="AE2524" s="5">
        <v>2.1789560103657624</v>
      </c>
      <c r="AF2524">
        <v>1</v>
      </c>
    </row>
    <row r="2525" spans="27:32" x14ac:dyDescent="0.3">
      <c r="AA2525" s="3">
        <v>41089.230000000003</v>
      </c>
      <c r="AB2525">
        <v>1E-4</v>
      </c>
      <c r="AC2525">
        <v>7</v>
      </c>
      <c r="AD2525" s="5">
        <v>5.0068325350651826</v>
      </c>
      <c r="AE2525" s="5">
        <v>2.1527012485105819</v>
      </c>
      <c r="AF2525">
        <v>1</v>
      </c>
    </row>
    <row r="2526" spans="27:32" x14ac:dyDescent="0.3">
      <c r="AA2526" s="3">
        <v>-13564.52</v>
      </c>
      <c r="AB2526">
        <v>1E-4</v>
      </c>
      <c r="AC2526">
        <v>9</v>
      </c>
      <c r="AD2526" s="5">
        <v>4.8930206721188734</v>
      </c>
      <c r="AE2526" s="5">
        <v>2.245320665977288</v>
      </c>
      <c r="AF2526">
        <v>1</v>
      </c>
    </row>
    <row r="2527" spans="27:32" x14ac:dyDescent="0.3">
      <c r="AA2527" s="3">
        <v>3389.53</v>
      </c>
      <c r="AB2527">
        <v>1E-4</v>
      </c>
      <c r="AC2527">
        <v>8</v>
      </c>
      <c r="AD2527" s="5">
        <v>5.1096257035403916</v>
      </c>
      <c r="AE2527" s="5">
        <v>2.2628002064960544</v>
      </c>
      <c r="AF2527">
        <v>1</v>
      </c>
    </row>
    <row r="2528" spans="27:32" x14ac:dyDescent="0.3">
      <c r="AA2528" s="3">
        <v>23774.61</v>
      </c>
      <c r="AB2528">
        <v>1E-4</v>
      </c>
      <c r="AC2528">
        <v>8</v>
      </c>
      <c r="AD2528" s="5">
        <v>5.0335245417101087</v>
      </c>
      <c r="AE2528" s="5">
        <v>2.2020591352776537</v>
      </c>
      <c r="AF2528">
        <v>1</v>
      </c>
    </row>
    <row r="2529" spans="27:32" x14ac:dyDescent="0.3">
      <c r="AA2529" s="3">
        <v>-16128.98</v>
      </c>
      <c r="AB2529">
        <v>1E-4</v>
      </c>
      <c r="AC2529">
        <v>9</v>
      </c>
      <c r="AD2529" s="5">
        <v>4.9990368680967361</v>
      </c>
      <c r="AE2529" s="5">
        <v>2.2306289985779655</v>
      </c>
      <c r="AF2529">
        <v>1</v>
      </c>
    </row>
    <row r="2530" spans="27:32" x14ac:dyDescent="0.3">
      <c r="AA2530" s="3">
        <v>11229.05</v>
      </c>
      <c r="AB2530">
        <v>1E-4</v>
      </c>
      <c r="AC2530">
        <v>8</v>
      </c>
      <c r="AD2530" s="5">
        <v>5.0377058480451424</v>
      </c>
      <c r="AE2530" s="5">
        <v>2.2523015570349116</v>
      </c>
      <c r="AF2530">
        <v>1</v>
      </c>
    </row>
    <row r="2531" spans="27:32" x14ac:dyDescent="0.3">
      <c r="AA2531" s="3">
        <v>5672.37</v>
      </c>
      <c r="AB2531">
        <v>1E-4</v>
      </c>
      <c r="AC2531">
        <v>8</v>
      </c>
      <c r="AD2531" s="5">
        <v>4.9827416833436065</v>
      </c>
      <c r="AE2531" s="5">
        <v>2.2436119973772275</v>
      </c>
      <c r="AF2531">
        <v>1</v>
      </c>
    </row>
    <row r="2532" spans="27:32" x14ac:dyDescent="0.3">
      <c r="AA2532" s="3">
        <v>40511</v>
      </c>
      <c r="AB2532">
        <v>1E-4</v>
      </c>
      <c r="AC2532">
        <v>7</v>
      </c>
      <c r="AD2532" s="5">
        <v>4.9330513687490605</v>
      </c>
      <c r="AE2532" s="5">
        <v>2.1542522915738034</v>
      </c>
      <c r="AF2532">
        <v>1</v>
      </c>
    </row>
    <row r="2533" spans="27:32" x14ac:dyDescent="0.3">
      <c r="AA2533" s="3">
        <v>229.43</v>
      </c>
      <c r="AB2533">
        <v>1E-4</v>
      </c>
      <c r="AC2533">
        <v>8</v>
      </c>
      <c r="AD2533" s="5">
        <v>5.0586049596795704</v>
      </c>
      <c r="AE2533" s="5">
        <v>2.2924987653959761</v>
      </c>
      <c r="AF2533">
        <v>1</v>
      </c>
    </row>
    <row r="2534" spans="27:32" x14ac:dyDescent="0.3">
      <c r="AA2534" s="3">
        <v>-6029.99</v>
      </c>
      <c r="AB2534">
        <v>1E-4</v>
      </c>
      <c r="AC2534">
        <v>9</v>
      </c>
      <c r="AD2534" s="5">
        <v>5.0574627146786861</v>
      </c>
      <c r="AE2534" s="5">
        <v>2.1960260609723905</v>
      </c>
      <c r="AF2534">
        <v>1</v>
      </c>
    </row>
    <row r="2535" spans="27:32" x14ac:dyDescent="0.3">
      <c r="AA2535" s="3">
        <v>-10444.65</v>
      </c>
      <c r="AB2535">
        <v>1E-4</v>
      </c>
      <c r="AC2535">
        <v>9</v>
      </c>
      <c r="AD2535" s="5">
        <v>4.8707494516675149</v>
      </c>
      <c r="AE2535" s="5">
        <v>2.2241662090932448</v>
      </c>
      <c r="AF2535">
        <v>1</v>
      </c>
    </row>
    <row r="2536" spans="27:32" x14ac:dyDescent="0.3">
      <c r="AA2536" s="3">
        <v>20079.7</v>
      </c>
      <c r="AB2536">
        <v>1E-4</v>
      </c>
      <c r="AC2536">
        <v>8</v>
      </c>
      <c r="AD2536" s="5">
        <v>5.0371854798170643</v>
      </c>
      <c r="AE2536" s="5">
        <v>2.174241529238484</v>
      </c>
      <c r="AF2536">
        <v>1</v>
      </c>
    </row>
    <row r="2537" spans="27:32" x14ac:dyDescent="0.3">
      <c r="AA2537" s="3">
        <v>38214.18</v>
      </c>
      <c r="AB2537">
        <v>1E-4</v>
      </c>
      <c r="AC2537">
        <v>7</v>
      </c>
      <c r="AD2537" s="5">
        <v>5.0582569432758948</v>
      </c>
      <c r="AE2537" s="5">
        <v>2.1977495278872299</v>
      </c>
      <c r="AF2537">
        <v>1</v>
      </c>
    </row>
    <row r="2538" spans="27:32" x14ac:dyDescent="0.3">
      <c r="AA2538" s="3">
        <v>19815.29</v>
      </c>
      <c r="AB2538">
        <v>1E-4</v>
      </c>
      <c r="AC2538">
        <v>8</v>
      </c>
      <c r="AD2538" s="5">
        <v>4.9641561236962373</v>
      </c>
      <c r="AE2538" s="5">
        <v>2.2254207359371114</v>
      </c>
      <c r="AF2538">
        <v>1</v>
      </c>
    </row>
    <row r="2539" spans="27:32" x14ac:dyDescent="0.3">
      <c r="AA2539" s="3">
        <v>37275.79</v>
      </c>
      <c r="AB2539">
        <v>1E-4</v>
      </c>
      <c r="AC2539">
        <v>7</v>
      </c>
      <c r="AD2539" s="5">
        <v>4.9670782830992497</v>
      </c>
      <c r="AE2539" s="5">
        <v>2.2621985663560027</v>
      </c>
      <c r="AF2539">
        <v>1</v>
      </c>
    </row>
    <row r="2540" spans="27:32" x14ac:dyDescent="0.3">
      <c r="AA2540" s="3">
        <v>-258.06</v>
      </c>
      <c r="AB2540">
        <v>1E-4</v>
      </c>
      <c r="AC2540">
        <v>9</v>
      </c>
      <c r="AD2540" s="5">
        <v>5.05018924454202</v>
      </c>
      <c r="AE2540" s="5">
        <v>2.2206112375481912</v>
      </c>
      <c r="AF2540">
        <v>1</v>
      </c>
    </row>
    <row r="2541" spans="27:32" x14ac:dyDescent="0.3">
      <c r="AA2541" s="3">
        <v>-19770.5</v>
      </c>
      <c r="AB2541">
        <v>1E-4</v>
      </c>
      <c r="AC2541">
        <v>9</v>
      </c>
      <c r="AD2541" s="5">
        <v>4.951389492321022</v>
      </c>
      <c r="AE2541" s="5">
        <v>2.3119273504598836</v>
      </c>
      <c r="AF2541">
        <v>1</v>
      </c>
    </row>
    <row r="2542" spans="27:32" x14ac:dyDescent="0.3">
      <c r="AA2542" s="3">
        <v>37207.599999999999</v>
      </c>
      <c r="AB2542">
        <v>1E-4</v>
      </c>
      <c r="AC2542">
        <v>7</v>
      </c>
      <c r="AD2542" s="5">
        <v>4.9547663421361028</v>
      </c>
      <c r="AE2542" s="5">
        <v>2.1480603076885458</v>
      </c>
      <c r="AF2542">
        <v>1</v>
      </c>
    </row>
    <row r="2543" spans="27:32" x14ac:dyDescent="0.3">
      <c r="AA2543" s="3">
        <v>-5334.94</v>
      </c>
      <c r="AB2543">
        <v>1E-4</v>
      </c>
      <c r="AC2543">
        <v>9</v>
      </c>
      <c r="AD2543" s="5">
        <v>5.0654116124811379</v>
      </c>
      <c r="AE2543" s="5">
        <v>2.2291210687858705</v>
      </c>
      <c r="AF2543">
        <v>1</v>
      </c>
    </row>
    <row r="2544" spans="27:32" x14ac:dyDescent="0.3">
      <c r="AA2544" s="3">
        <v>17917.580000000002</v>
      </c>
      <c r="AB2544">
        <v>1E-4</v>
      </c>
      <c r="AC2544">
        <v>8</v>
      </c>
      <c r="AD2544" s="5">
        <v>4.9853484208072203</v>
      </c>
      <c r="AE2544" s="5">
        <v>2.173983914154447</v>
      </c>
      <c r="AF2544">
        <v>1</v>
      </c>
    </row>
    <row r="2545" spans="27:32" x14ac:dyDescent="0.3">
      <c r="AA2545" s="3">
        <v>34290.1</v>
      </c>
      <c r="AB2545">
        <v>1E-4</v>
      </c>
      <c r="AC2545">
        <v>7</v>
      </c>
      <c r="AD2545" s="5">
        <v>4.8976379025328658</v>
      </c>
      <c r="AE2545" s="5">
        <v>2.1565108482010089</v>
      </c>
      <c r="AF2545">
        <v>1</v>
      </c>
    </row>
    <row r="2546" spans="27:32" x14ac:dyDescent="0.3">
      <c r="AA2546" s="3">
        <v>-4401.8599999999997</v>
      </c>
      <c r="AB2546">
        <v>1E-4</v>
      </c>
      <c r="AC2546">
        <v>9</v>
      </c>
      <c r="AD2546" s="5">
        <v>4.8800583417099475</v>
      </c>
      <c r="AE2546" s="5">
        <v>2.1871733529173043</v>
      </c>
      <c r="AF2546">
        <v>1</v>
      </c>
    </row>
    <row r="2547" spans="27:32" x14ac:dyDescent="0.3">
      <c r="AA2547" s="3">
        <v>15516.77</v>
      </c>
      <c r="AB2547">
        <v>1E-4</v>
      </c>
      <c r="AC2547">
        <v>8</v>
      </c>
      <c r="AD2547" s="5">
        <v>5.0357194220648411</v>
      </c>
      <c r="AE2547" s="5">
        <v>2.248126663514054</v>
      </c>
      <c r="AF2547">
        <v>1</v>
      </c>
    </row>
    <row r="2548" spans="27:32" x14ac:dyDescent="0.3">
      <c r="AA2548" s="3">
        <v>18068.72</v>
      </c>
      <c r="AB2548">
        <v>1E-4</v>
      </c>
      <c r="AC2548">
        <v>8</v>
      </c>
      <c r="AD2548" s="5">
        <v>4.9174050836258356</v>
      </c>
      <c r="AE2548" s="5">
        <v>2.1032364658998266</v>
      </c>
      <c r="AF2548">
        <v>1</v>
      </c>
    </row>
    <row r="2549" spans="27:32" x14ac:dyDescent="0.3">
      <c r="AA2549" s="3">
        <v>13537.71</v>
      </c>
      <c r="AB2549">
        <v>1E-4</v>
      </c>
      <c r="AC2549">
        <v>8</v>
      </c>
      <c r="AD2549" s="5">
        <v>4.990507120235427</v>
      </c>
      <c r="AE2549" s="5">
        <v>2.1802515322365221</v>
      </c>
      <c r="AF2549">
        <v>1</v>
      </c>
    </row>
    <row r="2550" spans="27:32" x14ac:dyDescent="0.3">
      <c r="AA2550" s="3">
        <v>22325.05</v>
      </c>
      <c r="AB2550">
        <v>1E-4</v>
      </c>
      <c r="AC2550">
        <v>8</v>
      </c>
      <c r="AD2550" s="5">
        <v>4.8354322602521389</v>
      </c>
      <c r="AE2550" s="5">
        <v>2.2960161465635909</v>
      </c>
      <c r="AF2550">
        <v>1</v>
      </c>
    </row>
    <row r="2551" spans="27:32" x14ac:dyDescent="0.3">
      <c r="AA2551" s="3">
        <v>-1484.2</v>
      </c>
      <c r="AB2551">
        <v>1E-4</v>
      </c>
      <c r="AC2551">
        <v>9</v>
      </c>
      <c r="AD2551" s="5">
        <v>5.0875915531089344</v>
      </c>
      <c r="AE2551" s="5">
        <v>2.1595679645858845</v>
      </c>
      <c r="AF2551">
        <v>1</v>
      </c>
    </row>
    <row r="2552" spans="27:32" x14ac:dyDescent="0.3">
      <c r="AA2552" s="3">
        <v>-18001.75</v>
      </c>
      <c r="AB2552">
        <v>1E-4</v>
      </c>
      <c r="AC2552">
        <v>9</v>
      </c>
      <c r="AD2552" s="5">
        <v>4.9974804602845202</v>
      </c>
      <c r="AE2552" s="5">
        <v>2.3305677174105468</v>
      </c>
      <c r="AF2552">
        <v>1</v>
      </c>
    </row>
    <row r="2553" spans="27:32" x14ac:dyDescent="0.3">
      <c r="AA2553" s="3">
        <v>12739.99</v>
      </c>
      <c r="AB2553">
        <v>1E-4</v>
      </c>
      <c r="AC2553">
        <v>8</v>
      </c>
      <c r="AD2553" s="5">
        <v>4.9853527923611614</v>
      </c>
      <c r="AE2553" s="5">
        <v>2.274349876238968</v>
      </c>
      <c r="AF2553">
        <v>1</v>
      </c>
    </row>
    <row r="2554" spans="27:32" x14ac:dyDescent="0.3">
      <c r="AA2554" s="3">
        <v>25234.05</v>
      </c>
      <c r="AB2554">
        <v>1E-4</v>
      </c>
      <c r="AC2554">
        <v>8</v>
      </c>
      <c r="AD2554" s="5">
        <v>5.0941345076702831</v>
      </c>
      <c r="AE2554" s="5">
        <v>2.211500734758197</v>
      </c>
      <c r="AF2554">
        <v>1</v>
      </c>
    </row>
    <row r="2555" spans="27:32" x14ac:dyDescent="0.3">
      <c r="AA2555" s="3">
        <v>16105.53</v>
      </c>
      <c r="AB2555">
        <v>1E-4</v>
      </c>
      <c r="AC2555">
        <v>8</v>
      </c>
      <c r="AD2555" s="5">
        <v>5.0738926379906699</v>
      </c>
      <c r="AE2555" s="5">
        <v>2.1694372030447049</v>
      </c>
      <c r="AF2555">
        <v>1</v>
      </c>
    </row>
    <row r="2556" spans="27:32" x14ac:dyDescent="0.3">
      <c r="AA2556" s="3">
        <v>5284.24</v>
      </c>
      <c r="AB2556">
        <v>1E-4</v>
      </c>
      <c r="AC2556">
        <v>8</v>
      </c>
      <c r="AD2556" s="5">
        <v>4.9264004455531696</v>
      </c>
      <c r="AE2556" s="5">
        <v>2.199209805285633</v>
      </c>
      <c r="AF2556">
        <v>1</v>
      </c>
    </row>
    <row r="2557" spans="27:32" x14ac:dyDescent="0.3">
      <c r="AA2557" s="3">
        <v>1569.05</v>
      </c>
      <c r="AB2557">
        <v>1E-4</v>
      </c>
      <c r="AC2557">
        <v>8</v>
      </c>
      <c r="AD2557" s="5">
        <v>4.8768225974837396</v>
      </c>
      <c r="AE2557" s="5">
        <v>2.2555902286428422</v>
      </c>
      <c r="AF2557">
        <v>1</v>
      </c>
    </row>
    <row r="2558" spans="27:32" x14ac:dyDescent="0.3">
      <c r="AA2558" s="3">
        <v>5987.4</v>
      </c>
      <c r="AB2558">
        <v>1E-4</v>
      </c>
      <c r="AC2558">
        <v>8</v>
      </c>
      <c r="AD2558" s="5">
        <v>4.9388408940012072</v>
      </c>
      <c r="AE2558" s="5">
        <v>2.1948587548092808</v>
      </c>
      <c r="AF2558">
        <v>1</v>
      </c>
    </row>
    <row r="2559" spans="27:32" x14ac:dyDescent="0.3">
      <c r="AA2559" s="3">
        <v>-8581.33</v>
      </c>
      <c r="AB2559">
        <v>1E-4</v>
      </c>
      <c r="AC2559">
        <v>9</v>
      </c>
      <c r="AD2559" s="5">
        <v>4.8983818916991186</v>
      </c>
      <c r="AE2559" s="5">
        <v>2.2631364378257737</v>
      </c>
      <c r="AF2559">
        <v>1</v>
      </c>
    </row>
    <row r="2560" spans="27:32" x14ac:dyDescent="0.3">
      <c r="AA2560" s="3">
        <v>29398.29</v>
      </c>
      <c r="AB2560">
        <v>1E-4</v>
      </c>
      <c r="AC2560">
        <v>8</v>
      </c>
      <c r="AD2560" s="5">
        <v>5.044114178919088</v>
      </c>
      <c r="AE2560" s="5">
        <v>2.282871423692741</v>
      </c>
      <c r="AF2560">
        <v>1</v>
      </c>
    </row>
    <row r="2561" spans="27:32" x14ac:dyDescent="0.3">
      <c r="AA2561" s="3">
        <v>20959.740000000002</v>
      </c>
      <c r="AB2561">
        <v>1E-4</v>
      </c>
      <c r="AC2561">
        <v>8</v>
      </c>
      <c r="AD2561" s="5">
        <v>5.0039374956529539</v>
      </c>
      <c r="AE2561" s="5">
        <v>2.233756379779531</v>
      </c>
      <c r="AF2561">
        <v>1</v>
      </c>
    </row>
    <row r="2562" spans="27:32" x14ac:dyDescent="0.3">
      <c r="AA2562" s="3">
        <v>-16855.759999999998</v>
      </c>
      <c r="AB2562">
        <v>1E-4</v>
      </c>
      <c r="AC2562">
        <v>9</v>
      </c>
      <c r="AD2562" s="5">
        <v>4.9543574024803041</v>
      </c>
      <c r="AE2562" s="5">
        <v>2.1212575496476562</v>
      </c>
      <c r="AF2562">
        <v>1</v>
      </c>
    </row>
    <row r="2563" spans="27:32" x14ac:dyDescent="0.3">
      <c r="AA2563" s="3">
        <v>24893.81</v>
      </c>
      <c r="AB2563">
        <v>1E-4</v>
      </c>
      <c r="AC2563">
        <v>8</v>
      </c>
      <c r="AD2563" s="5">
        <v>5.0421990227492017</v>
      </c>
      <c r="AE2563" s="5">
        <v>2.2011722727772307</v>
      </c>
      <c r="AF2563">
        <v>1</v>
      </c>
    </row>
    <row r="2564" spans="27:32" x14ac:dyDescent="0.3">
      <c r="AA2564" s="3">
        <v>26417.52</v>
      </c>
      <c r="AB2564">
        <v>1E-4</v>
      </c>
      <c r="AC2564">
        <v>7</v>
      </c>
      <c r="AD2564" s="5">
        <v>4.9319471140950766</v>
      </c>
      <c r="AE2564" s="5">
        <v>2.1873120239283863</v>
      </c>
      <c r="AF2564">
        <v>1</v>
      </c>
    </row>
    <row r="2565" spans="27:32" x14ac:dyDescent="0.3">
      <c r="AA2565" s="3">
        <v>45117.599999999999</v>
      </c>
      <c r="AB2565">
        <v>1E-4</v>
      </c>
      <c r="AC2565">
        <v>7</v>
      </c>
      <c r="AD2565" s="5">
        <v>4.9729838236405248</v>
      </c>
      <c r="AE2565" s="5">
        <v>2.126947723055419</v>
      </c>
      <c r="AF2565">
        <v>1</v>
      </c>
    </row>
    <row r="2566" spans="27:32" x14ac:dyDescent="0.3">
      <c r="AA2566" s="3">
        <v>-12402.683364118739</v>
      </c>
      <c r="AB2566">
        <v>1E-4</v>
      </c>
      <c r="AC2566">
        <v>8</v>
      </c>
      <c r="AD2566" s="5">
        <v>4.9613876937358974</v>
      </c>
      <c r="AE2566" s="5">
        <v>2.1223281369649851</v>
      </c>
      <c r="AF2566">
        <v>0</v>
      </c>
    </row>
    <row r="2567" spans="27:32" x14ac:dyDescent="0.3">
      <c r="AA2567" s="3">
        <v>8451.99</v>
      </c>
      <c r="AB2567">
        <v>1E-4</v>
      </c>
      <c r="AC2567">
        <v>8</v>
      </c>
      <c r="AD2567" s="5">
        <v>4.8332224132959878</v>
      </c>
      <c r="AE2567" s="5">
        <v>2.2604973877856884</v>
      </c>
      <c r="AF2567">
        <v>1</v>
      </c>
    </row>
    <row r="2568" spans="27:32" x14ac:dyDescent="0.3">
      <c r="AA2568" s="3">
        <v>-3327.52</v>
      </c>
      <c r="AB2568">
        <v>1E-4</v>
      </c>
      <c r="AC2568">
        <v>9</v>
      </c>
      <c r="AD2568" s="5">
        <v>4.9478227553694509</v>
      </c>
      <c r="AE2568" s="5">
        <v>2.2838401819683378</v>
      </c>
      <c r="AF2568">
        <v>1</v>
      </c>
    </row>
    <row r="2569" spans="27:32" x14ac:dyDescent="0.3">
      <c r="AA2569" s="3">
        <v>5622.56</v>
      </c>
      <c r="AB2569">
        <v>1E-4</v>
      </c>
      <c r="AC2569">
        <v>8</v>
      </c>
      <c r="AD2569" s="5">
        <v>5.163668771150574</v>
      </c>
      <c r="AE2569" s="5">
        <v>2.2695258989888414</v>
      </c>
      <c r="AF2569">
        <v>1</v>
      </c>
    </row>
    <row r="2570" spans="27:32" x14ac:dyDescent="0.3">
      <c r="AA2570" s="3">
        <v>25843.48</v>
      </c>
      <c r="AB2570">
        <v>1E-4</v>
      </c>
      <c r="AC2570">
        <v>8</v>
      </c>
      <c r="AD2570" s="5">
        <v>5.0434078622547833</v>
      </c>
      <c r="AE2570" s="5">
        <v>2.2132717649572498</v>
      </c>
      <c r="AF2570">
        <v>1</v>
      </c>
    </row>
    <row r="2571" spans="27:32" x14ac:dyDescent="0.3">
      <c r="AA2571" s="3">
        <v>28034.77</v>
      </c>
      <c r="AB2571">
        <v>1E-4</v>
      </c>
      <c r="AC2571">
        <v>8</v>
      </c>
      <c r="AD2571" s="5">
        <v>4.997395355485212</v>
      </c>
      <c r="AE2571" s="5">
        <v>2.2259508501870839</v>
      </c>
      <c r="AF2571">
        <v>1</v>
      </c>
    </row>
    <row r="2572" spans="27:32" x14ac:dyDescent="0.3">
      <c r="AA2572" s="3">
        <v>-12179.93</v>
      </c>
      <c r="AB2572">
        <v>1E-4</v>
      </c>
      <c r="AC2572">
        <v>9</v>
      </c>
      <c r="AD2572" s="5">
        <v>4.8385602123879199</v>
      </c>
      <c r="AE2572" s="5">
        <v>2.1821853487323817</v>
      </c>
      <c r="AF2572">
        <v>1</v>
      </c>
    </row>
    <row r="2573" spans="27:32" x14ac:dyDescent="0.3">
      <c r="AA2573" s="3">
        <v>17030.34</v>
      </c>
      <c r="AB2573">
        <v>1E-4</v>
      </c>
      <c r="AC2573">
        <v>8</v>
      </c>
      <c r="AD2573" s="5">
        <v>5.0442911932368588</v>
      </c>
      <c r="AE2573" s="5">
        <v>2.2496361518474517</v>
      </c>
      <c r="AF2573">
        <v>1</v>
      </c>
    </row>
    <row r="2574" spans="27:32" x14ac:dyDescent="0.3">
      <c r="AA2574" s="3">
        <v>27833.17</v>
      </c>
      <c r="AB2574">
        <v>1E-4</v>
      </c>
      <c r="AC2574">
        <v>8</v>
      </c>
      <c r="AD2574" s="5">
        <v>5.1479077996178564</v>
      </c>
      <c r="AE2574" s="5">
        <v>2.1357934975462176</v>
      </c>
      <c r="AF2574">
        <v>1</v>
      </c>
    </row>
    <row r="2575" spans="27:32" x14ac:dyDescent="0.3">
      <c r="AA2575" s="3">
        <v>-5175.22</v>
      </c>
      <c r="AB2575">
        <v>1E-4</v>
      </c>
      <c r="AC2575">
        <v>9</v>
      </c>
      <c r="AD2575" s="5">
        <v>4.9621100119592638</v>
      </c>
      <c r="AE2575" s="5">
        <v>2.2344364867395159</v>
      </c>
      <c r="AF2575">
        <v>1</v>
      </c>
    </row>
    <row r="2576" spans="27:32" x14ac:dyDescent="0.3">
      <c r="AA2576" s="3">
        <v>40108.400000000001</v>
      </c>
      <c r="AB2576">
        <v>1E-4</v>
      </c>
      <c r="AC2576">
        <v>7</v>
      </c>
      <c r="AD2576" s="5">
        <v>5.1004366293705443</v>
      </c>
      <c r="AE2576" s="5">
        <v>2.1225684131364888</v>
      </c>
      <c r="AF2576">
        <v>1</v>
      </c>
    </row>
    <row r="2577" spans="27:32" x14ac:dyDescent="0.3">
      <c r="AA2577" s="3">
        <v>-2295.86</v>
      </c>
      <c r="AB2577">
        <v>1E-4</v>
      </c>
      <c r="AC2577">
        <v>9</v>
      </c>
      <c r="AD2577" s="5">
        <v>4.9533230440302791</v>
      </c>
      <c r="AE2577" s="5">
        <v>2.2903896265805028</v>
      </c>
      <c r="AF2577">
        <v>1</v>
      </c>
    </row>
    <row r="2578" spans="27:32" x14ac:dyDescent="0.3">
      <c r="AA2578" s="3">
        <v>34627.35</v>
      </c>
      <c r="AB2578">
        <v>1E-4</v>
      </c>
      <c r="AC2578">
        <v>7</v>
      </c>
      <c r="AD2578" s="5">
        <v>5.0303122208029007</v>
      </c>
      <c r="AE2578" s="5">
        <v>2.2678103809730494</v>
      </c>
      <c r="AF2578">
        <v>1</v>
      </c>
    </row>
    <row r="2579" spans="27:32" x14ac:dyDescent="0.3">
      <c r="AA2579" s="3">
        <v>22588.2</v>
      </c>
      <c r="AB2579">
        <v>1E-4</v>
      </c>
      <c r="AC2579">
        <v>7</v>
      </c>
      <c r="AD2579" s="5">
        <v>4.9605144260344893</v>
      </c>
      <c r="AE2579" s="5">
        <v>2.1572611326872857</v>
      </c>
      <c r="AF2579">
        <v>1</v>
      </c>
    </row>
    <row r="2580" spans="27:32" x14ac:dyDescent="0.3">
      <c r="AA2580" s="3">
        <v>13446.79</v>
      </c>
      <c r="AB2580">
        <v>1E-4</v>
      </c>
      <c r="AC2580">
        <v>8</v>
      </c>
      <c r="AD2580" s="5">
        <v>5.0195535812819152</v>
      </c>
      <c r="AE2580" s="5">
        <v>2.1983034837381852</v>
      </c>
      <c r="AF2580">
        <v>1</v>
      </c>
    </row>
    <row r="2581" spans="27:32" x14ac:dyDescent="0.3">
      <c r="AA2581" s="3">
        <v>13911.95</v>
      </c>
      <c r="AB2581">
        <v>1E-4</v>
      </c>
      <c r="AC2581">
        <v>8</v>
      </c>
      <c r="AD2581" s="5">
        <v>5.0066852586434161</v>
      </c>
      <c r="AE2581" s="5">
        <v>2.1642316443702931</v>
      </c>
      <c r="AF2581">
        <v>1</v>
      </c>
    </row>
    <row r="2582" spans="27:32" x14ac:dyDescent="0.3">
      <c r="AA2582" s="3">
        <v>9076.16</v>
      </c>
      <c r="AB2582">
        <v>1E-4</v>
      </c>
      <c r="AC2582">
        <v>8</v>
      </c>
      <c r="AD2582" s="5">
        <v>4.9402780652146721</v>
      </c>
      <c r="AE2582" s="5">
        <v>2.2949500406261754</v>
      </c>
      <c r="AF2582">
        <v>1</v>
      </c>
    </row>
    <row r="2583" spans="27:32" x14ac:dyDescent="0.3">
      <c r="AA2583" s="3">
        <v>16444.310000000001</v>
      </c>
      <c r="AB2583">
        <v>1E-4</v>
      </c>
      <c r="AC2583">
        <v>8</v>
      </c>
      <c r="AD2583" s="5">
        <v>4.9896403545407537</v>
      </c>
      <c r="AE2583" s="5">
        <v>2.1933022348469953</v>
      </c>
      <c r="AF2583">
        <v>1</v>
      </c>
    </row>
    <row r="2584" spans="27:32" x14ac:dyDescent="0.3">
      <c r="AA2584" s="3">
        <v>-21668.935945741192</v>
      </c>
      <c r="AB2584">
        <v>1E-4</v>
      </c>
      <c r="AC2584">
        <v>9</v>
      </c>
      <c r="AD2584" s="5">
        <v>4.8475501402937908</v>
      </c>
      <c r="AE2584" s="5">
        <v>2.2600988868430489</v>
      </c>
      <c r="AF2584">
        <v>0</v>
      </c>
    </row>
    <row r="2585" spans="27:32" x14ac:dyDescent="0.3">
      <c r="AA2585" s="3">
        <v>-1594.66</v>
      </c>
      <c r="AB2585">
        <v>1E-4</v>
      </c>
      <c r="AC2585">
        <v>9</v>
      </c>
      <c r="AD2585" s="5">
        <v>4.9046266255548234</v>
      </c>
      <c r="AE2585" s="5">
        <v>2.2089975685945777</v>
      </c>
      <c r="AF2585">
        <v>1</v>
      </c>
    </row>
    <row r="2586" spans="27:32" x14ac:dyDescent="0.3">
      <c r="AA2586" s="3">
        <v>41904.1</v>
      </c>
      <c r="AB2586">
        <v>1E-4</v>
      </c>
      <c r="AC2586">
        <v>6</v>
      </c>
      <c r="AD2586" s="5">
        <v>4.9876663563553647</v>
      </c>
      <c r="AE2586" s="5">
        <v>2.2041185360765772</v>
      </c>
      <c r="AF2586">
        <v>1</v>
      </c>
    </row>
    <row r="2587" spans="27:32" x14ac:dyDescent="0.3">
      <c r="AA2587" s="3">
        <v>25869.48</v>
      </c>
      <c r="AB2587">
        <v>1E-4</v>
      </c>
      <c r="AC2587">
        <v>8</v>
      </c>
      <c r="AD2587" s="5">
        <v>4.9319508925339006</v>
      </c>
      <c r="AE2587" s="5">
        <v>2.1771080797908335</v>
      </c>
      <c r="AF2587">
        <v>1</v>
      </c>
    </row>
    <row r="2588" spans="27:32" x14ac:dyDescent="0.3">
      <c r="AA2588" s="3">
        <v>19036.93</v>
      </c>
      <c r="AB2588">
        <v>1E-4</v>
      </c>
      <c r="AC2588">
        <v>8</v>
      </c>
      <c r="AD2588" s="5">
        <v>5.0326722057069215</v>
      </c>
      <c r="AE2588" s="5">
        <v>2.1918596750717674</v>
      </c>
      <c r="AF2588">
        <v>1</v>
      </c>
    </row>
    <row r="2589" spans="27:32" x14ac:dyDescent="0.3">
      <c r="AA2589" s="3">
        <v>32291.7</v>
      </c>
      <c r="AB2589">
        <v>1E-4</v>
      </c>
      <c r="AC2589">
        <v>7</v>
      </c>
      <c r="AD2589" s="5">
        <v>4.7794864870873992</v>
      </c>
      <c r="AE2589" s="5">
        <v>2.1475966711875172</v>
      </c>
      <c r="AF2589">
        <v>1</v>
      </c>
    </row>
    <row r="2590" spans="27:32" x14ac:dyDescent="0.3">
      <c r="AA2590" s="3">
        <v>17402.830000000002</v>
      </c>
      <c r="AB2590">
        <v>1E-4</v>
      </c>
      <c r="AC2590">
        <v>8</v>
      </c>
      <c r="AD2590" s="5">
        <v>4.8937467217291113</v>
      </c>
      <c r="AE2590" s="5">
        <v>2.1696574525905281</v>
      </c>
      <c r="AF2590">
        <v>1</v>
      </c>
    </row>
    <row r="2591" spans="27:32" x14ac:dyDescent="0.3">
      <c r="AA2591" s="3">
        <v>-7290.66</v>
      </c>
      <c r="AB2591">
        <v>1E-4</v>
      </c>
      <c r="AC2591">
        <v>9</v>
      </c>
      <c r="AD2591" s="5">
        <v>5.1562578139409183</v>
      </c>
      <c r="AE2591" s="5">
        <v>2.2481983477000278</v>
      </c>
      <c r="AF2591">
        <v>1</v>
      </c>
    </row>
    <row r="2592" spans="27:32" x14ac:dyDescent="0.3">
      <c r="AA2592" s="3">
        <v>17317.16</v>
      </c>
      <c r="AB2592">
        <v>1E-4</v>
      </c>
      <c r="AC2592">
        <v>8</v>
      </c>
      <c r="AD2592" s="5">
        <v>4.9350682018599095</v>
      </c>
      <c r="AE2592" s="5">
        <v>2.2147583852607813</v>
      </c>
      <c r="AF2592">
        <v>1</v>
      </c>
    </row>
    <row r="2593" spans="27:32" x14ac:dyDescent="0.3">
      <c r="AA2593" s="3">
        <v>2724.18</v>
      </c>
      <c r="AB2593">
        <v>1E-4</v>
      </c>
      <c r="AC2593">
        <v>8</v>
      </c>
      <c r="AD2593" s="5">
        <v>5.0734350103058805</v>
      </c>
      <c r="AE2593" s="5">
        <v>2.1714002934768835</v>
      </c>
      <c r="AF2593">
        <v>1</v>
      </c>
    </row>
    <row r="2594" spans="27:32" x14ac:dyDescent="0.3">
      <c r="AA2594" s="3">
        <v>-895.84</v>
      </c>
      <c r="AB2594">
        <v>1E-4</v>
      </c>
      <c r="AC2594">
        <v>9</v>
      </c>
      <c r="AD2594" s="5">
        <v>5.0261961646963229</v>
      </c>
      <c r="AE2594" s="5">
        <v>2.2273064449745079</v>
      </c>
      <c r="AF2594">
        <v>1</v>
      </c>
    </row>
    <row r="2595" spans="27:32" x14ac:dyDescent="0.3">
      <c r="AA2595" s="3">
        <v>-15178.341345152707</v>
      </c>
      <c r="AB2595">
        <v>1E-4</v>
      </c>
      <c r="AC2595">
        <v>8</v>
      </c>
      <c r="AD2595" s="5">
        <v>4.9222936039164216</v>
      </c>
      <c r="AE2595" s="5">
        <v>2.2167928281881237</v>
      </c>
      <c r="AF2595">
        <v>0</v>
      </c>
    </row>
    <row r="2596" spans="27:32" x14ac:dyDescent="0.3">
      <c r="AA2596" s="3">
        <v>5729.52</v>
      </c>
      <c r="AB2596">
        <v>1E-4</v>
      </c>
      <c r="AC2596">
        <v>8</v>
      </c>
      <c r="AD2596" s="5">
        <v>5.0255425380443448</v>
      </c>
      <c r="AE2596" s="5">
        <v>2.2578488056034423</v>
      </c>
      <c r="AF2596">
        <v>1</v>
      </c>
    </row>
    <row r="2597" spans="27:32" x14ac:dyDescent="0.3">
      <c r="AA2597" s="3">
        <v>23699.18</v>
      </c>
      <c r="AB2597">
        <v>1E-4</v>
      </c>
      <c r="AC2597">
        <v>8</v>
      </c>
      <c r="AD2597" s="5">
        <v>5.022648849355722</v>
      </c>
      <c r="AE2597" s="5">
        <v>2.1754136415546048</v>
      </c>
      <c r="AF2597">
        <v>1</v>
      </c>
    </row>
    <row r="2598" spans="27:32" x14ac:dyDescent="0.3">
      <c r="AA2598" s="3">
        <v>22587.51</v>
      </c>
      <c r="AB2598">
        <v>1E-4</v>
      </c>
      <c r="AC2598">
        <v>8</v>
      </c>
      <c r="AD2598" s="5">
        <v>4.9407431645435995</v>
      </c>
      <c r="AE2598" s="5">
        <v>2.1605262643164744</v>
      </c>
      <c r="AF2598">
        <v>1</v>
      </c>
    </row>
    <row r="2599" spans="27:32" x14ac:dyDescent="0.3">
      <c r="AA2599" s="3">
        <v>35166.07</v>
      </c>
      <c r="AB2599">
        <v>1E-4</v>
      </c>
      <c r="AC2599">
        <v>7</v>
      </c>
      <c r="AD2599" s="5">
        <v>4.994486300715165</v>
      </c>
      <c r="AE2599" s="5">
        <v>2.1929899657597969</v>
      </c>
      <c r="AF2599">
        <v>1</v>
      </c>
    </row>
    <row r="2600" spans="27:32" x14ac:dyDescent="0.3">
      <c r="AA2600" s="3">
        <v>18687.099999999999</v>
      </c>
      <c r="AB2600">
        <v>1E-4</v>
      </c>
      <c r="AC2600">
        <v>8</v>
      </c>
      <c r="AD2600" s="5">
        <v>5.0981001217702175</v>
      </c>
      <c r="AE2600" s="5">
        <v>2.1664412111662297</v>
      </c>
      <c r="AF2600">
        <v>1</v>
      </c>
    </row>
    <row r="2601" spans="27:32" x14ac:dyDescent="0.3">
      <c r="AA2601" s="3">
        <v>25282.45</v>
      </c>
      <c r="AB2601">
        <v>1E-4</v>
      </c>
      <c r="AC2601">
        <v>8</v>
      </c>
      <c r="AD2601" s="5">
        <v>4.9433758917088007</v>
      </c>
      <c r="AE2601" s="5">
        <v>2.129187619867801</v>
      </c>
      <c r="AF2601">
        <v>1</v>
      </c>
    </row>
    <row r="2602" spans="27:32" x14ac:dyDescent="0.3">
      <c r="AA2602" s="3">
        <v>40797.17</v>
      </c>
      <c r="AB2602">
        <v>1E-4</v>
      </c>
      <c r="AC2602">
        <v>7</v>
      </c>
      <c r="AD2602" s="5">
        <v>5.0049871363223088</v>
      </c>
      <c r="AE2602" s="5">
        <v>2.1628232407077519</v>
      </c>
      <c r="AF2602">
        <v>1</v>
      </c>
    </row>
    <row r="2603" spans="27:32" x14ac:dyDescent="0.3">
      <c r="AA2603" s="3">
        <v>884.44</v>
      </c>
      <c r="AB2603">
        <v>1E-4</v>
      </c>
      <c r="AC2603">
        <v>8</v>
      </c>
      <c r="AD2603" s="5">
        <v>5.1541080506000112</v>
      </c>
      <c r="AE2603" s="5">
        <v>2.1762962166810138</v>
      </c>
      <c r="AF2603">
        <v>1</v>
      </c>
    </row>
    <row r="2604" spans="27:32" x14ac:dyDescent="0.3">
      <c r="AA2604" s="3">
        <v>11936.13</v>
      </c>
      <c r="AB2604">
        <v>1E-4</v>
      </c>
      <c r="AC2604">
        <v>8</v>
      </c>
      <c r="AD2604" s="5">
        <v>5.0697904137719165</v>
      </c>
      <c r="AE2604" s="5">
        <v>2.1818567937434077</v>
      </c>
      <c r="AF2604">
        <v>1</v>
      </c>
    </row>
    <row r="2605" spans="27:32" x14ac:dyDescent="0.3">
      <c r="AA2605" s="3">
        <v>-2221.7600000000002</v>
      </c>
      <c r="AB2605">
        <v>1E-4</v>
      </c>
      <c r="AC2605">
        <v>9</v>
      </c>
      <c r="AD2605" s="5">
        <v>5.0135813199465575</v>
      </c>
      <c r="AE2605" s="5">
        <v>2.2043615072417948</v>
      </c>
      <c r="AF2605">
        <v>1</v>
      </c>
    </row>
    <row r="2606" spans="27:32" x14ac:dyDescent="0.3">
      <c r="AA2606" s="3">
        <v>22617.33</v>
      </c>
      <c r="AB2606">
        <v>1E-4</v>
      </c>
      <c r="AC2606">
        <v>8</v>
      </c>
      <c r="AD2606" s="5">
        <v>5.0689511739407571</v>
      </c>
      <c r="AE2606" s="5">
        <v>2.1943800811408054</v>
      </c>
      <c r="AF2606">
        <v>1</v>
      </c>
    </row>
    <row r="2607" spans="27:32" x14ac:dyDescent="0.3">
      <c r="AA2607" s="3">
        <v>16826.91</v>
      </c>
      <c r="AB2607">
        <v>1E-4</v>
      </c>
      <c r="AC2607">
        <v>8</v>
      </c>
      <c r="AD2607" s="5">
        <v>5.1208725503595618</v>
      </c>
      <c r="AE2607" s="5">
        <v>2.2493561764294308</v>
      </c>
      <c r="AF2607">
        <v>1</v>
      </c>
    </row>
    <row r="2608" spans="27:32" x14ac:dyDescent="0.3">
      <c r="AA2608" s="3">
        <v>36288</v>
      </c>
      <c r="AB2608">
        <v>1E-4</v>
      </c>
      <c r="AC2608">
        <v>7</v>
      </c>
      <c r="AD2608" s="5">
        <v>5.0596237222086238</v>
      </c>
      <c r="AE2608" s="5">
        <v>2.211757341127778</v>
      </c>
      <c r="AF2608">
        <v>1</v>
      </c>
    </row>
    <row r="2609" spans="27:32" x14ac:dyDescent="0.3">
      <c r="AA2609" s="3">
        <v>14023.35</v>
      </c>
      <c r="AB2609">
        <v>1E-4</v>
      </c>
      <c r="AC2609">
        <v>8</v>
      </c>
      <c r="AD2609" s="5">
        <v>4.9502533486259619</v>
      </c>
      <c r="AE2609" s="5">
        <v>2.1466020157728436</v>
      </c>
      <c r="AF2609">
        <v>1</v>
      </c>
    </row>
    <row r="2610" spans="27:32" x14ac:dyDescent="0.3">
      <c r="AA2610" s="3">
        <v>21762.46</v>
      </c>
      <c r="AB2610">
        <v>1E-4</v>
      </c>
      <c r="AC2610">
        <v>8</v>
      </c>
      <c r="AD2610" s="5">
        <v>5.1413907483327499</v>
      </c>
      <c r="AE2610" s="5">
        <v>2.1982194238883275</v>
      </c>
      <c r="AF2610">
        <v>1</v>
      </c>
    </row>
    <row r="2611" spans="27:32" x14ac:dyDescent="0.3">
      <c r="AA2611" s="3">
        <v>-4604.34</v>
      </c>
      <c r="AB2611">
        <v>1E-4</v>
      </c>
      <c r="AC2611">
        <v>9</v>
      </c>
      <c r="AD2611" s="5">
        <v>5.0404002960529617</v>
      </c>
      <c r="AE2611" s="5">
        <v>2.2614263760324405</v>
      </c>
      <c r="AF2611">
        <v>1</v>
      </c>
    </row>
    <row r="2612" spans="27:32" x14ac:dyDescent="0.3">
      <c r="AA2612" s="3">
        <v>15973.43</v>
      </c>
      <c r="AB2612">
        <v>1E-4</v>
      </c>
      <c r="AC2612">
        <v>8</v>
      </c>
      <c r="AD2612" s="5">
        <v>4.9220389293461269</v>
      </c>
      <c r="AE2612" s="5">
        <v>2.2938270515702519</v>
      </c>
      <c r="AF2612">
        <v>1</v>
      </c>
    </row>
    <row r="2613" spans="27:32" x14ac:dyDescent="0.3">
      <c r="AA2613" s="3">
        <v>10053.25</v>
      </c>
      <c r="AB2613">
        <v>1E-4</v>
      </c>
      <c r="AC2613">
        <v>8</v>
      </c>
      <c r="AD2613" s="5">
        <v>4.898207847418929</v>
      </c>
      <c r="AE2613" s="5">
        <v>2.1981060306051994</v>
      </c>
      <c r="AF2613">
        <v>1</v>
      </c>
    </row>
    <row r="2614" spans="27:32" x14ac:dyDescent="0.3">
      <c r="AA2614" s="3">
        <v>614.29999999999995</v>
      </c>
      <c r="AB2614">
        <v>1E-4</v>
      </c>
      <c r="AC2614">
        <v>8</v>
      </c>
      <c r="AD2614" s="5">
        <v>5.0218710689781263</v>
      </c>
      <c r="AE2614" s="5">
        <v>2.2136785259980338</v>
      </c>
      <c r="AF2614">
        <v>1</v>
      </c>
    </row>
    <row r="2615" spans="27:32" x14ac:dyDescent="0.3">
      <c r="AA2615" s="3">
        <v>2973.01</v>
      </c>
      <c r="AB2615">
        <v>1E-4</v>
      </c>
      <c r="AC2615">
        <v>8</v>
      </c>
      <c r="AD2615" s="5">
        <v>5.0054131064126413</v>
      </c>
      <c r="AE2615" s="5">
        <v>2.2055625914634738</v>
      </c>
      <c r="AF2615">
        <v>1</v>
      </c>
    </row>
    <row r="2616" spans="27:32" x14ac:dyDescent="0.3">
      <c r="AA2616" s="3">
        <v>11866.14</v>
      </c>
      <c r="AB2616">
        <v>1E-4</v>
      </c>
      <c r="AC2616">
        <v>8</v>
      </c>
      <c r="AD2616" s="5">
        <v>5.0205263961378561</v>
      </c>
      <c r="AE2616" s="5">
        <v>2.1458970043902204</v>
      </c>
      <c r="AF2616">
        <v>1</v>
      </c>
    </row>
    <row r="2617" spans="27:32" x14ac:dyDescent="0.3">
      <c r="AA2617" s="3">
        <v>16586.52</v>
      </c>
      <c r="AB2617">
        <v>1E-4</v>
      </c>
      <c r="AC2617">
        <v>8</v>
      </c>
      <c r="AD2617" s="5">
        <v>5.0483803941646537</v>
      </c>
      <c r="AE2617" s="5">
        <v>2.2027486378233907</v>
      </c>
      <c r="AF2617">
        <v>1</v>
      </c>
    </row>
    <row r="2618" spans="27:32" x14ac:dyDescent="0.3">
      <c r="AA2618" s="3">
        <v>7397.79</v>
      </c>
      <c r="AB2618">
        <v>1E-4</v>
      </c>
      <c r="AC2618">
        <v>8</v>
      </c>
      <c r="AD2618" s="5">
        <v>5.12031751966681</v>
      </c>
      <c r="AE2618" s="5">
        <v>2.297479877096563</v>
      </c>
      <c r="AF2618">
        <v>1</v>
      </c>
    </row>
    <row r="2619" spans="27:32" x14ac:dyDescent="0.3">
      <c r="AA2619" s="3">
        <v>18014.25</v>
      </c>
      <c r="AB2619">
        <v>1E-4</v>
      </c>
      <c r="AC2619">
        <v>8</v>
      </c>
      <c r="AD2619" s="5">
        <v>4.9473027519637451</v>
      </c>
      <c r="AE2619" s="5">
        <v>2.1915618447545331</v>
      </c>
      <c r="AF2619">
        <v>1</v>
      </c>
    </row>
    <row r="2620" spans="27:32" x14ac:dyDescent="0.3">
      <c r="AA2620" s="3">
        <v>13940.02</v>
      </c>
      <c r="AB2620">
        <v>1E-4</v>
      </c>
      <c r="AC2620">
        <v>8</v>
      </c>
      <c r="AD2620" s="5">
        <v>4.948471047005027</v>
      </c>
      <c r="AE2620" s="5">
        <v>2.2250685298613364</v>
      </c>
      <c r="AF2620">
        <v>1</v>
      </c>
    </row>
    <row r="2621" spans="27:32" x14ac:dyDescent="0.3">
      <c r="AA2621" s="3">
        <v>22669.89</v>
      </c>
      <c r="AB2621">
        <v>1E-4</v>
      </c>
      <c r="AC2621">
        <v>8</v>
      </c>
      <c r="AD2621" s="5">
        <v>5.0517754794539513</v>
      </c>
      <c r="AE2621" s="5">
        <v>2.1153182579037937</v>
      </c>
      <c r="AF2621">
        <v>1</v>
      </c>
    </row>
    <row r="2622" spans="27:32" x14ac:dyDescent="0.3">
      <c r="AA2622" s="3">
        <v>-186.58</v>
      </c>
      <c r="AB2622">
        <v>1E-4</v>
      </c>
      <c r="AC2622">
        <v>9</v>
      </c>
      <c r="AD2622" s="5">
        <v>5.0014013472365768</v>
      </c>
      <c r="AE2622" s="5">
        <v>2.2072798535750024</v>
      </c>
      <c r="AF2622">
        <v>1</v>
      </c>
    </row>
    <row r="2623" spans="27:32" x14ac:dyDescent="0.3">
      <c r="AA2623" s="3">
        <v>41996.92</v>
      </c>
      <c r="AB2623">
        <v>1E-4</v>
      </c>
      <c r="AC2623">
        <v>7</v>
      </c>
      <c r="AD2623" s="5">
        <v>4.9301699211108838</v>
      </c>
      <c r="AE2623" s="5">
        <v>2.2560963528207041</v>
      </c>
      <c r="AF2623">
        <v>1</v>
      </c>
    </row>
    <row r="2624" spans="27:32" x14ac:dyDescent="0.3">
      <c r="AA2624" s="3">
        <v>2082.91</v>
      </c>
      <c r="AB2624">
        <v>1E-4</v>
      </c>
      <c r="AC2624">
        <v>8</v>
      </c>
      <c r="AD2624" s="5">
        <v>4.9383452968005228</v>
      </c>
      <c r="AE2624" s="5">
        <v>2.2258092950650386</v>
      </c>
      <c r="AF2624">
        <v>1</v>
      </c>
    </row>
    <row r="2625" spans="27:32" x14ac:dyDescent="0.3">
      <c r="AA2625" s="3">
        <v>31890.91</v>
      </c>
      <c r="AB2625">
        <v>1E-4</v>
      </c>
      <c r="AC2625">
        <v>7</v>
      </c>
      <c r="AD2625" s="5">
        <v>4.9741103910584785</v>
      </c>
      <c r="AE2625" s="5">
        <v>2.1830310439343346</v>
      </c>
      <c r="AF2625">
        <v>1</v>
      </c>
    </row>
    <row r="2626" spans="27:32" x14ac:dyDescent="0.3">
      <c r="AA2626" s="3">
        <v>39614.519999999997</v>
      </c>
      <c r="AB2626">
        <v>1E-4</v>
      </c>
      <c r="AC2626">
        <v>7</v>
      </c>
      <c r="AD2626" s="5">
        <v>4.9334201544633194</v>
      </c>
      <c r="AE2626" s="5">
        <v>2.1789216113036916</v>
      </c>
      <c r="AF2626">
        <v>1</v>
      </c>
    </row>
    <row r="2627" spans="27:32" x14ac:dyDescent="0.3">
      <c r="AA2627" s="3">
        <v>-9632.59</v>
      </c>
      <c r="AB2627">
        <v>1E-4</v>
      </c>
      <c r="AC2627">
        <v>9</v>
      </c>
      <c r="AD2627" s="5">
        <v>4.9602061772744825</v>
      </c>
      <c r="AE2627" s="5">
        <v>2.2118536915138542</v>
      </c>
      <c r="AF2627">
        <v>1</v>
      </c>
    </row>
    <row r="2628" spans="27:32" x14ac:dyDescent="0.3">
      <c r="AA2628" s="3">
        <v>52023.58</v>
      </c>
      <c r="AB2628">
        <v>1E-4</v>
      </c>
      <c r="AC2628">
        <v>6</v>
      </c>
      <c r="AD2628" s="5">
        <v>5.1644432886918823</v>
      </c>
      <c r="AE2628" s="5">
        <v>2.1983204439305606</v>
      </c>
      <c r="AF2628">
        <v>1</v>
      </c>
    </row>
    <row r="2629" spans="27:32" x14ac:dyDescent="0.3">
      <c r="AA2629" s="3">
        <v>10637.41</v>
      </c>
      <c r="AB2629">
        <v>1E-4</v>
      </c>
      <c r="AC2629">
        <v>8</v>
      </c>
      <c r="AD2629" s="5">
        <v>5.0153750506537449</v>
      </c>
      <c r="AE2629" s="5">
        <v>2.2363403609760089</v>
      </c>
      <c r="AF2629">
        <v>1</v>
      </c>
    </row>
    <row r="2630" spans="27:32" x14ac:dyDescent="0.3">
      <c r="AA2630" s="3">
        <v>-2773.79</v>
      </c>
      <c r="AB2630">
        <v>1E-4</v>
      </c>
      <c r="AC2630">
        <v>9</v>
      </c>
      <c r="AD2630" s="5">
        <v>4.994950372038037</v>
      </c>
      <c r="AE2630" s="5">
        <v>2.2156149678333996</v>
      </c>
      <c r="AF2630">
        <v>1</v>
      </c>
    </row>
    <row r="2631" spans="27:32" x14ac:dyDescent="0.3">
      <c r="AA2631" s="3">
        <v>-7484.22</v>
      </c>
      <c r="AB2631">
        <v>1E-4</v>
      </c>
      <c r="AC2631">
        <v>9</v>
      </c>
      <c r="AD2631" s="5">
        <v>4.8913651923736907</v>
      </c>
      <c r="AE2631" s="5">
        <v>2.243379618050759</v>
      </c>
      <c r="AF2631">
        <v>1</v>
      </c>
    </row>
    <row r="2632" spans="27:32" x14ac:dyDescent="0.3">
      <c r="AA2632" s="3">
        <v>22313.84</v>
      </c>
      <c r="AB2632">
        <v>1E-4</v>
      </c>
      <c r="AC2632">
        <v>8</v>
      </c>
      <c r="AD2632" s="5">
        <v>5.0566537260253419</v>
      </c>
      <c r="AE2632" s="5">
        <v>2.1691830244735115</v>
      </c>
      <c r="AF2632">
        <v>1</v>
      </c>
    </row>
    <row r="2633" spans="27:32" x14ac:dyDescent="0.3">
      <c r="AA2633" s="3">
        <v>-5522.8</v>
      </c>
      <c r="AB2633">
        <v>1E-4</v>
      </c>
      <c r="AC2633">
        <v>9</v>
      </c>
      <c r="AD2633" s="5">
        <v>4.9818666281549264</v>
      </c>
      <c r="AE2633" s="5">
        <v>2.1829020471543004</v>
      </c>
      <c r="AF2633">
        <v>1</v>
      </c>
    </row>
    <row r="2634" spans="27:32" x14ac:dyDescent="0.3">
      <c r="AA2634" s="3">
        <v>-477.52</v>
      </c>
      <c r="AB2634">
        <v>1E-4</v>
      </c>
      <c r="AC2634">
        <v>9</v>
      </c>
      <c r="AD2634" s="5">
        <v>4.9149143871920424</v>
      </c>
      <c r="AE2634" s="5">
        <v>2.130749469674845</v>
      </c>
      <c r="AF2634">
        <v>1</v>
      </c>
    </row>
    <row r="2635" spans="27:32" x14ac:dyDescent="0.3">
      <c r="AA2635" s="3">
        <v>-13802.96</v>
      </c>
      <c r="AB2635">
        <v>1E-4</v>
      </c>
      <c r="AC2635">
        <v>9</v>
      </c>
      <c r="AD2635" s="5">
        <v>4.9443698156157012</v>
      </c>
      <c r="AE2635" s="5">
        <v>2.2754516229278479</v>
      </c>
      <c r="AF2635">
        <v>1</v>
      </c>
    </row>
    <row r="2636" spans="27:32" x14ac:dyDescent="0.3">
      <c r="AA2636" s="3">
        <v>22583.58</v>
      </c>
      <c r="AB2636">
        <v>1E-4</v>
      </c>
      <c r="AC2636">
        <v>8</v>
      </c>
      <c r="AD2636" s="5">
        <v>5.0312710548706967</v>
      </c>
      <c r="AE2636" s="5">
        <v>2.2144284452022163</v>
      </c>
      <c r="AF2636">
        <v>1</v>
      </c>
    </row>
    <row r="2637" spans="27:32" x14ac:dyDescent="0.3">
      <c r="AA2637" s="3">
        <v>20478.53</v>
      </c>
      <c r="AB2637">
        <v>1E-4</v>
      </c>
      <c r="AC2637">
        <v>8</v>
      </c>
      <c r="AD2637" s="5">
        <v>5.1513402119013643</v>
      </c>
      <c r="AE2637" s="5">
        <v>2.1802901673081445</v>
      </c>
      <c r="AF2637">
        <v>1</v>
      </c>
    </row>
    <row r="2638" spans="27:32" x14ac:dyDescent="0.3">
      <c r="AA2638" s="3">
        <v>10647.63</v>
      </c>
      <c r="AB2638">
        <v>1E-4</v>
      </c>
      <c r="AC2638">
        <v>8</v>
      </c>
      <c r="AD2638" s="5">
        <v>4.9473831511886193</v>
      </c>
      <c r="AE2638" s="5">
        <v>2.1497021724806493</v>
      </c>
      <c r="AF2638">
        <v>1</v>
      </c>
    </row>
    <row r="2639" spans="27:32" x14ac:dyDescent="0.3">
      <c r="AA2639" s="3">
        <v>28817.01</v>
      </c>
      <c r="AB2639">
        <v>1E-4</v>
      </c>
      <c r="AC2639">
        <v>8</v>
      </c>
      <c r="AD2639" s="5">
        <v>5.0345529267052411</v>
      </c>
      <c r="AE2639" s="5">
        <v>2.2230386612976907</v>
      </c>
      <c r="AF2639">
        <v>1</v>
      </c>
    </row>
    <row r="2640" spans="27:32" x14ac:dyDescent="0.3">
      <c r="AA2640" s="3">
        <v>3596.68</v>
      </c>
      <c r="AB2640">
        <v>1E-4</v>
      </c>
      <c r="AC2640">
        <v>8</v>
      </c>
      <c r="AD2640" s="5">
        <v>4.8383751415145433</v>
      </c>
      <c r="AE2640" s="5">
        <v>2.1735525528048902</v>
      </c>
      <c r="AF2640">
        <v>1</v>
      </c>
    </row>
    <row r="2641" spans="27:32" x14ac:dyDescent="0.3">
      <c r="AA2641" s="3">
        <v>-7924.03</v>
      </c>
      <c r="AB2641">
        <v>1E-4</v>
      </c>
      <c r="AC2641">
        <v>9</v>
      </c>
      <c r="AD2641" s="5">
        <v>4.9795657768572843</v>
      </c>
      <c r="AE2641" s="5">
        <v>2.2952154610854918</v>
      </c>
      <c r="AF2641">
        <v>1</v>
      </c>
    </row>
    <row r="2642" spans="27:32" x14ac:dyDescent="0.3">
      <c r="AA2642" s="3">
        <v>15021.38</v>
      </c>
      <c r="AB2642">
        <v>1E-4</v>
      </c>
      <c r="AC2642">
        <v>8</v>
      </c>
      <c r="AD2642" s="5">
        <v>4.8781531185931621</v>
      </c>
      <c r="AE2642" s="5">
        <v>2.1906381745353389</v>
      </c>
      <c r="AF2642">
        <v>1</v>
      </c>
    </row>
    <row r="2643" spans="27:32" x14ac:dyDescent="0.3">
      <c r="AA2643" s="3">
        <v>23666.48</v>
      </c>
      <c r="AB2643">
        <v>1E-4</v>
      </c>
      <c r="AC2643">
        <v>8</v>
      </c>
      <c r="AD2643" s="5">
        <v>4.8736775441743942</v>
      </c>
      <c r="AE2643" s="5">
        <v>2.2215585222338232</v>
      </c>
      <c r="AF2643">
        <v>1</v>
      </c>
    </row>
    <row r="2644" spans="27:32" x14ac:dyDescent="0.3">
      <c r="AA2644" s="3">
        <v>7725.61</v>
      </c>
      <c r="AB2644">
        <v>1E-4</v>
      </c>
      <c r="AC2644">
        <v>8</v>
      </c>
      <c r="AD2644" s="5">
        <v>4.9587439383951795</v>
      </c>
      <c r="AE2644" s="5">
        <v>2.2084328633960135</v>
      </c>
      <c r="AF2644">
        <v>1</v>
      </c>
    </row>
    <row r="2645" spans="27:32" x14ac:dyDescent="0.3">
      <c r="AA2645" s="3">
        <v>26371.31</v>
      </c>
      <c r="AB2645">
        <v>1E-4</v>
      </c>
      <c r="AC2645">
        <v>8</v>
      </c>
      <c r="AD2645" s="5">
        <v>5.0550148468487492</v>
      </c>
      <c r="AE2645" s="5">
        <v>2.1942523279397661</v>
      </c>
      <c r="AF2645">
        <v>1</v>
      </c>
    </row>
    <row r="2646" spans="27:32" x14ac:dyDescent="0.3">
      <c r="AA2646" s="3">
        <v>15099.28</v>
      </c>
      <c r="AB2646">
        <v>1E-4</v>
      </c>
      <c r="AC2646">
        <v>8</v>
      </c>
      <c r="AD2646" s="5">
        <v>4.914913125988007</v>
      </c>
      <c r="AE2646" s="5">
        <v>2.1429482015000136</v>
      </c>
      <c r="AF2646">
        <v>1</v>
      </c>
    </row>
    <row r="2647" spans="27:32" x14ac:dyDescent="0.3">
      <c r="AA2647" s="3">
        <v>8684.73</v>
      </c>
      <c r="AB2647">
        <v>1E-4</v>
      </c>
      <c r="AC2647">
        <v>8</v>
      </c>
      <c r="AD2647" s="5">
        <v>4.9393000903880981</v>
      </c>
      <c r="AE2647" s="5">
        <v>2.2673222726837836</v>
      </c>
      <c r="AF2647">
        <v>1</v>
      </c>
    </row>
    <row r="2648" spans="27:32" x14ac:dyDescent="0.3">
      <c r="AA2648" s="3">
        <v>-10594.06</v>
      </c>
      <c r="AB2648">
        <v>1E-4</v>
      </c>
      <c r="AC2648">
        <v>9</v>
      </c>
      <c r="AD2648" s="5">
        <v>4.9162773077615833</v>
      </c>
      <c r="AE2648" s="5">
        <v>2.160417129958232</v>
      </c>
      <c r="AF2648">
        <v>1</v>
      </c>
    </row>
    <row r="2649" spans="27:32" x14ac:dyDescent="0.3">
      <c r="AA2649" s="3">
        <v>10032.709999999999</v>
      </c>
      <c r="AB2649">
        <v>1E-4</v>
      </c>
      <c r="AC2649">
        <v>8</v>
      </c>
      <c r="AD2649" s="5">
        <v>5.1392750318126366</v>
      </c>
      <c r="AE2649" s="5">
        <v>2.2234266406322023</v>
      </c>
      <c r="AF2649">
        <v>1</v>
      </c>
    </row>
    <row r="2650" spans="27:32" x14ac:dyDescent="0.3">
      <c r="AA2650" s="3">
        <v>12787.46</v>
      </c>
      <c r="AB2650">
        <v>1E-4</v>
      </c>
      <c r="AC2650">
        <v>8</v>
      </c>
      <c r="AD2650" s="5">
        <v>4.8980092010546166</v>
      </c>
      <c r="AE2650" s="5">
        <v>2.1210433980264076</v>
      </c>
      <c r="AF2650">
        <v>1</v>
      </c>
    </row>
    <row r="2651" spans="27:32" x14ac:dyDescent="0.3">
      <c r="AA2651" s="3">
        <v>26786.19</v>
      </c>
      <c r="AB2651">
        <v>1E-4</v>
      </c>
      <c r="AC2651">
        <v>8</v>
      </c>
      <c r="AD2651" s="5">
        <v>4.8723122933215279</v>
      </c>
      <c r="AE2651" s="5">
        <v>2.1012192233567895</v>
      </c>
      <c r="AF2651">
        <v>1</v>
      </c>
    </row>
    <row r="2652" spans="27:32" x14ac:dyDescent="0.3">
      <c r="AA2652" s="3">
        <v>-18833.394388548477</v>
      </c>
      <c r="AB2652">
        <v>1E-4</v>
      </c>
      <c r="AC2652">
        <v>9</v>
      </c>
      <c r="AD2652" s="5">
        <v>4.9303552049981763</v>
      </c>
      <c r="AE2652" s="5">
        <v>2.2597430618538836</v>
      </c>
      <c r="AF2652">
        <v>0</v>
      </c>
    </row>
    <row r="2653" spans="27:32" x14ac:dyDescent="0.3">
      <c r="AA2653" s="3">
        <v>63379.65</v>
      </c>
      <c r="AB2653">
        <v>1E-4</v>
      </c>
      <c r="AC2653">
        <v>6</v>
      </c>
      <c r="AD2653" s="5">
        <v>5.0826559689171988</v>
      </c>
      <c r="AE2653" s="5">
        <v>2.1888864591356554</v>
      </c>
      <c r="AF2653">
        <v>1</v>
      </c>
    </row>
    <row r="2654" spans="27:32" x14ac:dyDescent="0.3">
      <c r="AA2654" s="3">
        <v>16390.05</v>
      </c>
      <c r="AB2654">
        <v>1E-4</v>
      </c>
      <c r="AC2654">
        <v>8</v>
      </c>
      <c r="AD2654" s="5">
        <v>4.9100256097653547</v>
      </c>
      <c r="AE2654" s="5">
        <v>2.1977341977897011</v>
      </c>
      <c r="AF2654">
        <v>1</v>
      </c>
    </row>
    <row r="2655" spans="27:32" x14ac:dyDescent="0.3">
      <c r="AA2655" s="3">
        <v>13444.4</v>
      </c>
      <c r="AB2655">
        <v>1E-4</v>
      </c>
      <c r="AC2655">
        <v>8</v>
      </c>
      <c r="AD2655" s="5">
        <v>5.0210459256213191</v>
      </c>
      <c r="AE2655" s="5">
        <v>2.3049507576042139</v>
      </c>
      <c r="AF2655">
        <v>1</v>
      </c>
    </row>
    <row r="2656" spans="27:32" x14ac:dyDescent="0.3">
      <c r="AA2656" s="3">
        <v>41458.54</v>
      </c>
      <c r="AB2656">
        <v>1E-4</v>
      </c>
      <c r="AC2656">
        <v>7</v>
      </c>
      <c r="AD2656" s="5">
        <v>5.0354838422095369</v>
      </c>
      <c r="AE2656" s="5">
        <v>2.0511422534300965</v>
      </c>
      <c r="AF2656">
        <v>1</v>
      </c>
    </row>
    <row r="2657" spans="27:32" x14ac:dyDescent="0.3">
      <c r="AA2657" s="3">
        <v>30152.87</v>
      </c>
      <c r="AB2657">
        <v>1E-4</v>
      </c>
      <c r="AC2657">
        <v>8</v>
      </c>
      <c r="AD2657" s="5">
        <v>4.9875443604963285</v>
      </c>
      <c r="AE2657" s="5">
        <v>2.1973129889674747</v>
      </c>
      <c r="AF2657">
        <v>1</v>
      </c>
    </row>
    <row r="2658" spans="27:32" x14ac:dyDescent="0.3">
      <c r="AA2658" s="3">
        <v>8265.07</v>
      </c>
      <c r="AB2658">
        <v>1E-4</v>
      </c>
      <c r="AC2658">
        <v>8</v>
      </c>
      <c r="AD2658" s="5">
        <v>5.0408938845737232</v>
      </c>
      <c r="AE2658" s="5">
        <v>2.206835765670129</v>
      </c>
      <c r="AF2658">
        <v>1</v>
      </c>
    </row>
    <row r="2659" spans="27:32" x14ac:dyDescent="0.3">
      <c r="AA2659" s="3">
        <v>27519.35</v>
      </c>
      <c r="AB2659">
        <v>1E-4</v>
      </c>
      <c r="AC2659">
        <v>8</v>
      </c>
      <c r="AD2659" s="5">
        <v>5.0423303053526105</v>
      </c>
      <c r="AE2659" s="5">
        <v>2.1473173686210298</v>
      </c>
      <c r="AF2659">
        <v>1</v>
      </c>
    </row>
    <row r="2660" spans="27:32" x14ac:dyDescent="0.3">
      <c r="AA2660" s="3">
        <v>-8074.21</v>
      </c>
      <c r="AB2660">
        <v>1E-4</v>
      </c>
      <c r="AC2660">
        <v>9</v>
      </c>
      <c r="AD2660" s="5">
        <v>5.0861490398834759</v>
      </c>
      <c r="AE2660" s="5">
        <v>2.2438061417903152</v>
      </c>
      <c r="AF2660">
        <v>1</v>
      </c>
    </row>
    <row r="2661" spans="27:32" x14ac:dyDescent="0.3">
      <c r="AA2661" s="3">
        <v>28660.5</v>
      </c>
      <c r="AB2661">
        <v>1E-4</v>
      </c>
      <c r="AC2661">
        <v>8</v>
      </c>
      <c r="AD2661" s="5">
        <v>5.06883395589887</v>
      </c>
      <c r="AE2661" s="5">
        <v>2.2567946981643439</v>
      </c>
      <c r="AF2661">
        <v>1</v>
      </c>
    </row>
    <row r="2662" spans="27:32" x14ac:dyDescent="0.3">
      <c r="AA2662" s="3">
        <v>13652.74</v>
      </c>
      <c r="AB2662">
        <v>1E-4</v>
      </c>
      <c r="AC2662">
        <v>8</v>
      </c>
      <c r="AD2662" s="5">
        <v>5.0385089532388081</v>
      </c>
      <c r="AE2662" s="5">
        <v>2.1016238104664029</v>
      </c>
      <c r="AF2662">
        <v>1</v>
      </c>
    </row>
    <row r="2663" spans="27:32" x14ac:dyDescent="0.3">
      <c r="AA2663" s="3">
        <v>22958.66</v>
      </c>
      <c r="AB2663">
        <v>1E-4</v>
      </c>
      <c r="AC2663">
        <v>8</v>
      </c>
      <c r="AD2663" s="5">
        <v>4.936337407345202</v>
      </c>
      <c r="AE2663" s="5">
        <v>2.200555322161541</v>
      </c>
      <c r="AF2663">
        <v>1</v>
      </c>
    </row>
    <row r="2664" spans="27:32" x14ac:dyDescent="0.3">
      <c r="AA2664" s="3">
        <v>23543.200000000001</v>
      </c>
      <c r="AB2664">
        <v>1E-4</v>
      </c>
      <c r="AC2664">
        <v>8</v>
      </c>
      <c r="AD2664" s="5">
        <v>4.9995111487353725</v>
      </c>
      <c r="AE2664" s="5">
        <v>2.2000499146255197</v>
      </c>
      <c r="AF2664">
        <v>1</v>
      </c>
    </row>
    <row r="2665" spans="27:32" x14ac:dyDescent="0.3">
      <c r="AA2665" s="3">
        <v>-10364.719999999999</v>
      </c>
      <c r="AB2665">
        <v>1E-4</v>
      </c>
      <c r="AC2665">
        <v>9</v>
      </c>
      <c r="AD2665" s="5">
        <v>4.8310480931657489</v>
      </c>
      <c r="AE2665" s="5">
        <v>2.1025125348520954</v>
      </c>
      <c r="AF2665">
        <v>1</v>
      </c>
    </row>
    <row r="2666" spans="27:32" x14ac:dyDescent="0.3">
      <c r="AA2666" s="3">
        <v>-10420.584421857891</v>
      </c>
      <c r="AB2666">
        <v>1E-4</v>
      </c>
      <c r="AC2666">
        <v>8</v>
      </c>
      <c r="AD2666" s="5">
        <v>5.0290698056387484</v>
      </c>
      <c r="AE2666" s="5">
        <v>2.1748755104654753</v>
      </c>
      <c r="AF2666">
        <v>0</v>
      </c>
    </row>
    <row r="2667" spans="27:32" x14ac:dyDescent="0.3">
      <c r="AA2667" s="3">
        <v>18725.11</v>
      </c>
      <c r="AB2667">
        <v>1E-4</v>
      </c>
      <c r="AC2667">
        <v>8</v>
      </c>
      <c r="AD2667" s="5">
        <v>5.1027408284498428</v>
      </c>
      <c r="AE2667" s="5">
        <v>2.198991634067049</v>
      </c>
      <c r="AF2667">
        <v>1</v>
      </c>
    </row>
    <row r="2668" spans="27:32" x14ac:dyDescent="0.3">
      <c r="AA2668" s="3">
        <v>27802.04</v>
      </c>
      <c r="AB2668">
        <v>1E-4</v>
      </c>
      <c r="AC2668">
        <v>8</v>
      </c>
      <c r="AD2668" s="5">
        <v>5.1606937605375363</v>
      </c>
      <c r="AE2668" s="5">
        <v>2.2246302855929949</v>
      </c>
      <c r="AF2668">
        <v>1</v>
      </c>
    </row>
    <row r="2669" spans="27:32" x14ac:dyDescent="0.3">
      <c r="AA2669" s="3">
        <v>24025.97</v>
      </c>
      <c r="AB2669">
        <v>1E-4</v>
      </c>
      <c r="AC2669">
        <v>8</v>
      </c>
      <c r="AD2669" s="5">
        <v>5.0234717924267391</v>
      </c>
      <c r="AE2669" s="5">
        <v>2.2459317614066943</v>
      </c>
      <c r="AF2669">
        <v>1</v>
      </c>
    </row>
    <row r="2670" spans="27:32" x14ac:dyDescent="0.3">
      <c r="AA2670" s="3">
        <v>21325.15</v>
      </c>
      <c r="AB2670">
        <v>1E-4</v>
      </c>
      <c r="AC2670">
        <v>8</v>
      </c>
      <c r="AD2670" s="5">
        <v>5.0798421688458095</v>
      </c>
      <c r="AE2670" s="5">
        <v>2.2091364384720782</v>
      </c>
      <c r="AF2670">
        <v>1</v>
      </c>
    </row>
    <row r="2671" spans="27:32" x14ac:dyDescent="0.3">
      <c r="AA2671" s="3">
        <v>39357.379999999997</v>
      </c>
      <c r="AB2671">
        <v>1E-4</v>
      </c>
      <c r="AC2671">
        <v>7</v>
      </c>
      <c r="AD2671" s="5">
        <v>5.0445460637723691</v>
      </c>
      <c r="AE2671" s="5">
        <v>2.1929983015083185</v>
      </c>
      <c r="AF2671">
        <v>1</v>
      </c>
    </row>
    <row r="2672" spans="27:32" x14ac:dyDescent="0.3">
      <c r="AA2672" s="3">
        <v>-27149.878945595105</v>
      </c>
      <c r="AB2672">
        <v>1E-4</v>
      </c>
      <c r="AC2672">
        <v>9</v>
      </c>
      <c r="AD2672" s="5">
        <v>4.9135326487359681</v>
      </c>
      <c r="AE2672" s="5">
        <v>2.1798805083892465</v>
      </c>
      <c r="AF2672">
        <v>0</v>
      </c>
    </row>
    <row r="2673" spans="27:32" x14ac:dyDescent="0.3">
      <c r="AA2673" s="3">
        <v>22820.77</v>
      </c>
      <c r="AB2673">
        <v>1E-4</v>
      </c>
      <c r="AC2673">
        <v>8</v>
      </c>
      <c r="AD2673" s="5">
        <v>4.9687765006928126</v>
      </c>
      <c r="AE2673" s="5">
        <v>2.1596133177789554</v>
      </c>
      <c r="AF2673">
        <v>1</v>
      </c>
    </row>
    <row r="2674" spans="27:32" x14ac:dyDescent="0.3">
      <c r="AA2674" s="3">
        <v>13004.27</v>
      </c>
      <c r="AB2674">
        <v>1E-4</v>
      </c>
      <c r="AC2674">
        <v>8</v>
      </c>
      <c r="AD2674" s="5">
        <v>4.9306806162206129</v>
      </c>
      <c r="AE2674" s="5">
        <v>2.259237164652991</v>
      </c>
      <c r="AF2674">
        <v>1</v>
      </c>
    </row>
    <row r="2675" spans="27:32" x14ac:dyDescent="0.3">
      <c r="AA2675" s="3">
        <v>5355.67</v>
      </c>
      <c r="AB2675">
        <v>1E-4</v>
      </c>
      <c r="AC2675">
        <v>8</v>
      </c>
      <c r="AD2675" s="5">
        <v>4.9146522011513269</v>
      </c>
      <c r="AE2675" s="5">
        <v>2.1895373610126789</v>
      </c>
      <c r="AF2675">
        <v>1</v>
      </c>
    </row>
    <row r="2676" spans="27:32" x14ac:dyDescent="0.3">
      <c r="AA2676" s="3">
        <v>-19331.168600874487</v>
      </c>
      <c r="AB2676">
        <v>1E-4</v>
      </c>
      <c r="AC2676">
        <v>9</v>
      </c>
      <c r="AD2676" s="5">
        <v>4.8614969668597965</v>
      </c>
      <c r="AE2676" s="5">
        <v>2.21143660472723</v>
      </c>
      <c r="AF2676">
        <v>0</v>
      </c>
    </row>
    <row r="2677" spans="27:32" x14ac:dyDescent="0.3">
      <c r="AA2677" s="3">
        <v>27403.25</v>
      </c>
      <c r="AB2677">
        <v>1E-4</v>
      </c>
      <c r="AC2677">
        <v>8</v>
      </c>
      <c r="AD2677" s="5">
        <v>5.0026292482549222</v>
      </c>
      <c r="AE2677" s="5">
        <v>2.2742362044964621</v>
      </c>
      <c r="AF2677">
        <v>1</v>
      </c>
    </row>
    <row r="2678" spans="27:32" x14ac:dyDescent="0.3">
      <c r="AA2678" s="3">
        <v>-3758.96</v>
      </c>
      <c r="AB2678">
        <v>1E-4</v>
      </c>
      <c r="AC2678">
        <v>9</v>
      </c>
      <c r="AD2678" s="5">
        <v>4.9102811779360289</v>
      </c>
      <c r="AE2678" s="5">
        <v>2.2778560787373268</v>
      </c>
      <c r="AF2678">
        <v>1</v>
      </c>
    </row>
    <row r="2679" spans="27:32" x14ac:dyDescent="0.3">
      <c r="AA2679" s="3">
        <v>7829.87</v>
      </c>
      <c r="AB2679">
        <v>1E-4</v>
      </c>
      <c r="AC2679">
        <v>8</v>
      </c>
      <c r="AD2679" s="5">
        <v>4.8819902227432763</v>
      </c>
      <c r="AE2679" s="5">
        <v>2.1802057065036098</v>
      </c>
      <c r="AF2679">
        <v>1</v>
      </c>
    </row>
    <row r="2680" spans="27:32" x14ac:dyDescent="0.3">
      <c r="AA2680" s="3">
        <v>-6588.68</v>
      </c>
      <c r="AB2680">
        <v>1E-4</v>
      </c>
      <c r="AC2680">
        <v>9</v>
      </c>
      <c r="AD2680" s="5">
        <v>4.9496360285881016</v>
      </c>
      <c r="AE2680" s="5">
        <v>2.1607941220699551</v>
      </c>
      <c r="AF2680">
        <v>1</v>
      </c>
    </row>
    <row r="2681" spans="27:32" x14ac:dyDescent="0.3">
      <c r="AA2681" s="3">
        <v>40357.660000000003</v>
      </c>
      <c r="AB2681">
        <v>1E-4</v>
      </c>
      <c r="AC2681">
        <v>7</v>
      </c>
      <c r="AD2681" s="5">
        <v>4.9384251139906006</v>
      </c>
      <c r="AE2681" s="5">
        <v>2.1330832644411037</v>
      </c>
      <c r="AF2681">
        <v>1</v>
      </c>
    </row>
    <row r="2682" spans="27:32" x14ac:dyDescent="0.3">
      <c r="AA2682" s="3">
        <v>5168.88</v>
      </c>
      <c r="AB2682">
        <v>1E-4</v>
      </c>
      <c r="AC2682">
        <v>8</v>
      </c>
      <c r="AD2682" s="5">
        <v>5.102844499017845</v>
      </c>
      <c r="AE2682" s="5">
        <v>2.2322605416939707</v>
      </c>
      <c r="AF2682">
        <v>1</v>
      </c>
    </row>
    <row r="2683" spans="27:32" x14ac:dyDescent="0.3">
      <c r="AA2683" s="3">
        <v>29626.23</v>
      </c>
      <c r="AB2683">
        <v>1E-4</v>
      </c>
      <c r="AC2683">
        <v>7</v>
      </c>
      <c r="AD2683" s="5">
        <v>4.9623771636491529</v>
      </c>
      <c r="AE2683" s="5">
        <v>2.2595443403035129</v>
      </c>
      <c r="AF2683">
        <v>1</v>
      </c>
    </row>
    <row r="2684" spans="27:32" x14ac:dyDescent="0.3">
      <c r="AA2684" s="3">
        <v>5547.94</v>
      </c>
      <c r="AB2684">
        <v>1E-4</v>
      </c>
      <c r="AC2684">
        <v>8</v>
      </c>
      <c r="AD2684" s="5">
        <v>5.1580210851880874</v>
      </c>
      <c r="AE2684" s="5">
        <v>2.2041200374956795</v>
      </c>
      <c r="AF2684">
        <v>1</v>
      </c>
    </row>
    <row r="2685" spans="27:32" x14ac:dyDescent="0.3">
      <c r="AA2685" s="3">
        <v>11648.27</v>
      </c>
      <c r="AB2685">
        <v>1E-4</v>
      </c>
      <c r="AC2685">
        <v>8</v>
      </c>
      <c r="AD2685" s="5">
        <v>5.1707466996560436</v>
      </c>
      <c r="AE2685" s="5">
        <v>2.195783443891425</v>
      </c>
      <c r="AF2685">
        <v>1</v>
      </c>
    </row>
    <row r="2686" spans="27:32" x14ac:dyDescent="0.3">
      <c r="AA2686" s="3">
        <v>-10825.98</v>
      </c>
      <c r="AB2686">
        <v>1E-4</v>
      </c>
      <c r="AC2686">
        <v>9</v>
      </c>
      <c r="AD2686" s="5">
        <v>4.9333910292013901</v>
      </c>
      <c r="AE2686" s="5">
        <v>2.1379884054963338</v>
      </c>
      <c r="AF2686">
        <v>1</v>
      </c>
    </row>
    <row r="2687" spans="27:32" x14ac:dyDescent="0.3">
      <c r="AA2687" s="3">
        <v>6492.88</v>
      </c>
      <c r="AB2687">
        <v>1E-4</v>
      </c>
      <c r="AC2687">
        <v>8</v>
      </c>
      <c r="AD2687" s="5">
        <v>4.8910434424281002</v>
      </c>
      <c r="AE2687" s="5">
        <v>2.0940707977398434</v>
      </c>
      <c r="AF2687">
        <v>1</v>
      </c>
    </row>
    <row r="2688" spans="27:32" x14ac:dyDescent="0.3">
      <c r="AA2688" s="3">
        <v>5642.04</v>
      </c>
      <c r="AB2688">
        <v>1E-4</v>
      </c>
      <c r="AC2688">
        <v>8</v>
      </c>
      <c r="AD2688" s="5">
        <v>4.8180461248315352</v>
      </c>
      <c r="AE2688" s="5">
        <v>2.2385276211164369</v>
      </c>
      <c r="AF2688">
        <v>1</v>
      </c>
    </row>
    <row r="2689" spans="27:32" x14ac:dyDescent="0.3">
      <c r="AA2689" s="3">
        <v>22382.26</v>
      </c>
      <c r="AB2689">
        <v>1E-4</v>
      </c>
      <c r="AC2689">
        <v>8</v>
      </c>
      <c r="AD2689" s="5">
        <v>4.8894643295146407</v>
      </c>
      <c r="AE2689" s="5">
        <v>2.1828452203717075</v>
      </c>
      <c r="AF2689">
        <v>1</v>
      </c>
    </row>
    <row r="2690" spans="27:32" x14ac:dyDescent="0.3">
      <c r="AA2690" s="3">
        <v>-3724.81</v>
      </c>
      <c r="AB2690">
        <v>1E-4</v>
      </c>
      <c r="AC2690">
        <v>9</v>
      </c>
      <c r="AD2690" s="5">
        <v>4.9425769302145106</v>
      </c>
      <c r="AE2690" s="5">
        <v>2.1526609571750912</v>
      </c>
      <c r="AF2690">
        <v>1</v>
      </c>
    </row>
    <row r="2691" spans="27:32" x14ac:dyDescent="0.3">
      <c r="AA2691" s="3">
        <v>31024.6</v>
      </c>
      <c r="AB2691">
        <v>1E-4</v>
      </c>
      <c r="AC2691">
        <v>7</v>
      </c>
      <c r="AD2691" s="5">
        <v>4.8106290793269055</v>
      </c>
      <c r="AE2691" s="5">
        <v>2.2034465380132278</v>
      </c>
      <c r="AF2691">
        <v>1</v>
      </c>
    </row>
    <row r="2692" spans="27:32" x14ac:dyDescent="0.3">
      <c r="AA2692" s="3">
        <v>2977.85</v>
      </c>
      <c r="AB2692">
        <v>1E-4</v>
      </c>
      <c r="AC2692">
        <v>8</v>
      </c>
      <c r="AD2692" s="5">
        <v>4.9018849219297769</v>
      </c>
      <c r="AE2692" s="5">
        <v>2.2690026686787848</v>
      </c>
      <c r="AF2692">
        <v>1</v>
      </c>
    </row>
    <row r="2693" spans="27:32" x14ac:dyDescent="0.3">
      <c r="AA2693" s="3">
        <v>6520.98</v>
      </c>
      <c r="AB2693">
        <v>1E-4</v>
      </c>
      <c r="AC2693">
        <v>8</v>
      </c>
      <c r="AD2693" s="5">
        <v>4.9568083002025753</v>
      </c>
      <c r="AE2693" s="5">
        <v>2.1590981146745891</v>
      </c>
      <c r="AF2693">
        <v>1</v>
      </c>
    </row>
    <row r="2694" spans="27:32" x14ac:dyDescent="0.3">
      <c r="AA2694" s="3">
        <v>-7445.84</v>
      </c>
      <c r="AB2694">
        <v>1E-4</v>
      </c>
      <c r="AC2694">
        <v>9</v>
      </c>
      <c r="AD2694" s="5">
        <v>4.952677198014424</v>
      </c>
      <c r="AE2694" s="5">
        <v>2.2142645601402409</v>
      </c>
      <c r="AF2694">
        <v>1</v>
      </c>
    </row>
    <row r="2695" spans="27:32" x14ac:dyDescent="0.3">
      <c r="AA2695" s="3">
        <v>-7723.98</v>
      </c>
      <c r="AB2695">
        <v>1E-4</v>
      </c>
      <c r="AC2695">
        <v>9</v>
      </c>
      <c r="AD2695" s="5">
        <v>4.9835691766972232</v>
      </c>
      <c r="AE2695" s="5">
        <v>2.2768763267616441</v>
      </c>
      <c r="AF2695">
        <v>1</v>
      </c>
    </row>
    <row r="2696" spans="27:32" x14ac:dyDescent="0.3">
      <c r="AA2696" s="3">
        <v>-8484.5499999999993</v>
      </c>
      <c r="AB2696">
        <v>1E-4</v>
      </c>
      <c r="AC2696">
        <v>9</v>
      </c>
      <c r="AD2696" s="5">
        <v>4.9756328078674308</v>
      </c>
      <c r="AE2696" s="5">
        <v>2.2151554524633363</v>
      </c>
      <c r="AF2696">
        <v>1</v>
      </c>
    </row>
    <row r="2697" spans="27:32" x14ac:dyDescent="0.3">
      <c r="AA2697" s="3">
        <v>39971.230000000003</v>
      </c>
      <c r="AB2697">
        <v>1E-4</v>
      </c>
      <c r="AC2697">
        <v>7</v>
      </c>
      <c r="AD2697" s="5">
        <v>5.0881026360209161</v>
      </c>
      <c r="AE2697" s="5">
        <v>2.2482659988956253</v>
      </c>
      <c r="AF2697">
        <v>1</v>
      </c>
    </row>
    <row r="2698" spans="27:32" x14ac:dyDescent="0.3">
      <c r="AA2698" s="3">
        <v>19599.41</v>
      </c>
      <c r="AB2698">
        <v>1E-4</v>
      </c>
      <c r="AC2698">
        <v>8</v>
      </c>
      <c r="AD2698" s="5">
        <v>5.130734001492991</v>
      </c>
      <c r="AE2698" s="5">
        <v>2.2619510171824926</v>
      </c>
      <c r="AF2698">
        <v>1</v>
      </c>
    </row>
    <row r="2699" spans="27:32" x14ac:dyDescent="0.3">
      <c r="AA2699" s="3">
        <v>18625.54</v>
      </c>
      <c r="AB2699">
        <v>1E-4</v>
      </c>
      <c r="AC2699">
        <v>8</v>
      </c>
      <c r="AD2699" s="5">
        <v>5.0604192654708759</v>
      </c>
      <c r="AE2699" s="5">
        <v>2.1372953039839615</v>
      </c>
      <c r="AF2699">
        <v>1</v>
      </c>
    </row>
    <row r="2700" spans="27:32" x14ac:dyDescent="0.3">
      <c r="AA2700" s="3">
        <v>-7797.66</v>
      </c>
      <c r="AB2700">
        <v>1E-4</v>
      </c>
      <c r="AC2700">
        <v>9</v>
      </c>
      <c r="AD2700" s="5">
        <v>4.9794781111153323</v>
      </c>
      <c r="AE2700" s="5">
        <v>2.2907442576273183</v>
      </c>
      <c r="AF2700">
        <v>1</v>
      </c>
    </row>
    <row r="2701" spans="27:32" x14ac:dyDescent="0.3">
      <c r="AA2701" s="3">
        <v>36968.65</v>
      </c>
      <c r="AB2701">
        <v>1E-4</v>
      </c>
      <c r="AC2701">
        <v>7</v>
      </c>
      <c r="AD2701" s="5">
        <v>4.9272742291758771</v>
      </c>
      <c r="AE2701" s="5">
        <v>2.2041205949446812</v>
      </c>
      <c r="AF2701">
        <v>1</v>
      </c>
    </row>
    <row r="2702" spans="27:32" x14ac:dyDescent="0.3">
      <c r="AA2702" s="3">
        <v>4328.8100000000004</v>
      </c>
      <c r="AB2702">
        <v>1E-4</v>
      </c>
      <c r="AC2702">
        <v>8</v>
      </c>
      <c r="AD2702" s="5">
        <v>5.0061191967872141</v>
      </c>
      <c r="AE2702" s="5">
        <v>2.2084324680802987</v>
      </c>
      <c r="AF2702">
        <v>1</v>
      </c>
    </row>
    <row r="2703" spans="27:32" x14ac:dyDescent="0.3">
      <c r="AA2703" s="3">
        <v>40517.870000000003</v>
      </c>
      <c r="AB2703">
        <v>1E-4</v>
      </c>
      <c r="AC2703">
        <v>7</v>
      </c>
      <c r="AD2703" s="5">
        <v>5.0690517612761354</v>
      </c>
      <c r="AE2703" s="5">
        <v>2.1674977888330038</v>
      </c>
      <c r="AF2703">
        <v>1</v>
      </c>
    </row>
    <row r="2704" spans="27:32" x14ac:dyDescent="0.3">
      <c r="AA2704" s="3">
        <v>22587.24</v>
      </c>
      <c r="AB2704">
        <v>1E-4</v>
      </c>
      <c r="AC2704">
        <v>8</v>
      </c>
      <c r="AD2704" s="5">
        <v>5.1073456777639983</v>
      </c>
      <c r="AE2704" s="5">
        <v>2.1646114700572934</v>
      </c>
      <c r="AF2704">
        <v>1</v>
      </c>
    </row>
    <row r="2705" spans="27:32" x14ac:dyDescent="0.3">
      <c r="AA2705" s="3">
        <v>11008.86</v>
      </c>
      <c r="AB2705">
        <v>1E-4</v>
      </c>
      <c r="AC2705">
        <v>8</v>
      </c>
      <c r="AD2705" s="5">
        <v>4.8957495050200732</v>
      </c>
      <c r="AE2705" s="5">
        <v>2.3413020790619754</v>
      </c>
      <c r="AF2705">
        <v>1</v>
      </c>
    </row>
    <row r="2706" spans="27:32" x14ac:dyDescent="0.3">
      <c r="AA2706" s="3">
        <v>8803.33</v>
      </c>
      <c r="AB2706">
        <v>1E-4</v>
      </c>
      <c r="AC2706">
        <v>8</v>
      </c>
      <c r="AD2706" s="5">
        <v>4.9379858359335227</v>
      </c>
      <c r="AE2706" s="5">
        <v>2.2086169550182975</v>
      </c>
      <c r="AF2706">
        <v>1</v>
      </c>
    </row>
    <row r="2707" spans="27:32" x14ac:dyDescent="0.3">
      <c r="AA2707" s="3">
        <v>8411.17</v>
      </c>
      <c r="AB2707">
        <v>1E-4</v>
      </c>
      <c r="AC2707">
        <v>8</v>
      </c>
      <c r="AD2707" s="5">
        <v>5.0659981059051544</v>
      </c>
      <c r="AE2707" s="5">
        <v>2.1558221281919585</v>
      </c>
      <c r="AF2707">
        <v>1</v>
      </c>
    </row>
    <row r="2708" spans="27:32" x14ac:dyDescent="0.3">
      <c r="AA2708" s="3">
        <v>30276.66</v>
      </c>
      <c r="AB2708">
        <v>1E-4</v>
      </c>
      <c r="AC2708">
        <v>8</v>
      </c>
      <c r="AD2708" s="5">
        <v>4.9783164201316472</v>
      </c>
      <c r="AE2708" s="5">
        <v>2.1451051804859875</v>
      </c>
      <c r="AF2708">
        <v>1</v>
      </c>
    </row>
    <row r="2709" spans="27:32" x14ac:dyDescent="0.3">
      <c r="AA2709" s="3">
        <v>-13576.95</v>
      </c>
      <c r="AB2709">
        <v>1E-4</v>
      </c>
      <c r="AC2709">
        <v>9</v>
      </c>
      <c r="AD2709" s="5">
        <v>4.9313571606548727</v>
      </c>
      <c r="AE2709" s="5">
        <v>2.2022674154187425</v>
      </c>
      <c r="AF2709">
        <v>1</v>
      </c>
    </row>
    <row r="2710" spans="27:32" x14ac:dyDescent="0.3">
      <c r="AA2710" s="3">
        <v>51413.64</v>
      </c>
      <c r="AB2710">
        <v>1E-4</v>
      </c>
      <c r="AC2710">
        <v>6</v>
      </c>
      <c r="AD2710" s="5">
        <v>5.0575584196867638</v>
      </c>
      <c r="AE2710" s="5">
        <v>2.1199174109956211</v>
      </c>
      <c r="AF2710">
        <v>1</v>
      </c>
    </row>
    <row r="2711" spans="27:32" x14ac:dyDescent="0.3">
      <c r="AA2711" s="3">
        <v>25037.3</v>
      </c>
      <c r="AB2711">
        <v>1E-4</v>
      </c>
      <c r="AC2711">
        <v>8</v>
      </c>
      <c r="AD2711" s="5">
        <v>4.9691330025140372</v>
      </c>
      <c r="AE2711" s="5">
        <v>2.1781196017214604</v>
      </c>
      <c r="AF2711">
        <v>1</v>
      </c>
    </row>
    <row r="2712" spans="27:32" x14ac:dyDescent="0.3">
      <c r="AA2712" s="3">
        <v>40168.71</v>
      </c>
      <c r="AB2712">
        <v>1E-4</v>
      </c>
      <c r="AC2712">
        <v>7</v>
      </c>
      <c r="AD2712" s="5">
        <v>5.1051365969724225</v>
      </c>
      <c r="AE2712" s="5">
        <v>2.1861942858806671</v>
      </c>
      <c r="AF2712">
        <v>1</v>
      </c>
    </row>
    <row r="2713" spans="27:32" x14ac:dyDescent="0.3">
      <c r="AA2713" s="3">
        <v>28455.45</v>
      </c>
      <c r="AB2713">
        <v>1E-4</v>
      </c>
      <c r="AC2713">
        <v>8</v>
      </c>
      <c r="AD2713" s="5">
        <v>5.2218000411255758</v>
      </c>
      <c r="AE2713" s="5">
        <v>2.2054888839919649</v>
      </c>
      <c r="AF2713">
        <v>1</v>
      </c>
    </row>
    <row r="2714" spans="27:32" x14ac:dyDescent="0.3">
      <c r="AA2714" s="3">
        <v>4440.4799999999996</v>
      </c>
      <c r="AB2714">
        <v>1E-4</v>
      </c>
      <c r="AC2714">
        <v>8</v>
      </c>
      <c r="AD2714" s="5">
        <v>5.0319680311322887</v>
      </c>
      <c r="AE2714" s="5">
        <v>2.277895744939515</v>
      </c>
      <c r="AF2714">
        <v>1</v>
      </c>
    </row>
    <row r="2715" spans="27:32" x14ac:dyDescent="0.3">
      <c r="AA2715" s="3">
        <v>22325.52</v>
      </c>
      <c r="AB2715">
        <v>1E-4</v>
      </c>
      <c r="AC2715">
        <v>8</v>
      </c>
      <c r="AD2715" s="5">
        <v>4.9276983813688267</v>
      </c>
      <c r="AE2715" s="5">
        <v>2.2244806823463437</v>
      </c>
      <c r="AF2715">
        <v>1</v>
      </c>
    </row>
    <row r="2716" spans="27:32" x14ac:dyDescent="0.3">
      <c r="AA2716" s="3">
        <v>14061.13</v>
      </c>
      <c r="AB2716">
        <v>1E-4</v>
      </c>
      <c r="AC2716">
        <v>8</v>
      </c>
      <c r="AD2716" s="5">
        <v>4.9838268160236607</v>
      </c>
      <c r="AE2716" s="5">
        <v>2.2071676417247117</v>
      </c>
      <c r="AF2716">
        <v>1</v>
      </c>
    </row>
    <row r="2717" spans="27:32" x14ac:dyDescent="0.3">
      <c r="AA2717" s="3">
        <v>20860.88</v>
      </c>
      <c r="AB2717">
        <v>1E-4</v>
      </c>
      <c r="AC2717">
        <v>8</v>
      </c>
      <c r="AD2717" s="5">
        <v>4.8902345402902343</v>
      </c>
      <c r="AE2717" s="5">
        <v>2.1572999970132791</v>
      </c>
      <c r="AF2717">
        <v>1</v>
      </c>
    </row>
    <row r="2718" spans="27:32" x14ac:dyDescent="0.3">
      <c r="AA2718" s="3">
        <v>-3682.17</v>
      </c>
      <c r="AB2718">
        <v>1E-4</v>
      </c>
      <c r="AC2718">
        <v>9</v>
      </c>
      <c r="AD2718" s="5">
        <v>4.9988722142665187</v>
      </c>
      <c r="AE2718" s="5">
        <v>2.2411185181983533</v>
      </c>
      <c r="AF2718">
        <v>1</v>
      </c>
    </row>
    <row r="2719" spans="27:32" x14ac:dyDescent="0.3">
      <c r="AA2719" s="3">
        <v>23742.81</v>
      </c>
      <c r="AB2719">
        <v>1E-4</v>
      </c>
      <c r="AC2719">
        <v>8</v>
      </c>
      <c r="AD2719" s="5">
        <v>4.9361982776076561</v>
      </c>
      <c r="AE2719" s="5">
        <v>2.1330858980696537</v>
      </c>
      <c r="AF2719">
        <v>1</v>
      </c>
    </row>
    <row r="2720" spans="27:32" x14ac:dyDescent="0.3">
      <c r="AA2720" s="3">
        <v>7201.59</v>
      </c>
      <c r="AB2720">
        <v>1E-4</v>
      </c>
      <c r="AC2720">
        <v>8</v>
      </c>
      <c r="AD2720" s="5">
        <v>4.9700444050221719</v>
      </c>
      <c r="AE2720" s="5">
        <v>2.1748587318237815</v>
      </c>
      <c r="AF2720">
        <v>1</v>
      </c>
    </row>
    <row r="2721" spans="27:32" x14ac:dyDescent="0.3">
      <c r="AA2721" s="3">
        <v>19420.18</v>
      </c>
      <c r="AB2721">
        <v>1E-4</v>
      </c>
      <c r="AC2721">
        <v>8</v>
      </c>
      <c r="AD2721" s="5">
        <v>5.0264456022761266</v>
      </c>
      <c r="AE2721" s="5">
        <v>2.1944108820545427</v>
      </c>
      <c r="AF2721">
        <v>1</v>
      </c>
    </row>
    <row r="2722" spans="27:32" x14ac:dyDescent="0.3">
      <c r="AA2722" s="3">
        <v>-5690.51</v>
      </c>
      <c r="AB2722">
        <v>1E-4</v>
      </c>
      <c r="AC2722">
        <v>9</v>
      </c>
      <c r="AD2722" s="5">
        <v>4.932942810698985</v>
      </c>
      <c r="AE2722" s="5">
        <v>2.2232133570828139</v>
      </c>
      <c r="AF2722">
        <v>1</v>
      </c>
    </row>
    <row r="2723" spans="27:32" x14ac:dyDescent="0.3">
      <c r="AA2723" s="3">
        <v>40942.86</v>
      </c>
      <c r="AB2723">
        <v>1E-4</v>
      </c>
      <c r="AC2723">
        <v>7</v>
      </c>
      <c r="AD2723" s="5">
        <v>5.0995510408277047</v>
      </c>
      <c r="AE2723" s="5">
        <v>2.2460660209884673</v>
      </c>
      <c r="AF2723">
        <v>1</v>
      </c>
    </row>
    <row r="2724" spans="27:32" x14ac:dyDescent="0.3">
      <c r="AA2724" s="3">
        <v>17232.93</v>
      </c>
      <c r="AB2724">
        <v>1E-4</v>
      </c>
      <c r="AC2724">
        <v>8</v>
      </c>
      <c r="AD2724" s="5">
        <v>4.9512713462922076</v>
      </c>
      <c r="AE2724" s="5">
        <v>2.1015498644597597</v>
      </c>
      <c r="AF2724">
        <v>1</v>
      </c>
    </row>
    <row r="2725" spans="27:32" x14ac:dyDescent="0.3">
      <c r="AA2725" s="3">
        <v>21922.84</v>
      </c>
      <c r="AB2725">
        <v>1E-4</v>
      </c>
      <c r="AC2725">
        <v>8</v>
      </c>
      <c r="AD2725" s="5">
        <v>4.8941451741267583</v>
      </c>
      <c r="AE2725" s="5">
        <v>2.1144220579721571</v>
      </c>
      <c r="AF2725">
        <v>1</v>
      </c>
    </row>
    <row r="2726" spans="27:32" x14ac:dyDescent="0.3">
      <c r="AA2726" s="3">
        <v>30321.07</v>
      </c>
      <c r="AB2726">
        <v>1E-4</v>
      </c>
      <c r="AC2726">
        <v>8</v>
      </c>
      <c r="AD2726" s="5">
        <v>5.1415672912784141</v>
      </c>
      <c r="AE2726" s="5">
        <v>2.1951385571103481</v>
      </c>
      <c r="AF2726">
        <v>1</v>
      </c>
    </row>
    <row r="2727" spans="27:32" x14ac:dyDescent="0.3">
      <c r="AA2727" s="3">
        <v>8114.62</v>
      </c>
      <c r="AB2727">
        <v>1E-4</v>
      </c>
      <c r="AC2727">
        <v>8</v>
      </c>
      <c r="AD2727" s="5">
        <v>4.8784226876495342</v>
      </c>
      <c r="AE2727" s="5">
        <v>2.2580507212882619</v>
      </c>
      <c r="AF2727">
        <v>1</v>
      </c>
    </row>
    <row r="2728" spans="27:32" x14ac:dyDescent="0.3">
      <c r="AA2728" s="3">
        <v>22718.53</v>
      </c>
      <c r="AB2728">
        <v>1E-4</v>
      </c>
      <c r="AC2728">
        <v>8</v>
      </c>
      <c r="AD2728" s="5">
        <v>4.9721552601523111</v>
      </c>
      <c r="AE2728" s="5">
        <v>2.2513362316403329</v>
      </c>
      <c r="AF2728">
        <v>1</v>
      </c>
    </row>
    <row r="2729" spans="27:32" x14ac:dyDescent="0.3">
      <c r="AA2729" s="3">
        <v>15999.71</v>
      </c>
      <c r="AB2729">
        <v>1E-4</v>
      </c>
      <c r="AC2729">
        <v>8</v>
      </c>
      <c r="AD2729" s="5">
        <v>5.0729118856616804</v>
      </c>
      <c r="AE2729" s="5">
        <v>2.1992067995435325</v>
      </c>
      <c r="AF2729">
        <v>1</v>
      </c>
    </row>
    <row r="2730" spans="27:32" x14ac:dyDescent="0.3">
      <c r="AA2730" s="3">
        <v>16708.53</v>
      </c>
      <c r="AB2730">
        <v>1E-4</v>
      </c>
      <c r="AC2730">
        <v>8</v>
      </c>
      <c r="AD2730" s="5">
        <v>5.0419213830935323</v>
      </c>
      <c r="AE2730" s="5">
        <v>2.2466979583335163</v>
      </c>
      <c r="AF2730">
        <v>1</v>
      </c>
    </row>
    <row r="2731" spans="27:32" x14ac:dyDescent="0.3">
      <c r="AA2731" s="3">
        <v>27833.62</v>
      </c>
      <c r="AB2731">
        <v>1E-4</v>
      </c>
      <c r="AC2731">
        <v>8</v>
      </c>
      <c r="AD2731" s="5">
        <v>5.02691301745286</v>
      </c>
      <c r="AE2731" s="5">
        <v>2.0994561649009853</v>
      </c>
      <c r="AF2731">
        <v>1</v>
      </c>
    </row>
    <row r="2732" spans="27:32" x14ac:dyDescent="0.3">
      <c r="AA2732" s="3">
        <v>25529.439999999999</v>
      </c>
      <c r="AB2732">
        <v>1E-4</v>
      </c>
      <c r="AC2732">
        <v>8</v>
      </c>
      <c r="AD2732" s="5">
        <v>4.9379703739586756</v>
      </c>
      <c r="AE2732" s="5">
        <v>2.2385788391283801</v>
      </c>
      <c r="AF2732">
        <v>1</v>
      </c>
    </row>
    <row r="2733" spans="27:32" x14ac:dyDescent="0.3">
      <c r="AA2733" s="3">
        <v>-20833.53</v>
      </c>
      <c r="AB2733">
        <v>1E-4</v>
      </c>
      <c r="AC2733">
        <v>9</v>
      </c>
      <c r="AD2733" s="5">
        <v>5.0526760210526422</v>
      </c>
      <c r="AE2733" s="5">
        <v>2.2734361099425655</v>
      </c>
      <c r="AF2733">
        <v>1</v>
      </c>
    </row>
    <row r="2734" spans="27:32" x14ac:dyDescent="0.3">
      <c r="AA2734" s="3">
        <v>3525.35</v>
      </c>
      <c r="AB2734">
        <v>1E-4</v>
      </c>
      <c r="AC2734">
        <v>8</v>
      </c>
      <c r="AD2734" s="5">
        <v>4.8660610905078814</v>
      </c>
      <c r="AE2734" s="5">
        <v>2.194156753231348</v>
      </c>
      <c r="AF2734">
        <v>1</v>
      </c>
    </row>
    <row r="2735" spans="27:32" x14ac:dyDescent="0.3">
      <c r="AA2735" s="3">
        <v>-1960.63</v>
      </c>
      <c r="AB2735">
        <v>1E-4</v>
      </c>
      <c r="AC2735">
        <v>9</v>
      </c>
      <c r="AD2735" s="5">
        <v>4.8805170489209884</v>
      </c>
      <c r="AE2735" s="5">
        <v>2.2109201452350855</v>
      </c>
      <c r="AF2735">
        <v>1</v>
      </c>
    </row>
    <row r="2736" spans="27:32" x14ac:dyDescent="0.3">
      <c r="AA2736" s="3">
        <v>-726.24</v>
      </c>
      <c r="AB2736">
        <v>1E-4</v>
      </c>
      <c r="AC2736">
        <v>9</v>
      </c>
      <c r="AD2736" s="5">
        <v>5.0175396425348007</v>
      </c>
      <c r="AE2736" s="5">
        <v>2.2460290049513816</v>
      </c>
      <c r="AF2736">
        <v>1</v>
      </c>
    </row>
    <row r="2737" spans="27:32" x14ac:dyDescent="0.3">
      <c r="AA2737" s="3">
        <v>32708.17</v>
      </c>
      <c r="AB2737">
        <v>1E-4</v>
      </c>
      <c r="AC2737">
        <v>7</v>
      </c>
      <c r="AD2737" s="5">
        <v>4.9609257912428868</v>
      </c>
      <c r="AE2737" s="5">
        <v>2.1694822772481368</v>
      </c>
      <c r="AF2737">
        <v>1</v>
      </c>
    </row>
    <row r="2738" spans="27:32" x14ac:dyDescent="0.3">
      <c r="AA2738" s="3">
        <v>11602.44</v>
      </c>
      <c r="AB2738">
        <v>1E-4</v>
      </c>
      <c r="AC2738">
        <v>8</v>
      </c>
      <c r="AD2738" s="5">
        <v>5.006075752332654</v>
      </c>
      <c r="AE2738" s="5">
        <v>2.2165597359038465</v>
      </c>
      <c r="AF2738">
        <v>1</v>
      </c>
    </row>
    <row r="2739" spans="27:32" x14ac:dyDescent="0.3">
      <c r="AA2739" s="3">
        <v>28293.29</v>
      </c>
      <c r="AB2739">
        <v>1E-4</v>
      </c>
      <c r="AC2739">
        <v>8</v>
      </c>
      <c r="AD2739" s="5">
        <v>5.2182734623573799</v>
      </c>
      <c r="AE2739" s="5">
        <v>2.2222396345228188</v>
      </c>
      <c r="AF2739">
        <v>1</v>
      </c>
    </row>
    <row r="2740" spans="27:32" x14ac:dyDescent="0.3">
      <c r="AA2740" s="3">
        <v>3804.39</v>
      </c>
      <c r="AB2740">
        <v>1E-4</v>
      </c>
      <c r="AC2740">
        <v>8</v>
      </c>
      <c r="AD2740" s="5">
        <v>4.9093145277791725</v>
      </c>
      <c r="AE2740" s="5">
        <v>2.298080172606551</v>
      </c>
      <c r="AF2740">
        <v>1</v>
      </c>
    </row>
    <row r="2741" spans="27:32" x14ac:dyDescent="0.3">
      <c r="AA2741" s="3">
        <v>15275.07</v>
      </c>
      <c r="AB2741">
        <v>1E-4</v>
      </c>
      <c r="AC2741">
        <v>8</v>
      </c>
      <c r="AD2741" s="5">
        <v>4.8588773327431403</v>
      </c>
      <c r="AE2741" s="5">
        <v>2.1872287670075994</v>
      </c>
      <c r="AF2741">
        <v>1</v>
      </c>
    </row>
    <row r="2742" spans="27:32" x14ac:dyDescent="0.3">
      <c r="AA2742" s="3">
        <v>-11266.85</v>
      </c>
      <c r="AB2742">
        <v>1E-4</v>
      </c>
      <c r="AC2742">
        <v>9</v>
      </c>
      <c r="AD2742" s="5">
        <v>5.0241196099620264</v>
      </c>
      <c r="AE2742" s="5">
        <v>2.2272998760877307</v>
      </c>
      <c r="AF2742">
        <v>1</v>
      </c>
    </row>
    <row r="2743" spans="27:32" x14ac:dyDescent="0.3">
      <c r="AA2743" s="3">
        <v>35727.21</v>
      </c>
      <c r="AB2743">
        <v>1E-4</v>
      </c>
      <c r="AC2743">
        <v>7</v>
      </c>
      <c r="AD2743" s="5">
        <v>5.1210505185633313</v>
      </c>
      <c r="AE2743" s="5">
        <v>2.1589142136465878</v>
      </c>
      <c r="AF2743">
        <v>1</v>
      </c>
    </row>
    <row r="2744" spans="27:32" x14ac:dyDescent="0.3">
      <c r="AA2744" s="3">
        <v>28457.89</v>
      </c>
      <c r="AB2744">
        <v>1E-4</v>
      </c>
      <c r="AC2744">
        <v>8</v>
      </c>
      <c r="AD2744" s="5">
        <v>4.9799224027392182</v>
      </c>
      <c r="AE2744" s="5">
        <v>2.1923292992842609</v>
      </c>
      <c r="AF2744">
        <v>1</v>
      </c>
    </row>
    <row r="2745" spans="27:32" x14ac:dyDescent="0.3">
      <c r="AA2745" s="3">
        <v>13157.06</v>
      </c>
      <c r="AB2745">
        <v>1E-4</v>
      </c>
      <c r="AC2745">
        <v>8</v>
      </c>
      <c r="AD2745" s="5">
        <v>4.9273229169337789</v>
      </c>
      <c r="AE2745" s="5">
        <v>2.0552278924720038</v>
      </c>
      <c r="AF2745">
        <v>1</v>
      </c>
    </row>
    <row r="2746" spans="27:32" x14ac:dyDescent="0.3">
      <c r="AA2746" s="3">
        <v>11364.26</v>
      </c>
      <c r="AB2746">
        <v>1E-4</v>
      </c>
      <c r="AC2746">
        <v>8</v>
      </c>
      <c r="AD2746" s="5">
        <v>5.0360797932533323</v>
      </c>
      <c r="AE2746" s="5">
        <v>2.2358806342417012</v>
      </c>
      <c r="AF2746">
        <v>1</v>
      </c>
    </row>
    <row r="2747" spans="27:32" x14ac:dyDescent="0.3">
      <c r="AA2747" s="3">
        <v>2693.88</v>
      </c>
      <c r="AB2747">
        <v>1E-4</v>
      </c>
      <c r="AC2747">
        <v>8</v>
      </c>
      <c r="AD2747" s="5">
        <v>4.9397473234457925</v>
      </c>
      <c r="AE2747" s="5">
        <v>2.2624870442663592</v>
      </c>
      <c r="AF2747">
        <v>1</v>
      </c>
    </row>
    <row r="2748" spans="27:32" x14ac:dyDescent="0.3">
      <c r="AA2748" s="3">
        <v>25294.87</v>
      </c>
      <c r="AB2748">
        <v>1E-4</v>
      </c>
      <c r="AC2748">
        <v>7</v>
      </c>
      <c r="AD2748" s="5">
        <v>4.9456188165810895</v>
      </c>
      <c r="AE2748" s="5">
        <v>2.1555330698077677</v>
      </c>
      <c r="AF2748">
        <v>1</v>
      </c>
    </row>
    <row r="2749" spans="27:32" x14ac:dyDescent="0.3">
      <c r="AA2749" s="3">
        <v>-1138.76</v>
      </c>
      <c r="AB2749">
        <v>1E-4</v>
      </c>
      <c r="AC2749">
        <v>9</v>
      </c>
      <c r="AD2749" s="5">
        <v>4.9349820547937924</v>
      </c>
      <c r="AE2749" s="5">
        <v>2.2250034979322706</v>
      </c>
      <c r="AF2749">
        <v>1</v>
      </c>
    </row>
    <row r="2750" spans="27:32" x14ac:dyDescent="0.3">
      <c r="AA2750" s="3">
        <v>17575.75</v>
      </c>
      <c r="AB2750">
        <v>1E-4</v>
      </c>
      <c r="AC2750">
        <v>8</v>
      </c>
      <c r="AD2750" s="5">
        <v>5.0030711883993373</v>
      </c>
      <c r="AE2750" s="5">
        <v>2.2729203914772884</v>
      </c>
      <c r="AF2750">
        <v>1</v>
      </c>
    </row>
    <row r="2751" spans="27:32" x14ac:dyDescent="0.3">
      <c r="AA2751" s="3">
        <v>31896.400000000001</v>
      </c>
      <c r="AB2751">
        <v>1E-4</v>
      </c>
      <c r="AC2751">
        <v>7</v>
      </c>
      <c r="AD2751" s="5">
        <v>5.0743245155087475</v>
      </c>
      <c r="AE2751" s="5">
        <v>2.2052218550166716</v>
      </c>
      <c r="AF2751">
        <v>1</v>
      </c>
    </row>
    <row r="2752" spans="27:32" x14ac:dyDescent="0.3">
      <c r="AA2752" s="3">
        <v>16973.27</v>
      </c>
      <c r="AB2752">
        <v>1E-4</v>
      </c>
      <c r="AC2752">
        <v>8</v>
      </c>
      <c r="AD2752" s="5">
        <v>5.0374697704455107</v>
      </c>
      <c r="AE2752" s="5">
        <v>2.1900605200731311</v>
      </c>
      <c r="AF2752">
        <v>1</v>
      </c>
    </row>
    <row r="2753" spans="27:32" x14ac:dyDescent="0.3">
      <c r="AA2753" s="3">
        <v>16513.919999999998</v>
      </c>
      <c r="AB2753">
        <v>1E-4</v>
      </c>
      <c r="AC2753">
        <v>8</v>
      </c>
      <c r="AD2753" s="5">
        <v>5.1074284146996654</v>
      </c>
      <c r="AE2753" s="5">
        <v>2.1579237997295686</v>
      </c>
      <c r="AF2753">
        <v>1</v>
      </c>
    </row>
    <row r="2754" spans="27:32" x14ac:dyDescent="0.3">
      <c r="AA2754" s="3">
        <v>28587.4</v>
      </c>
      <c r="AB2754">
        <v>1E-4</v>
      </c>
      <c r="AC2754">
        <v>8</v>
      </c>
      <c r="AD2754" s="5">
        <v>5.1491933434628905</v>
      </c>
      <c r="AE2754" s="5">
        <v>2.1562910340658985</v>
      </c>
      <c r="AF2754">
        <v>1</v>
      </c>
    </row>
    <row r="2755" spans="27:32" x14ac:dyDescent="0.3">
      <c r="AA2755" s="3">
        <v>11296.13</v>
      </c>
      <c r="AB2755">
        <v>1E-4</v>
      </c>
      <c r="AC2755">
        <v>8</v>
      </c>
      <c r="AD2755" s="5">
        <v>4.9727052198254231</v>
      </c>
      <c r="AE2755" s="5">
        <v>2.2058587107946281</v>
      </c>
      <c r="AF2755">
        <v>1</v>
      </c>
    </row>
    <row r="2756" spans="27:32" x14ac:dyDescent="0.3">
      <c r="AA2756" s="3">
        <v>33672.629999999997</v>
      </c>
      <c r="AB2756">
        <v>1E-4</v>
      </c>
      <c r="AC2756">
        <v>7</v>
      </c>
      <c r="AD2756" s="5">
        <v>5.0406447290944962</v>
      </c>
      <c r="AE2756" s="5">
        <v>2.2074890414557733</v>
      </c>
      <c r="AF2756">
        <v>1</v>
      </c>
    </row>
    <row r="2757" spans="27:32" x14ac:dyDescent="0.3">
      <c r="AA2757" s="3">
        <v>1802.41</v>
      </c>
      <c r="AB2757">
        <v>1E-4</v>
      </c>
      <c r="AC2757">
        <v>8</v>
      </c>
      <c r="AD2757" s="5">
        <v>4.7680343689748339</v>
      </c>
      <c r="AE2757" s="5">
        <v>2.1121351487844784</v>
      </c>
      <c r="AF2757">
        <v>1</v>
      </c>
    </row>
    <row r="2758" spans="27:32" x14ac:dyDescent="0.3">
      <c r="AA2758" s="3">
        <v>57619.69</v>
      </c>
      <c r="AB2758">
        <v>1E-4</v>
      </c>
      <c r="AC2758">
        <v>6</v>
      </c>
      <c r="AD2758" s="5">
        <v>5.0952694599662571</v>
      </c>
      <c r="AE2758" s="5">
        <v>2.1518692376940223</v>
      </c>
      <c r="AF2758">
        <v>1</v>
      </c>
    </row>
    <row r="2759" spans="27:32" x14ac:dyDescent="0.3">
      <c r="AA2759" s="3">
        <v>2418.4299999999998</v>
      </c>
      <c r="AB2759">
        <v>1E-4</v>
      </c>
      <c r="AC2759">
        <v>8</v>
      </c>
      <c r="AD2759" s="5">
        <v>4.9353955788906916</v>
      </c>
      <c r="AE2759" s="5">
        <v>2.2347595696123785</v>
      </c>
      <c r="AF2759">
        <v>1</v>
      </c>
    </row>
    <row r="2760" spans="27:32" x14ac:dyDescent="0.3">
      <c r="AA2760" s="3">
        <v>-9135.7000000000007</v>
      </c>
      <c r="AB2760">
        <v>1E-4</v>
      </c>
      <c r="AC2760">
        <v>9</v>
      </c>
      <c r="AD2760" s="5">
        <v>5.0757483070155009</v>
      </c>
      <c r="AE2760" s="5">
        <v>2.2953840484230184</v>
      </c>
      <c r="AF2760">
        <v>1</v>
      </c>
    </row>
    <row r="2761" spans="27:32" x14ac:dyDescent="0.3">
      <c r="AA2761" s="3">
        <v>39187.11</v>
      </c>
      <c r="AB2761">
        <v>1E-4</v>
      </c>
      <c r="AC2761">
        <v>7</v>
      </c>
      <c r="AD2761" s="5">
        <v>5.0337881789835652</v>
      </c>
      <c r="AE2761" s="5">
        <v>2.1691545050504843</v>
      </c>
      <c r="AF2761">
        <v>1</v>
      </c>
    </row>
    <row r="2762" spans="27:32" x14ac:dyDescent="0.3">
      <c r="AA2762" s="3">
        <v>7980.85</v>
      </c>
      <c r="AB2762">
        <v>1E-4</v>
      </c>
      <c r="AC2762">
        <v>8</v>
      </c>
      <c r="AD2762" s="5">
        <v>4.9870079801515192</v>
      </c>
      <c r="AE2762" s="5">
        <v>2.1714998573318915</v>
      </c>
      <c r="AF2762">
        <v>1</v>
      </c>
    </row>
    <row r="2763" spans="27:32" x14ac:dyDescent="0.3">
      <c r="AA2763" s="3">
        <v>14484.33</v>
      </c>
      <c r="AB2763">
        <v>1E-4</v>
      </c>
      <c r="AC2763">
        <v>8</v>
      </c>
      <c r="AD2763" s="5">
        <v>5.0588550562304686</v>
      </c>
      <c r="AE2763" s="5">
        <v>2.2196382174745821</v>
      </c>
      <c r="AF2763">
        <v>1</v>
      </c>
    </row>
    <row r="2764" spans="27:32" x14ac:dyDescent="0.3">
      <c r="AA2764" s="3">
        <v>33517.760000000002</v>
      </c>
      <c r="AB2764">
        <v>1E-4</v>
      </c>
      <c r="AC2764">
        <v>7</v>
      </c>
      <c r="AD2764" s="5">
        <v>5.2263734297726483</v>
      </c>
      <c r="AE2764" s="5">
        <v>2.2186452614518575</v>
      </c>
      <c r="AF2764">
        <v>1</v>
      </c>
    </row>
    <row r="2765" spans="27:32" x14ac:dyDescent="0.3">
      <c r="AA2765" s="3">
        <v>15429.5</v>
      </c>
      <c r="AB2765">
        <v>1E-4</v>
      </c>
      <c r="AC2765">
        <v>8</v>
      </c>
      <c r="AD2765" s="5">
        <v>4.9666447145471428</v>
      </c>
      <c r="AE2765" s="5">
        <v>2.3519962965903907</v>
      </c>
      <c r="AF2765">
        <v>1</v>
      </c>
    </row>
    <row r="2766" spans="27:32" x14ac:dyDescent="0.3">
      <c r="AA2766" s="3">
        <v>9106.0499999999993</v>
      </c>
      <c r="AB2766">
        <v>1E-4</v>
      </c>
      <c r="AC2766">
        <v>8</v>
      </c>
      <c r="AD2766" s="5">
        <v>4.9844946742382756</v>
      </c>
      <c r="AE2766" s="5">
        <v>2.2006982961588197</v>
      </c>
      <c r="AF2766">
        <v>1</v>
      </c>
    </row>
    <row r="2767" spans="27:32" x14ac:dyDescent="0.3">
      <c r="AA2767" s="3">
        <v>-8611.39</v>
      </c>
      <c r="AB2767">
        <v>1E-4</v>
      </c>
      <c r="AC2767">
        <v>9</v>
      </c>
      <c r="AD2767" s="5">
        <v>5.2049824494906041</v>
      </c>
      <c r="AE2767" s="5">
        <v>2.203442568840436</v>
      </c>
      <c r="AF2767">
        <v>1</v>
      </c>
    </row>
    <row r="2768" spans="27:32" x14ac:dyDescent="0.3">
      <c r="AA2768" s="3">
        <v>-4964.79</v>
      </c>
      <c r="AB2768">
        <v>1E-4</v>
      </c>
      <c r="AC2768">
        <v>9</v>
      </c>
      <c r="AD2768" s="5">
        <v>4.9261965718508147</v>
      </c>
      <c r="AE2768" s="5">
        <v>2.1093601936979423</v>
      </c>
      <c r="AF2768">
        <v>1</v>
      </c>
    </row>
    <row r="2769" spans="27:32" x14ac:dyDescent="0.3">
      <c r="AA2769" s="3">
        <v>17856.77</v>
      </c>
      <c r="AB2769">
        <v>1E-4</v>
      </c>
      <c r="AC2769">
        <v>8</v>
      </c>
      <c r="AD2769" s="5">
        <v>4.8733304363100451</v>
      </c>
      <c r="AE2769" s="5">
        <v>2.150366806878615</v>
      </c>
      <c r="AF2769">
        <v>1</v>
      </c>
    </row>
    <row r="2770" spans="27:32" x14ac:dyDescent="0.3">
      <c r="AA2770" s="3">
        <v>-31999.279391469168</v>
      </c>
      <c r="AB2770">
        <v>1E-4</v>
      </c>
      <c r="AC2770">
        <v>9</v>
      </c>
      <c r="AD2770" s="5">
        <v>4.9113414143198586</v>
      </c>
      <c r="AE2770" s="5">
        <v>2.1854079446839489</v>
      </c>
      <c r="AF2770">
        <v>0</v>
      </c>
    </row>
    <row r="2771" spans="27:32" x14ac:dyDescent="0.3">
      <c r="AA2771" s="3">
        <v>49008.77</v>
      </c>
      <c r="AB2771">
        <v>1E-4</v>
      </c>
      <c r="AC2771">
        <v>7</v>
      </c>
      <c r="AD2771" s="5">
        <v>5.2839820912366582</v>
      </c>
      <c r="AE2771" s="5">
        <v>2.2118553528635223</v>
      </c>
      <c r="AF2771">
        <v>1</v>
      </c>
    </row>
    <row r="2772" spans="27:32" x14ac:dyDescent="0.3">
      <c r="AA2772" s="3">
        <v>11266.13</v>
      </c>
      <c r="AB2772">
        <v>1E-4</v>
      </c>
      <c r="AC2772">
        <v>8</v>
      </c>
      <c r="AD2772" s="5">
        <v>5.0531086524844611</v>
      </c>
      <c r="AE2772" s="5">
        <v>2.2415085896145066</v>
      </c>
      <c r="AF2772">
        <v>1</v>
      </c>
    </row>
    <row r="2773" spans="27:32" x14ac:dyDescent="0.3">
      <c r="AA2773" s="3">
        <v>-11917.98</v>
      </c>
      <c r="AB2773">
        <v>1E-4</v>
      </c>
      <c r="AC2773">
        <v>9</v>
      </c>
      <c r="AD2773" s="5">
        <v>4.7539852719943694</v>
      </c>
      <c r="AE2773" s="5">
        <v>2.2628222981379378</v>
      </c>
      <c r="AF2773">
        <v>1</v>
      </c>
    </row>
    <row r="2774" spans="27:32" x14ac:dyDescent="0.3">
      <c r="AA2774" s="3">
        <v>33710.839999999997</v>
      </c>
      <c r="AB2774">
        <v>1E-4</v>
      </c>
      <c r="AC2774">
        <v>7</v>
      </c>
      <c r="AD2774" s="5">
        <v>5.0265736148860691</v>
      </c>
      <c r="AE2774" s="5">
        <v>2.1766113829499654</v>
      </c>
      <c r="AF2774">
        <v>1</v>
      </c>
    </row>
    <row r="2775" spans="27:32" x14ac:dyDescent="0.3">
      <c r="AA2775" s="3">
        <v>41562.94</v>
      </c>
      <c r="AB2775">
        <v>1E-4</v>
      </c>
      <c r="AC2775">
        <v>7</v>
      </c>
      <c r="AD2775" s="5">
        <v>5.052813585927372</v>
      </c>
      <c r="AE2775" s="5">
        <v>2.1373963065252677</v>
      </c>
      <c r="AF2775">
        <v>1</v>
      </c>
    </row>
    <row r="2776" spans="27:32" x14ac:dyDescent="0.3">
      <c r="AA2776" s="3">
        <v>-6718.5960273812598</v>
      </c>
      <c r="AB2776">
        <v>1E-4</v>
      </c>
      <c r="AC2776">
        <v>8</v>
      </c>
      <c r="AD2776" s="5">
        <v>5.0430750477381983</v>
      </c>
      <c r="AE2776" s="5">
        <v>2.2327807311234449</v>
      </c>
      <c r="AF2776">
        <v>0</v>
      </c>
    </row>
    <row r="2777" spans="27:32" x14ac:dyDescent="0.3">
      <c r="AA2777" s="3">
        <v>39996.44</v>
      </c>
      <c r="AB2777">
        <v>1E-4</v>
      </c>
      <c r="AC2777">
        <v>7</v>
      </c>
      <c r="AD2777" s="5">
        <v>5.1709780445029505</v>
      </c>
      <c r="AE2777" s="5">
        <v>2.1446240953888078</v>
      </c>
      <c r="AF2777">
        <v>1</v>
      </c>
    </row>
    <row r="2778" spans="27:32" x14ac:dyDescent="0.3">
      <c r="AA2778" s="3">
        <v>20536.57</v>
      </c>
      <c r="AB2778">
        <v>1E-4</v>
      </c>
      <c r="AC2778">
        <v>8</v>
      </c>
      <c r="AD2778" s="5">
        <v>4.9931701475905994</v>
      </c>
      <c r="AE2778" s="5">
        <v>2.1419924846437537</v>
      </c>
      <c r="AF2778">
        <v>1</v>
      </c>
    </row>
    <row r="2779" spans="27:32" x14ac:dyDescent="0.3">
      <c r="AA2779" s="3">
        <v>24132.6</v>
      </c>
      <c r="AB2779">
        <v>1E-4</v>
      </c>
      <c r="AC2779">
        <v>8</v>
      </c>
      <c r="AD2779" s="5">
        <v>5.1670575450122129</v>
      </c>
      <c r="AE2779" s="5">
        <v>2.1357044779075247</v>
      </c>
      <c r="AF2779">
        <v>1</v>
      </c>
    </row>
    <row r="2780" spans="27:32" x14ac:dyDescent="0.3">
      <c r="AA2780" s="3">
        <v>11149.12</v>
      </c>
      <c r="AB2780">
        <v>1E-4</v>
      </c>
      <c r="AC2780">
        <v>8</v>
      </c>
      <c r="AD2780" s="5">
        <v>4.9880293414560297</v>
      </c>
      <c r="AE2780" s="5">
        <v>2.1728178964573339</v>
      </c>
      <c r="AF2780">
        <v>1</v>
      </c>
    </row>
    <row r="2781" spans="27:32" x14ac:dyDescent="0.3">
      <c r="AA2781" s="3">
        <v>-3951.12</v>
      </c>
      <c r="AB2781">
        <v>1E-4</v>
      </c>
      <c r="AC2781">
        <v>9</v>
      </c>
      <c r="AD2781" s="5">
        <v>5.029334738341273</v>
      </c>
      <c r="AE2781" s="5">
        <v>2.1983794939279169</v>
      </c>
      <c r="AF2781">
        <v>1</v>
      </c>
    </row>
    <row r="2782" spans="27:32" x14ac:dyDescent="0.3">
      <c r="AA2782" s="3">
        <v>37877.5</v>
      </c>
      <c r="AB2782">
        <v>1E-4</v>
      </c>
      <c r="AC2782">
        <v>7</v>
      </c>
      <c r="AD2782" s="5">
        <v>5.0885809017315902</v>
      </c>
      <c r="AE2782" s="5">
        <v>2.251021343526161</v>
      </c>
      <c r="AF2782">
        <v>1</v>
      </c>
    </row>
    <row r="2783" spans="27:32" x14ac:dyDescent="0.3">
      <c r="AA2783" s="3">
        <v>-3040.17</v>
      </c>
      <c r="AB2783">
        <v>1E-4</v>
      </c>
      <c r="AC2783">
        <v>9</v>
      </c>
      <c r="AD2783" s="5">
        <v>5.0096433864988636</v>
      </c>
      <c r="AE2783" s="5">
        <v>2.1930101631924241</v>
      </c>
      <c r="AF2783">
        <v>1</v>
      </c>
    </row>
    <row r="2784" spans="27:32" x14ac:dyDescent="0.3">
      <c r="AA2784" s="3">
        <v>-8899.92</v>
      </c>
      <c r="AB2784">
        <v>1E-4</v>
      </c>
      <c r="AC2784">
        <v>9</v>
      </c>
      <c r="AD2784" s="5">
        <v>5.0578473511169069</v>
      </c>
      <c r="AE2784" s="5">
        <v>2.2422992241227857</v>
      </c>
      <c r="AF2784">
        <v>1</v>
      </c>
    </row>
    <row r="2785" spans="27:32" x14ac:dyDescent="0.3">
      <c r="AA2785" s="3">
        <v>25019.63</v>
      </c>
      <c r="AB2785">
        <v>1E-4</v>
      </c>
      <c r="AC2785">
        <v>8</v>
      </c>
      <c r="AD2785" s="5">
        <v>4.9113936404210268</v>
      </c>
      <c r="AE2785" s="5">
        <v>2.2002855753263151</v>
      </c>
      <c r="AF2785">
        <v>1</v>
      </c>
    </row>
    <row r="2786" spans="27:32" x14ac:dyDescent="0.3">
      <c r="AA2786" s="3">
        <v>34236.85</v>
      </c>
      <c r="AB2786">
        <v>1E-4</v>
      </c>
      <c r="AC2786">
        <v>7</v>
      </c>
      <c r="AD2786" s="5">
        <v>5.1458573319343923</v>
      </c>
      <c r="AE2786" s="5">
        <v>2.2406378158889013</v>
      </c>
      <c r="AF2786">
        <v>1</v>
      </c>
    </row>
    <row r="2787" spans="27:32" x14ac:dyDescent="0.3">
      <c r="AA2787" s="3">
        <v>46022.92</v>
      </c>
      <c r="AB2787">
        <v>1E-4</v>
      </c>
      <c r="AC2787">
        <v>7</v>
      </c>
      <c r="AD2787" s="5">
        <v>5.1901263523266454</v>
      </c>
      <c r="AE2787" s="5">
        <v>2.1774756597899843</v>
      </c>
      <c r="AF2787">
        <v>1</v>
      </c>
    </row>
    <row r="2788" spans="27:32" x14ac:dyDescent="0.3">
      <c r="AA2788" s="3">
        <v>57733.77</v>
      </c>
      <c r="AB2788">
        <v>1E-4</v>
      </c>
      <c r="AC2788">
        <v>6</v>
      </c>
      <c r="AD2788" s="5">
        <v>5.0573693346883495</v>
      </c>
      <c r="AE2788" s="5">
        <v>2.0902959673478647</v>
      </c>
      <c r="AF2788">
        <v>1</v>
      </c>
    </row>
    <row r="2789" spans="27:32" x14ac:dyDescent="0.3">
      <c r="AA2789" s="3">
        <v>-20290.12</v>
      </c>
      <c r="AB2789">
        <v>1E-4</v>
      </c>
      <c r="AC2789">
        <v>9</v>
      </c>
      <c r="AD2789" s="5">
        <v>4.8951107596144752</v>
      </c>
      <c r="AE2789" s="5">
        <v>2.1968651564096535</v>
      </c>
      <c r="AF2789">
        <v>1</v>
      </c>
    </row>
    <row r="2790" spans="27:32" x14ac:dyDescent="0.3">
      <c r="AA2790" s="3">
        <v>9573.39</v>
      </c>
      <c r="AB2790">
        <v>1E-4</v>
      </c>
      <c r="AC2790">
        <v>8</v>
      </c>
      <c r="AD2790" s="5">
        <v>5.0037963787523125</v>
      </c>
      <c r="AE2790" s="5">
        <v>2.1767067643035443</v>
      </c>
      <c r="AF2790">
        <v>1</v>
      </c>
    </row>
    <row r="2791" spans="27:32" x14ac:dyDescent="0.3">
      <c r="AA2791" s="3">
        <v>30412.99</v>
      </c>
      <c r="AB2791">
        <v>1E-4</v>
      </c>
      <c r="AC2791">
        <v>8</v>
      </c>
      <c r="AD2791" s="5">
        <v>5.1463828499573427</v>
      </c>
      <c r="AE2791" s="5">
        <v>2.1229236997602987</v>
      </c>
      <c r="AF2791">
        <v>1</v>
      </c>
    </row>
    <row r="2792" spans="27:32" x14ac:dyDescent="0.3">
      <c r="AA2792" s="3">
        <v>-34195.340295861912</v>
      </c>
      <c r="AB2792">
        <v>1E-4</v>
      </c>
      <c r="AC2792">
        <v>9</v>
      </c>
      <c r="AD2792" s="5">
        <v>4.939239469879233</v>
      </c>
      <c r="AE2792" s="5">
        <v>2.1536258302945064</v>
      </c>
      <c r="AF2792">
        <v>0</v>
      </c>
    </row>
    <row r="2793" spans="27:32" x14ac:dyDescent="0.3">
      <c r="AA2793" s="3">
        <v>22185.39</v>
      </c>
      <c r="AB2793">
        <v>1E-4</v>
      </c>
      <c r="AC2793">
        <v>8</v>
      </c>
      <c r="AD2793" s="5">
        <v>5.029714628579856</v>
      </c>
      <c r="AE2793" s="5">
        <v>2.2716898857293337</v>
      </c>
      <c r="AF2793">
        <v>1</v>
      </c>
    </row>
    <row r="2794" spans="27:32" x14ac:dyDescent="0.3">
      <c r="AA2794" s="3">
        <v>6958.57</v>
      </c>
      <c r="AB2794">
        <v>1E-4</v>
      </c>
      <c r="AC2794">
        <v>8</v>
      </c>
      <c r="AD2794" s="5">
        <v>4.9813113495051811</v>
      </c>
      <c r="AE2794" s="5">
        <v>2.2220395408552434</v>
      </c>
      <c r="AF2794">
        <v>1</v>
      </c>
    </row>
    <row r="2795" spans="27:32" x14ac:dyDescent="0.3">
      <c r="AA2795" s="3">
        <v>-3498.83</v>
      </c>
      <c r="AB2795">
        <v>1E-4</v>
      </c>
      <c r="AC2795">
        <v>9</v>
      </c>
      <c r="AD2795" s="5">
        <v>4.896381511216104</v>
      </c>
      <c r="AE2795" s="5">
        <v>2.1496421151633802</v>
      </c>
      <c r="AF2795">
        <v>1</v>
      </c>
    </row>
    <row r="2796" spans="27:32" x14ac:dyDescent="0.3">
      <c r="AA2796" s="3">
        <v>26982.97</v>
      </c>
      <c r="AB2796">
        <v>1E-4</v>
      </c>
      <c r="AC2796">
        <v>8</v>
      </c>
      <c r="AD2796" s="5">
        <v>5.0259761374948679</v>
      </c>
      <c r="AE2796" s="5">
        <v>2.1404803356603224</v>
      </c>
      <c r="AF2796">
        <v>1</v>
      </c>
    </row>
    <row r="2797" spans="27:32" x14ac:dyDescent="0.3">
      <c r="AA2797" s="3">
        <v>20448.89</v>
      </c>
      <c r="AB2797">
        <v>1E-4</v>
      </c>
      <c r="AC2797">
        <v>8</v>
      </c>
      <c r="AD2797" s="5">
        <v>4.9588224042340281</v>
      </c>
      <c r="AE2797" s="5">
        <v>2.1983227131343339</v>
      </c>
      <c r="AF2797">
        <v>1</v>
      </c>
    </row>
    <row r="2798" spans="27:32" x14ac:dyDescent="0.3">
      <c r="AA2798" s="3">
        <v>-3909.44</v>
      </c>
      <c r="AB2798">
        <v>1E-4</v>
      </c>
      <c r="AC2798">
        <v>9</v>
      </c>
      <c r="AD2798" s="5">
        <v>4.9663825608867125</v>
      </c>
      <c r="AE2798" s="5">
        <v>2.2325464440632419</v>
      </c>
      <c r="AF2798">
        <v>1</v>
      </c>
    </row>
    <row r="2799" spans="27:32" x14ac:dyDescent="0.3">
      <c r="AA2799" s="3">
        <v>24522.35</v>
      </c>
      <c r="AB2799">
        <v>1E-4</v>
      </c>
      <c r="AC2799">
        <v>8</v>
      </c>
      <c r="AD2799" s="5">
        <v>5.1051017565476986</v>
      </c>
      <c r="AE2799" s="5">
        <v>2.1720641911879399</v>
      </c>
      <c r="AF2799">
        <v>1</v>
      </c>
    </row>
    <row r="2800" spans="27:32" x14ac:dyDescent="0.3">
      <c r="AA2800" s="3">
        <v>-20924.900000000001</v>
      </c>
      <c r="AB2800">
        <v>1E-4</v>
      </c>
      <c r="AC2800">
        <v>9</v>
      </c>
      <c r="AD2800" s="5">
        <v>5.0004855889054438</v>
      </c>
      <c r="AE2800" s="5">
        <v>2.2014047090014821</v>
      </c>
      <c r="AF2800">
        <v>1</v>
      </c>
    </row>
    <row r="2801" spans="27:32" x14ac:dyDescent="0.3">
      <c r="AA2801" s="3">
        <v>-4604.22</v>
      </c>
      <c r="AB2801">
        <v>1E-4</v>
      </c>
      <c r="AC2801">
        <v>9</v>
      </c>
      <c r="AD2801" s="5">
        <v>4.9501756196418771</v>
      </c>
      <c r="AE2801" s="5">
        <v>2.1982389388529779</v>
      </c>
      <c r="AF2801">
        <v>1</v>
      </c>
    </row>
    <row r="2802" spans="27:32" x14ac:dyDescent="0.3">
      <c r="AA2802" s="3">
        <v>40316.75</v>
      </c>
      <c r="AB2802">
        <v>1E-4</v>
      </c>
      <c r="AC2802">
        <v>7</v>
      </c>
      <c r="AD2802" s="5">
        <v>5.0620466994998985</v>
      </c>
      <c r="AE2802" s="5">
        <v>2.1393884356099364</v>
      </c>
      <c r="AF2802">
        <v>1</v>
      </c>
    </row>
    <row r="2803" spans="27:32" x14ac:dyDescent="0.3">
      <c r="AA2803" s="3">
        <v>10502.6</v>
      </c>
      <c r="AB2803">
        <v>1E-4</v>
      </c>
      <c r="AC2803">
        <v>8</v>
      </c>
      <c r="AD2803" s="5">
        <v>4.8761499743617538</v>
      </c>
      <c r="AE2803" s="5">
        <v>2.1352589674294271</v>
      </c>
      <c r="AF2803">
        <v>1</v>
      </c>
    </row>
    <row r="2804" spans="27:32" x14ac:dyDescent="0.3">
      <c r="AA2804" s="3">
        <v>-29095.200000000001</v>
      </c>
      <c r="AB2804">
        <v>1E-4</v>
      </c>
      <c r="AC2804">
        <v>9</v>
      </c>
      <c r="AD2804" s="5">
        <v>4.8645677619434249</v>
      </c>
      <c r="AE2804" s="5">
        <v>2.2840601739891042</v>
      </c>
      <c r="AF2804">
        <v>1</v>
      </c>
    </row>
    <row r="2805" spans="27:32" x14ac:dyDescent="0.3">
      <c r="AA2805" s="3">
        <v>44103.360000000001</v>
      </c>
      <c r="AB2805">
        <v>1E-4</v>
      </c>
      <c r="AC2805">
        <v>7</v>
      </c>
      <c r="AD2805" s="5">
        <v>4.9792636495897771</v>
      </c>
      <c r="AE2805" s="5">
        <v>2.1806182732679482</v>
      </c>
      <c r="AF2805">
        <v>1</v>
      </c>
    </row>
    <row r="2806" spans="27:32" x14ac:dyDescent="0.3">
      <c r="AA2806" s="3">
        <v>876.04</v>
      </c>
      <c r="AB2806">
        <v>1E-4</v>
      </c>
      <c r="AC2806">
        <v>8</v>
      </c>
      <c r="AD2806" s="5">
        <v>5.0498993426290255</v>
      </c>
      <c r="AE2806" s="5">
        <v>2.2591261097013091</v>
      </c>
      <c r="AF2806">
        <v>1</v>
      </c>
    </row>
    <row r="2807" spans="27:32" x14ac:dyDescent="0.3">
      <c r="AA2807" s="3">
        <v>19084.72</v>
      </c>
      <c r="AB2807">
        <v>1E-4</v>
      </c>
      <c r="AC2807">
        <v>8</v>
      </c>
      <c r="AD2807" s="5">
        <v>4.9295702628654263</v>
      </c>
      <c r="AE2807" s="5">
        <v>2.2021227565363084</v>
      </c>
      <c r="AF2807">
        <v>1</v>
      </c>
    </row>
    <row r="2808" spans="27:32" x14ac:dyDescent="0.3">
      <c r="AA2808" s="3">
        <v>14994.32</v>
      </c>
      <c r="AB2808">
        <v>1E-4</v>
      </c>
      <c r="AC2808">
        <v>8</v>
      </c>
      <c r="AD2808" s="5">
        <v>5.0385687867917399</v>
      </c>
      <c r="AE2808" s="5">
        <v>2.1880802977248717</v>
      </c>
      <c r="AF2808">
        <v>1</v>
      </c>
    </row>
    <row r="2809" spans="27:32" x14ac:dyDescent="0.3">
      <c r="AA2809" s="3">
        <v>-13257.96</v>
      </c>
      <c r="AB2809">
        <v>1E-4</v>
      </c>
      <c r="AC2809">
        <v>9</v>
      </c>
      <c r="AD2809" s="5">
        <v>5.0887534336517488</v>
      </c>
      <c r="AE2809" s="5">
        <v>2.2588965904925637</v>
      </c>
      <c r="AF2809">
        <v>1</v>
      </c>
    </row>
    <row r="2810" spans="27:32" x14ac:dyDescent="0.3">
      <c r="AA2810" s="3">
        <v>13440.55</v>
      </c>
      <c r="AB2810">
        <v>1E-4</v>
      </c>
      <c r="AC2810">
        <v>8</v>
      </c>
      <c r="AD2810" s="5">
        <v>4.9380562190375512</v>
      </c>
      <c r="AE2810" s="5">
        <v>2.216207242696107</v>
      </c>
      <c r="AF2810">
        <v>1</v>
      </c>
    </row>
    <row r="2811" spans="27:32" x14ac:dyDescent="0.3">
      <c r="AA2811" s="3">
        <v>-19640.82</v>
      </c>
      <c r="AB2811">
        <v>1E-4</v>
      </c>
      <c r="AC2811">
        <v>9</v>
      </c>
      <c r="AD2811" s="5">
        <v>5.0009027066132079</v>
      </c>
      <c r="AE2811" s="5">
        <v>2.3207984618574469</v>
      </c>
      <c r="AF2811">
        <v>1</v>
      </c>
    </row>
    <row r="2812" spans="27:32" x14ac:dyDescent="0.3">
      <c r="AA2812" s="3">
        <v>17014.84</v>
      </c>
      <c r="AB2812">
        <v>1E-4</v>
      </c>
      <c r="AC2812">
        <v>8</v>
      </c>
      <c r="AD2812" s="5">
        <v>4.9521852591923867</v>
      </c>
      <c r="AE2812" s="5">
        <v>2.2582039951693291</v>
      </c>
      <c r="AF2812">
        <v>1</v>
      </c>
    </row>
    <row r="2813" spans="27:32" x14ac:dyDescent="0.3">
      <c r="AA2813" s="3">
        <v>26846.06</v>
      </c>
      <c r="AB2813">
        <v>1E-4</v>
      </c>
      <c r="AC2813">
        <v>8</v>
      </c>
      <c r="AD2813" s="5">
        <v>5.0239821501797781</v>
      </c>
      <c r="AE2813" s="5">
        <v>2.2052628028253789</v>
      </c>
      <c r="AF2813">
        <v>1</v>
      </c>
    </row>
    <row r="2814" spans="27:32" x14ac:dyDescent="0.3">
      <c r="AA2814" s="3">
        <v>-4877.97</v>
      </c>
      <c r="AB2814">
        <v>1E-4</v>
      </c>
      <c r="AC2814">
        <v>9</v>
      </c>
      <c r="AD2814" s="5">
        <v>5.0398163732101153</v>
      </c>
      <c r="AE2814" s="5">
        <v>2.3251343971310656</v>
      </c>
      <c r="AF2814">
        <v>1</v>
      </c>
    </row>
    <row r="2815" spans="27:32" x14ac:dyDescent="0.3">
      <c r="AA2815" s="3">
        <v>8596.66</v>
      </c>
      <c r="AB2815">
        <v>1E-4</v>
      </c>
      <c r="AC2815">
        <v>8</v>
      </c>
      <c r="AD2815" s="5">
        <v>4.9921495818383699</v>
      </c>
      <c r="AE2815" s="5">
        <v>2.1096527004485659</v>
      </c>
      <c r="AF2815">
        <v>1</v>
      </c>
    </row>
    <row r="2816" spans="27:32" x14ac:dyDescent="0.3">
      <c r="AA2816" s="3">
        <v>26258.14</v>
      </c>
      <c r="AB2816">
        <v>1E-4</v>
      </c>
      <c r="AC2816">
        <v>8</v>
      </c>
      <c r="AD2816" s="5">
        <v>5.0806140269259297</v>
      </c>
      <c r="AE2816" s="5">
        <v>2.2629916040245783</v>
      </c>
      <c r="AF2816">
        <v>1</v>
      </c>
    </row>
    <row r="2817" spans="27:32" x14ac:dyDescent="0.3">
      <c r="AA2817" s="3">
        <v>14555.36</v>
      </c>
      <c r="AB2817">
        <v>1E-4</v>
      </c>
      <c r="AC2817">
        <v>8</v>
      </c>
      <c r="AD2817" s="5">
        <v>4.9490216599947336</v>
      </c>
      <c r="AE2817" s="5">
        <v>2.1841406235071781</v>
      </c>
      <c r="AF2817">
        <v>1</v>
      </c>
    </row>
    <row r="2818" spans="27:32" x14ac:dyDescent="0.3">
      <c r="AA2818" s="3">
        <v>22272.55</v>
      </c>
      <c r="AB2818">
        <v>1E-4</v>
      </c>
      <c r="AC2818">
        <v>8</v>
      </c>
      <c r="AD2818" s="5">
        <v>5.1042706540060125</v>
      </c>
      <c r="AE2818" s="5">
        <v>2.2458598964881347</v>
      </c>
      <c r="AF2818">
        <v>1</v>
      </c>
    </row>
    <row r="2819" spans="27:32" x14ac:dyDescent="0.3">
      <c r="AA2819" s="3">
        <v>-1467.58</v>
      </c>
      <c r="AB2819">
        <v>1E-4</v>
      </c>
      <c r="AC2819">
        <v>9</v>
      </c>
      <c r="AD2819" s="5">
        <v>5.11161539036378</v>
      </c>
      <c r="AE2819" s="5">
        <v>2.2638764865070997</v>
      </c>
      <c r="AF2819">
        <v>1</v>
      </c>
    </row>
    <row r="2820" spans="27:32" x14ac:dyDescent="0.3">
      <c r="AA2820" s="3">
        <v>14476.13</v>
      </c>
      <c r="AB2820">
        <v>1E-4</v>
      </c>
      <c r="AC2820">
        <v>8</v>
      </c>
      <c r="AD2820" s="5">
        <v>5.0642196738662264</v>
      </c>
      <c r="AE2820" s="5">
        <v>2.1821488308661574</v>
      </c>
      <c r="AF2820">
        <v>1</v>
      </c>
    </row>
    <row r="2821" spans="27:32" x14ac:dyDescent="0.3">
      <c r="AA2821" s="3">
        <v>8173.77</v>
      </c>
      <c r="AB2821">
        <v>1E-4</v>
      </c>
      <c r="AC2821">
        <v>8</v>
      </c>
      <c r="AD2821" s="5">
        <v>5.0413378659804993</v>
      </c>
      <c r="AE2821" s="5">
        <v>2.2087809498611759</v>
      </c>
      <c r="AF2821">
        <v>1</v>
      </c>
    </row>
    <row r="2822" spans="27:32" x14ac:dyDescent="0.3">
      <c r="AA2822" s="3">
        <v>35887.46</v>
      </c>
      <c r="AB2822">
        <v>1E-4</v>
      </c>
      <c r="AC2822">
        <v>7</v>
      </c>
      <c r="AD2822" s="5">
        <v>5.052105579439611</v>
      </c>
      <c r="AE2822" s="5">
        <v>2.1569566670238034</v>
      </c>
      <c r="AF2822">
        <v>1</v>
      </c>
    </row>
    <row r="2823" spans="27:32" x14ac:dyDescent="0.3">
      <c r="AA2823" s="3">
        <v>21243.439999999999</v>
      </c>
      <c r="AB2823">
        <v>1E-4</v>
      </c>
      <c r="AC2823">
        <v>8</v>
      </c>
      <c r="AD2823" s="5">
        <v>4.9894015949373092</v>
      </c>
      <c r="AE2823" s="5">
        <v>2.2197302325433461</v>
      </c>
      <c r="AF2823">
        <v>1</v>
      </c>
    </row>
    <row r="2824" spans="27:32" x14ac:dyDescent="0.3">
      <c r="AA2824" s="3">
        <v>-4670.05</v>
      </c>
      <c r="AB2824">
        <v>1E-4</v>
      </c>
      <c r="AC2824">
        <v>9</v>
      </c>
      <c r="AD2824" s="5">
        <v>5.0355040905206563</v>
      </c>
      <c r="AE2824" s="5">
        <v>2.2554158086313039</v>
      </c>
      <c r="AF2824">
        <v>1</v>
      </c>
    </row>
    <row r="2825" spans="27:32" x14ac:dyDescent="0.3">
      <c r="AA2825" s="3">
        <v>-8742.82</v>
      </c>
      <c r="AB2825">
        <v>1E-4</v>
      </c>
      <c r="AC2825">
        <v>9</v>
      </c>
      <c r="AD2825" s="5">
        <v>4.9766148902703788</v>
      </c>
      <c r="AE2825" s="5">
        <v>2.1637045380640991</v>
      </c>
      <c r="AF2825">
        <v>1</v>
      </c>
    </row>
    <row r="2826" spans="27:32" x14ac:dyDescent="0.3">
      <c r="AA2826" s="3">
        <v>18688.900000000001</v>
      </c>
      <c r="AB2826">
        <v>1E-4</v>
      </c>
      <c r="AC2826">
        <v>8</v>
      </c>
      <c r="AD2826" s="5">
        <v>4.9522435094301933</v>
      </c>
      <c r="AE2826" s="5">
        <v>2.1418602880252839</v>
      </c>
      <c r="AF2826">
        <v>1</v>
      </c>
    </row>
    <row r="2827" spans="27:32" x14ac:dyDescent="0.3">
      <c r="AA2827" s="3">
        <v>16575.099999999999</v>
      </c>
      <c r="AB2827">
        <v>1E-4</v>
      </c>
      <c r="AC2827">
        <v>8</v>
      </c>
      <c r="AD2827" s="5">
        <v>5.086693254938087</v>
      </c>
      <c r="AE2827" s="5">
        <v>2.1867642343407701</v>
      </c>
      <c r="AF2827">
        <v>1</v>
      </c>
    </row>
    <row r="2828" spans="27:32" x14ac:dyDescent="0.3">
      <c r="AA2828" s="3">
        <v>-6367.06</v>
      </c>
      <c r="AB2828">
        <v>1E-4</v>
      </c>
      <c r="AC2828">
        <v>9</v>
      </c>
      <c r="AD2828" s="5">
        <v>4.9815407633658433</v>
      </c>
      <c r="AE2828" s="5">
        <v>2.1971997629961959</v>
      </c>
      <c r="AF2828">
        <v>1</v>
      </c>
    </row>
    <row r="2829" spans="27:32" x14ac:dyDescent="0.3">
      <c r="AA2829" s="3">
        <v>24706.67</v>
      </c>
      <c r="AB2829">
        <v>1E-4</v>
      </c>
      <c r="AC2829">
        <v>8</v>
      </c>
      <c r="AD2829" s="5">
        <v>5.105757897297063</v>
      </c>
      <c r="AE2829" s="5">
        <v>2.2184754358377887</v>
      </c>
      <c r="AF2829">
        <v>1</v>
      </c>
    </row>
    <row r="2830" spans="27:32" x14ac:dyDescent="0.3">
      <c r="AA2830" s="3">
        <v>42129.760000000002</v>
      </c>
      <c r="AB2830">
        <v>1E-4</v>
      </c>
      <c r="AC2830">
        <v>7</v>
      </c>
      <c r="AD2830" s="5">
        <v>5.1793939334851098</v>
      </c>
      <c r="AE2830" s="5">
        <v>2.1784656851875397</v>
      </c>
      <c r="AF2830">
        <v>1</v>
      </c>
    </row>
    <row r="2831" spans="27:32" x14ac:dyDescent="0.3">
      <c r="AA2831" s="3">
        <v>-186.65</v>
      </c>
      <c r="AB2831">
        <v>1E-4</v>
      </c>
      <c r="AC2831">
        <v>9</v>
      </c>
      <c r="AD2831" s="5">
        <v>5.0556331067970959</v>
      </c>
      <c r="AE2831" s="5">
        <v>2.2788898776230821</v>
      </c>
      <c r="AF2831">
        <v>1</v>
      </c>
    </row>
    <row r="2832" spans="27:32" x14ac:dyDescent="0.3">
      <c r="AA2832" s="3">
        <v>11585.19</v>
      </c>
      <c r="AB2832">
        <v>1E-4</v>
      </c>
      <c r="AC2832">
        <v>8</v>
      </c>
      <c r="AD2832" s="5">
        <v>4.9104883278185261</v>
      </c>
      <c r="AE2832" s="5">
        <v>2.1942450725413587</v>
      </c>
      <c r="AF2832">
        <v>1</v>
      </c>
    </row>
    <row r="2833" spans="27:32" x14ac:dyDescent="0.3">
      <c r="AA2833" s="3">
        <v>39824.76</v>
      </c>
      <c r="AB2833">
        <v>1E-4</v>
      </c>
      <c r="AC2833">
        <v>7</v>
      </c>
      <c r="AD2833" s="5">
        <v>4.9887669157115049</v>
      </c>
      <c r="AE2833" s="5">
        <v>2.1805211096553143</v>
      </c>
      <c r="AF2833">
        <v>1</v>
      </c>
    </row>
    <row r="2834" spans="27:32" x14ac:dyDescent="0.3">
      <c r="AA2834" s="3">
        <v>23024.22</v>
      </c>
      <c r="AB2834">
        <v>1E-4</v>
      </c>
      <c r="AC2834">
        <v>8</v>
      </c>
      <c r="AD2834" s="5">
        <v>4.9166325555236057</v>
      </c>
      <c r="AE2834" s="5">
        <v>2.2746693794210415</v>
      </c>
      <c r="AF2834">
        <v>1</v>
      </c>
    </row>
    <row r="2835" spans="27:32" x14ac:dyDescent="0.3">
      <c r="AA2835" s="3">
        <v>-18010.13</v>
      </c>
      <c r="AB2835">
        <v>1E-4</v>
      </c>
      <c r="AC2835">
        <v>9</v>
      </c>
      <c r="AD2835" s="5">
        <v>4.963930877563981</v>
      </c>
      <c r="AE2835" s="5">
        <v>2.2967427535752654</v>
      </c>
      <c r="AF2835">
        <v>1</v>
      </c>
    </row>
    <row r="2836" spans="27:32" x14ac:dyDescent="0.3">
      <c r="AA2836" s="3">
        <v>27421.77</v>
      </c>
      <c r="AB2836">
        <v>1E-4</v>
      </c>
      <c r="AC2836">
        <v>8</v>
      </c>
      <c r="AD2836" s="5">
        <v>5.020490279689569</v>
      </c>
      <c r="AE2836" s="5">
        <v>2.2128946838190711</v>
      </c>
      <c r="AF2836">
        <v>1</v>
      </c>
    </row>
    <row r="2837" spans="27:32" x14ac:dyDescent="0.3">
      <c r="AA2837" s="3">
        <v>1637.38</v>
      </c>
      <c r="AB2837">
        <v>1E-4</v>
      </c>
      <c r="AC2837">
        <v>8</v>
      </c>
      <c r="AD2837" s="5">
        <v>4.897412080441935</v>
      </c>
      <c r="AE2837" s="5">
        <v>2.2273251115262185</v>
      </c>
      <c r="AF2837">
        <v>1</v>
      </c>
    </row>
    <row r="2838" spans="27:32" x14ac:dyDescent="0.3">
      <c r="AA2838" s="3">
        <v>1750.54</v>
      </c>
      <c r="AB2838">
        <v>1E-4</v>
      </c>
      <c r="AC2838">
        <v>8</v>
      </c>
      <c r="AD2838" s="5">
        <v>4.9095119980568009</v>
      </c>
      <c r="AE2838" s="5">
        <v>2.2198111703126515</v>
      </c>
      <c r="AF2838">
        <v>1</v>
      </c>
    </row>
    <row r="2839" spans="27:32" x14ac:dyDescent="0.3">
      <c r="AA2839" s="3">
        <v>-22750.74</v>
      </c>
      <c r="AB2839">
        <v>1E-4</v>
      </c>
      <c r="AC2839">
        <v>9</v>
      </c>
      <c r="AD2839" s="5">
        <v>4.8748759319641879</v>
      </c>
      <c r="AE2839" s="5">
        <v>2.2586727223963909</v>
      </c>
      <c r="AF2839">
        <v>1</v>
      </c>
    </row>
    <row r="2840" spans="27:32" x14ac:dyDescent="0.3">
      <c r="AA2840" s="3">
        <v>5652.18</v>
      </c>
      <c r="AB2840">
        <v>1E-4</v>
      </c>
      <c r="AC2840">
        <v>8</v>
      </c>
      <c r="AD2840" s="5">
        <v>4.9614021296721882</v>
      </c>
      <c r="AE2840" s="5">
        <v>2.1444405625908476</v>
      </c>
      <c r="AF2840">
        <v>1</v>
      </c>
    </row>
    <row r="2841" spans="27:32" x14ac:dyDescent="0.3">
      <c r="AA2841" s="3">
        <v>22307.24</v>
      </c>
      <c r="AB2841">
        <v>1E-4</v>
      </c>
      <c r="AC2841">
        <v>8</v>
      </c>
      <c r="AD2841" s="5">
        <v>5.1297716464014798</v>
      </c>
      <c r="AE2841" s="5">
        <v>2.237353781822351</v>
      </c>
      <c r="AF2841">
        <v>1</v>
      </c>
    </row>
    <row r="2842" spans="27:32" x14ac:dyDescent="0.3">
      <c r="AA2842" s="3">
        <v>14328.31</v>
      </c>
      <c r="AB2842">
        <v>1E-4</v>
      </c>
      <c r="AC2842">
        <v>8</v>
      </c>
      <c r="AD2842" s="5">
        <v>5.026209260364042</v>
      </c>
      <c r="AE2842" s="5">
        <v>2.192452794936846</v>
      </c>
      <c r="AF2842">
        <v>1</v>
      </c>
    </row>
    <row r="2843" spans="27:32" x14ac:dyDescent="0.3">
      <c r="AA2843" s="3">
        <v>-19255.21</v>
      </c>
      <c r="AB2843">
        <v>1E-4</v>
      </c>
      <c r="AC2843">
        <v>9</v>
      </c>
      <c r="AD2843" s="5">
        <v>4.9486677089390252</v>
      </c>
      <c r="AE2843" s="5">
        <v>2.1438229356742515</v>
      </c>
      <c r="AF2843">
        <v>1</v>
      </c>
    </row>
    <row r="2844" spans="27:32" x14ac:dyDescent="0.3">
      <c r="AA2844" s="3">
        <v>33368.629999999997</v>
      </c>
      <c r="AB2844">
        <v>1E-4</v>
      </c>
      <c r="AC2844">
        <v>7</v>
      </c>
      <c r="AD2844" s="5">
        <v>5.244816428599508</v>
      </c>
      <c r="AE2844" s="5">
        <v>2.2157005898803153</v>
      </c>
      <c r="AF2844">
        <v>1</v>
      </c>
    </row>
    <row r="2845" spans="27:32" x14ac:dyDescent="0.3">
      <c r="AA2845" s="3">
        <v>31899.38</v>
      </c>
      <c r="AB2845">
        <v>1E-4</v>
      </c>
      <c r="AC2845">
        <v>7</v>
      </c>
      <c r="AD2845" s="5">
        <v>5.037762981624442</v>
      </c>
      <c r="AE2845" s="5">
        <v>2.1544564961636929</v>
      </c>
      <c r="AF2845">
        <v>1</v>
      </c>
    </row>
    <row r="2846" spans="27:32" x14ac:dyDescent="0.3">
      <c r="AA2846" s="3">
        <v>-6513.64</v>
      </c>
      <c r="AB2846">
        <v>1E-4</v>
      </c>
      <c r="AC2846">
        <v>9</v>
      </c>
      <c r="AD2846" s="5">
        <v>5.1023095927462405</v>
      </c>
      <c r="AE2846" s="5">
        <v>2.2626839617193637</v>
      </c>
      <c r="AF2846">
        <v>1</v>
      </c>
    </row>
    <row r="2847" spans="27:32" x14ac:dyDescent="0.3">
      <c r="AA2847" s="3">
        <v>10604.22</v>
      </c>
      <c r="AB2847">
        <v>1E-4</v>
      </c>
      <c r="AC2847">
        <v>8</v>
      </c>
      <c r="AD2847" s="5">
        <v>4.951934445752185</v>
      </c>
      <c r="AE2847" s="5">
        <v>2.1201766702177678</v>
      </c>
      <c r="AF2847">
        <v>1</v>
      </c>
    </row>
    <row r="2848" spans="27:32" x14ac:dyDescent="0.3">
      <c r="AA2848" s="3">
        <v>15850.55</v>
      </c>
      <c r="AB2848">
        <v>1E-4</v>
      </c>
      <c r="AC2848">
        <v>8</v>
      </c>
      <c r="AD2848" s="5">
        <v>4.9412068834086478</v>
      </c>
      <c r="AE2848" s="5">
        <v>2.1918707287694743</v>
      </c>
      <c r="AF2848">
        <v>1</v>
      </c>
    </row>
    <row r="2849" spans="27:32" x14ac:dyDescent="0.3">
      <c r="AA2849" s="3">
        <v>32652.91</v>
      </c>
      <c r="AB2849">
        <v>1E-4</v>
      </c>
      <c r="AC2849">
        <v>7</v>
      </c>
      <c r="AD2849" s="5">
        <v>5.0541778346390434</v>
      </c>
      <c r="AE2849" s="5">
        <v>2.2034769306210813</v>
      </c>
      <c r="AF2849">
        <v>1</v>
      </c>
    </row>
    <row r="2850" spans="27:32" x14ac:dyDescent="0.3">
      <c r="AA2850" s="3">
        <v>773.16</v>
      </c>
      <c r="AB2850">
        <v>1E-4</v>
      </c>
      <c r="AC2850">
        <v>8</v>
      </c>
      <c r="AD2850" s="5">
        <v>5.0764222055861135</v>
      </c>
      <c r="AE2850" s="5">
        <v>2.2088554443658572</v>
      </c>
      <c r="AF2850">
        <v>1</v>
      </c>
    </row>
    <row r="2851" spans="27:32" x14ac:dyDescent="0.3">
      <c r="AA2851" s="3">
        <v>4565.0600000000004</v>
      </c>
      <c r="AB2851">
        <v>1E-4</v>
      </c>
      <c r="AC2851">
        <v>8</v>
      </c>
      <c r="AD2851" s="5">
        <v>4.9685858637950142</v>
      </c>
      <c r="AE2851" s="5">
        <v>2.1898284141585505</v>
      </c>
      <c r="AF2851">
        <v>1</v>
      </c>
    </row>
    <row r="2852" spans="27:32" x14ac:dyDescent="0.3">
      <c r="AA2852" s="3">
        <v>26651.79</v>
      </c>
      <c r="AB2852">
        <v>1E-4</v>
      </c>
      <c r="AC2852">
        <v>8</v>
      </c>
      <c r="AD2852" s="5">
        <v>5.0825120412602782</v>
      </c>
      <c r="AE2852" s="5">
        <v>2.2347577341460259</v>
      </c>
      <c r="AF2852">
        <v>1</v>
      </c>
    </row>
    <row r="2853" spans="27:32" x14ac:dyDescent="0.3">
      <c r="AA2853" s="3">
        <v>4472.0200000000004</v>
      </c>
      <c r="AB2853">
        <v>1E-4</v>
      </c>
      <c r="AC2853">
        <v>8</v>
      </c>
      <c r="AD2853" s="5">
        <v>4.9668711178655496</v>
      </c>
      <c r="AE2853" s="5">
        <v>2.2712135367239417</v>
      </c>
      <c r="AF2853">
        <v>1</v>
      </c>
    </row>
    <row r="2854" spans="27:32" x14ac:dyDescent="0.3">
      <c r="AA2854" s="3">
        <v>16863.93</v>
      </c>
      <c r="AB2854">
        <v>1E-4</v>
      </c>
      <c r="AC2854">
        <v>8</v>
      </c>
      <c r="AD2854" s="5">
        <v>4.993888110827883</v>
      </c>
      <c r="AE2854" s="5">
        <v>2.2844630704808995</v>
      </c>
      <c r="AF2854">
        <v>1</v>
      </c>
    </row>
    <row r="2855" spans="27:32" x14ac:dyDescent="0.3">
      <c r="AA2855" s="3">
        <v>11714.51</v>
      </c>
      <c r="AB2855">
        <v>1E-4</v>
      </c>
      <c r="AC2855">
        <v>8</v>
      </c>
      <c r="AD2855" s="5">
        <v>4.8922525919024666</v>
      </c>
      <c r="AE2855" s="5">
        <v>2.2400833601283976</v>
      </c>
      <c r="AF2855">
        <v>1</v>
      </c>
    </row>
    <row r="2856" spans="27:32" x14ac:dyDescent="0.3">
      <c r="AA2856" s="3">
        <v>23708.36</v>
      </c>
      <c r="AB2856">
        <v>1E-4</v>
      </c>
      <c r="AC2856">
        <v>8</v>
      </c>
      <c r="AD2856" s="5">
        <v>5.1312538105207786</v>
      </c>
      <c r="AE2856" s="5">
        <v>2.1790049649806487</v>
      </c>
      <c r="AF2856">
        <v>1</v>
      </c>
    </row>
    <row r="2857" spans="27:32" x14ac:dyDescent="0.3">
      <c r="AA2857" s="3">
        <v>24643.98</v>
      </c>
      <c r="AB2857">
        <v>1E-4</v>
      </c>
      <c r="AC2857">
        <v>8</v>
      </c>
      <c r="AD2857" s="5">
        <v>5.044414713636014</v>
      </c>
      <c r="AE2857" s="5">
        <v>2.1696717927857012</v>
      </c>
      <c r="AF2857">
        <v>1</v>
      </c>
    </row>
    <row r="2858" spans="27:32" x14ac:dyDescent="0.3">
      <c r="AA2858" s="3">
        <v>18510.18</v>
      </c>
      <c r="AB2858">
        <v>1E-4</v>
      </c>
      <c r="AC2858">
        <v>8</v>
      </c>
      <c r="AD2858" s="5">
        <v>4.8882582839845208</v>
      </c>
      <c r="AE2858" s="5">
        <v>2.2318527736903286</v>
      </c>
      <c r="AF2858">
        <v>1</v>
      </c>
    </row>
    <row r="2859" spans="27:32" x14ac:dyDescent="0.3">
      <c r="AA2859" s="3">
        <v>41524.33</v>
      </c>
      <c r="AB2859">
        <v>1E-4</v>
      </c>
      <c r="AC2859">
        <v>7</v>
      </c>
      <c r="AD2859" s="5">
        <v>5.1672487089247685</v>
      </c>
      <c r="AE2859" s="5">
        <v>2.225356189988466</v>
      </c>
      <c r="AF2859">
        <v>1</v>
      </c>
    </row>
    <row r="2860" spans="27:32" x14ac:dyDescent="0.3">
      <c r="AA2860" s="3">
        <v>6693.97</v>
      </c>
      <c r="AB2860">
        <v>1E-4</v>
      </c>
      <c r="AC2860">
        <v>8</v>
      </c>
      <c r="AD2860" s="5">
        <v>5.1162302175859402</v>
      </c>
      <c r="AE2860" s="5">
        <v>2.2725160144462522</v>
      </c>
      <c r="AF2860">
        <v>1</v>
      </c>
    </row>
    <row r="2861" spans="27:32" x14ac:dyDescent="0.3">
      <c r="AA2861" s="3">
        <v>19150.900000000001</v>
      </c>
      <c r="AB2861">
        <v>1E-4</v>
      </c>
      <c r="AC2861">
        <v>8</v>
      </c>
      <c r="AD2861" s="5">
        <v>5.0012554744732762</v>
      </c>
      <c r="AE2861" s="5">
        <v>2.207954821465171</v>
      </c>
      <c r="AF2861">
        <v>1</v>
      </c>
    </row>
    <row r="2862" spans="27:32" x14ac:dyDescent="0.3">
      <c r="AA2862" s="3">
        <v>14433.57</v>
      </c>
      <c r="AB2862">
        <v>1E-4</v>
      </c>
      <c r="AC2862">
        <v>8</v>
      </c>
      <c r="AD2862" s="5">
        <v>4.9727309600339478</v>
      </c>
      <c r="AE2862" s="5">
        <v>2.1675170847893601</v>
      </c>
      <c r="AF2862">
        <v>1</v>
      </c>
    </row>
    <row r="2863" spans="27:32" x14ac:dyDescent="0.3">
      <c r="AA2863" s="3">
        <v>8423.06</v>
      </c>
      <c r="AB2863">
        <v>1E-4</v>
      </c>
      <c r="AC2863">
        <v>8</v>
      </c>
      <c r="AD2863" s="5">
        <v>5.0300840012746404</v>
      </c>
      <c r="AE2863" s="5">
        <v>2.1859207959366795</v>
      </c>
      <c r="AF2863">
        <v>1</v>
      </c>
    </row>
    <row r="2864" spans="27:32" x14ac:dyDescent="0.3">
      <c r="AA2864" s="3">
        <v>-5571.11</v>
      </c>
      <c r="AB2864">
        <v>1E-4</v>
      </c>
      <c r="AC2864">
        <v>9</v>
      </c>
      <c r="AD2864" s="5">
        <v>4.9357331300786393</v>
      </c>
      <c r="AE2864" s="5">
        <v>2.1943689293792303</v>
      </c>
      <c r="AF2864">
        <v>1</v>
      </c>
    </row>
    <row r="2865" spans="27:32" x14ac:dyDescent="0.3">
      <c r="AA2865" s="3">
        <v>41387.51</v>
      </c>
      <c r="AB2865">
        <v>1E-4</v>
      </c>
      <c r="AC2865">
        <v>7</v>
      </c>
      <c r="AD2865" s="5">
        <v>5.2607240129930499</v>
      </c>
      <c r="AE2865" s="5">
        <v>2.1719312895520209</v>
      </c>
      <c r="AF2865">
        <v>1</v>
      </c>
    </row>
    <row r="2866" spans="27:32" x14ac:dyDescent="0.3">
      <c r="AA2866" s="3">
        <v>-6257.67</v>
      </c>
      <c r="AB2866">
        <v>1E-4</v>
      </c>
      <c r="AC2866">
        <v>9</v>
      </c>
      <c r="AD2866" s="5">
        <v>5.1276512936583654</v>
      </c>
      <c r="AE2866" s="5">
        <v>2.3007982398989637</v>
      </c>
      <c r="AF2866">
        <v>1</v>
      </c>
    </row>
    <row r="2867" spans="27:32" x14ac:dyDescent="0.3">
      <c r="AA2867" s="3">
        <v>29728.05</v>
      </c>
      <c r="AB2867">
        <v>1E-4</v>
      </c>
      <c r="AC2867">
        <v>7</v>
      </c>
      <c r="AD2867" s="5">
        <v>5.0570949156695351</v>
      </c>
      <c r="AE2867" s="5">
        <v>2.1596982418877984</v>
      </c>
      <c r="AF2867">
        <v>1</v>
      </c>
    </row>
    <row r="2868" spans="27:32" x14ac:dyDescent="0.3">
      <c r="AA2868" s="3">
        <v>12792.94</v>
      </c>
      <c r="AB2868">
        <v>1E-4</v>
      </c>
      <c r="AC2868">
        <v>8</v>
      </c>
      <c r="AD2868" s="5">
        <v>5.0411482498893978</v>
      </c>
      <c r="AE2868" s="5">
        <v>2.2690753596049973</v>
      </c>
      <c r="AF2868">
        <v>1</v>
      </c>
    </row>
    <row r="2869" spans="27:32" x14ac:dyDescent="0.3">
      <c r="AA2869" s="3">
        <v>12700.46</v>
      </c>
      <c r="AB2869">
        <v>1E-4</v>
      </c>
      <c r="AC2869">
        <v>8</v>
      </c>
      <c r="AD2869" s="5">
        <v>4.8771844123379013</v>
      </c>
      <c r="AE2869" s="5">
        <v>2.2160612004103202</v>
      </c>
      <c r="AF2869">
        <v>1</v>
      </c>
    </row>
    <row r="2870" spans="27:32" x14ac:dyDescent="0.3">
      <c r="AA2870" s="3">
        <v>2356.5700000000002</v>
      </c>
      <c r="AB2870">
        <v>1E-4</v>
      </c>
      <c r="AC2870">
        <v>8</v>
      </c>
      <c r="AD2870" s="5">
        <v>4.9017095001171489</v>
      </c>
      <c r="AE2870" s="5">
        <v>2.2074214587946379</v>
      </c>
      <c r="AF2870">
        <v>1</v>
      </c>
    </row>
    <row r="2871" spans="27:32" x14ac:dyDescent="0.3">
      <c r="AA2871" s="3">
        <v>2966.45</v>
      </c>
      <c r="AB2871">
        <v>1E-4</v>
      </c>
      <c r="AC2871">
        <v>8</v>
      </c>
      <c r="AD2871" s="5">
        <v>5.0580745803130576</v>
      </c>
      <c r="AE2871" s="5">
        <v>2.2865260573663808</v>
      </c>
      <c r="AF2871">
        <v>1</v>
      </c>
    </row>
    <row r="2872" spans="27:32" x14ac:dyDescent="0.3">
      <c r="AA2872" s="3">
        <v>26964.14</v>
      </c>
      <c r="AB2872">
        <v>1E-4</v>
      </c>
      <c r="AC2872">
        <v>8</v>
      </c>
      <c r="AD2872" s="5">
        <v>4.9783912403233384</v>
      </c>
      <c r="AE2872" s="5">
        <v>2.3208690987911731</v>
      </c>
      <c r="AF2872">
        <v>1</v>
      </c>
    </row>
    <row r="2873" spans="27:32" x14ac:dyDescent="0.3">
      <c r="AA2873" s="3">
        <v>-9789.49</v>
      </c>
      <c r="AB2873">
        <v>1E-4</v>
      </c>
      <c r="AC2873">
        <v>9</v>
      </c>
      <c r="AD2873" s="5">
        <v>5.030798798906349</v>
      </c>
      <c r="AE2873" s="5">
        <v>2.1900638831120069</v>
      </c>
      <c r="AF2873">
        <v>1</v>
      </c>
    </row>
    <row r="2874" spans="27:32" x14ac:dyDescent="0.3">
      <c r="AA2874" s="3">
        <v>458.84</v>
      </c>
      <c r="AB2874">
        <v>1E-4</v>
      </c>
      <c r="AC2874">
        <v>8</v>
      </c>
      <c r="AD2874" s="5">
        <v>4.9365343273608371</v>
      </c>
      <c r="AE2874" s="5">
        <v>2.1328721824655892</v>
      </c>
      <c r="AF2874">
        <v>1</v>
      </c>
    </row>
    <row r="2875" spans="27:32" x14ac:dyDescent="0.3">
      <c r="AA2875" s="3">
        <v>14377.24</v>
      </c>
      <c r="AB2875">
        <v>1E-4</v>
      </c>
      <c r="AC2875">
        <v>8</v>
      </c>
      <c r="AD2875" s="5">
        <v>4.9645262191519057</v>
      </c>
      <c r="AE2875" s="5">
        <v>2.1304307550101327</v>
      </c>
      <c r="AF2875">
        <v>1</v>
      </c>
    </row>
    <row r="2876" spans="27:32" x14ac:dyDescent="0.3">
      <c r="AA2876" s="3">
        <v>33305.49</v>
      </c>
      <c r="AB2876">
        <v>1E-4</v>
      </c>
      <c r="AC2876">
        <v>7</v>
      </c>
      <c r="AD2876" s="5">
        <v>5.1175368444784057</v>
      </c>
      <c r="AE2876" s="5">
        <v>2.2287406283580782</v>
      </c>
      <c r="AF2876">
        <v>1</v>
      </c>
    </row>
    <row r="2877" spans="27:32" x14ac:dyDescent="0.3">
      <c r="AA2877" s="3">
        <v>33613.14</v>
      </c>
      <c r="AB2877">
        <v>1E-4</v>
      </c>
      <c r="AC2877">
        <v>7</v>
      </c>
      <c r="AD2877" s="5">
        <v>5.0610098131339942</v>
      </c>
      <c r="AE2877" s="5">
        <v>2.2032762318011692</v>
      </c>
      <c r="AF2877">
        <v>1</v>
      </c>
    </row>
    <row r="2878" spans="27:32" x14ac:dyDescent="0.3">
      <c r="AA2878" s="3">
        <v>41217.339999999997</v>
      </c>
      <c r="AB2878">
        <v>1E-4</v>
      </c>
      <c r="AC2878">
        <v>7</v>
      </c>
      <c r="AD2878" s="5">
        <v>5.1696037110230666</v>
      </c>
      <c r="AE2878" s="5">
        <v>2.2236444422329669</v>
      </c>
      <c r="AF2878">
        <v>1</v>
      </c>
    </row>
    <row r="2879" spans="27:32" x14ac:dyDescent="0.3">
      <c r="AA2879" s="3">
        <v>35910.379999999997</v>
      </c>
      <c r="AB2879">
        <v>1E-4</v>
      </c>
      <c r="AC2879">
        <v>7</v>
      </c>
      <c r="AD2879" s="5">
        <v>5.0609364643391528</v>
      </c>
      <c r="AE2879" s="5">
        <v>2.1896161246870922</v>
      </c>
      <c r="AF2879">
        <v>1</v>
      </c>
    </row>
    <row r="2880" spans="27:32" x14ac:dyDescent="0.3">
      <c r="AA2880" s="3">
        <v>23083.17</v>
      </c>
      <c r="AB2880">
        <v>1E-4</v>
      </c>
      <c r="AC2880">
        <v>8</v>
      </c>
      <c r="AD2880" s="5">
        <v>4.969153128896969</v>
      </c>
      <c r="AE2880" s="5">
        <v>2.2318658726846934</v>
      </c>
      <c r="AF2880">
        <v>1</v>
      </c>
    </row>
    <row r="2881" spans="27:32" x14ac:dyDescent="0.3">
      <c r="AA2881" s="3">
        <v>-19051.87</v>
      </c>
      <c r="AB2881">
        <v>1E-4</v>
      </c>
      <c r="AC2881">
        <v>9</v>
      </c>
      <c r="AD2881" s="5">
        <v>4.757824578035196</v>
      </c>
      <c r="AE2881" s="5">
        <v>2.1836935671619813</v>
      </c>
      <c r="AF2881">
        <v>1</v>
      </c>
    </row>
    <row r="2882" spans="27:32" x14ac:dyDescent="0.3">
      <c r="AA2882" s="3">
        <v>24656.18</v>
      </c>
      <c r="AB2882">
        <v>1E-4</v>
      </c>
      <c r="AC2882">
        <v>8</v>
      </c>
      <c r="AD2882" s="5">
        <v>5.0508571707906764</v>
      </c>
      <c r="AE2882" s="5">
        <v>2.1625088784296693</v>
      </c>
      <c r="AF2882">
        <v>1</v>
      </c>
    </row>
    <row r="2883" spans="27:32" x14ac:dyDescent="0.3">
      <c r="AA2883" s="3">
        <v>28996.47</v>
      </c>
      <c r="AB2883">
        <v>1E-4</v>
      </c>
      <c r="AC2883">
        <v>8</v>
      </c>
      <c r="AD2883" s="5">
        <v>4.8226623865967158</v>
      </c>
      <c r="AE2883" s="5">
        <v>2.1859903732246173</v>
      </c>
      <c r="AF2883">
        <v>1</v>
      </c>
    </row>
    <row r="2884" spans="27:32" x14ac:dyDescent="0.3">
      <c r="AA2884" s="3">
        <v>5940.93</v>
      </c>
      <c r="AB2884">
        <v>1E-4</v>
      </c>
      <c r="AC2884">
        <v>8</v>
      </c>
      <c r="AD2884" s="5">
        <v>4.8598145514298796</v>
      </c>
      <c r="AE2884" s="5">
        <v>2.2574947367534333</v>
      </c>
      <c r="AF2884">
        <v>1</v>
      </c>
    </row>
    <row r="2885" spans="27:32" x14ac:dyDescent="0.3">
      <c r="AA2885" s="3">
        <v>8528.2900000000009</v>
      </c>
      <c r="AB2885">
        <v>1E-4</v>
      </c>
      <c r="AC2885">
        <v>8</v>
      </c>
      <c r="AD2885" s="5">
        <v>5.0047654695094446</v>
      </c>
      <c r="AE2885" s="5">
        <v>2.2919655829586532</v>
      </c>
      <c r="AF2885">
        <v>1</v>
      </c>
    </row>
    <row r="2886" spans="27:32" x14ac:dyDescent="0.3">
      <c r="AA2886" s="3">
        <v>34904.93</v>
      </c>
      <c r="AB2886">
        <v>1E-4</v>
      </c>
      <c r="AC2886">
        <v>7</v>
      </c>
      <c r="AD2886" s="5">
        <v>5.0019308580166824</v>
      </c>
      <c r="AE2886" s="5">
        <v>2.147287904937067</v>
      </c>
      <c r="AF2886">
        <v>1</v>
      </c>
    </row>
    <row r="2887" spans="27:32" x14ac:dyDescent="0.3">
      <c r="AA2887" s="3">
        <v>-2476.1</v>
      </c>
      <c r="AB2887">
        <v>1E-4</v>
      </c>
      <c r="AC2887">
        <v>9</v>
      </c>
      <c r="AD2887" s="5">
        <v>4.8901483995725776</v>
      </c>
      <c r="AE2887" s="5">
        <v>2.1860954019771905</v>
      </c>
      <c r="AF2887">
        <v>1</v>
      </c>
    </row>
    <row r="2888" spans="27:32" x14ac:dyDescent="0.3">
      <c r="AA2888" s="3">
        <v>27713.23</v>
      </c>
      <c r="AB2888">
        <v>1E-4</v>
      </c>
      <c r="AC2888">
        <v>8</v>
      </c>
      <c r="AD2888" s="5">
        <v>5.0139172170505866</v>
      </c>
      <c r="AE2888" s="5">
        <v>2.1726805866838692</v>
      </c>
      <c r="AF2888">
        <v>1</v>
      </c>
    </row>
    <row r="2889" spans="27:32" x14ac:dyDescent="0.3">
      <c r="AA2889" s="3">
        <v>-1889.89</v>
      </c>
      <c r="AB2889">
        <v>1E-4</v>
      </c>
      <c r="AC2889">
        <v>9</v>
      </c>
      <c r="AD2889" s="5">
        <v>5.0062714924234291</v>
      </c>
      <c r="AE2889" s="5">
        <v>2.2599841943831125</v>
      </c>
      <c r="AF2889">
        <v>1</v>
      </c>
    </row>
    <row r="2890" spans="27:32" x14ac:dyDescent="0.3">
      <c r="AA2890" s="3">
        <v>20237.759999999998</v>
      </c>
      <c r="AB2890">
        <v>1E-4</v>
      </c>
      <c r="AC2890">
        <v>8</v>
      </c>
      <c r="AD2890" s="5">
        <v>4.8918742304085958</v>
      </c>
      <c r="AE2890" s="5">
        <v>2.1644254980424842</v>
      </c>
      <c r="AF2890">
        <v>1</v>
      </c>
    </row>
    <row r="2891" spans="27:32" x14ac:dyDescent="0.3">
      <c r="AA2891" s="3">
        <v>20419.93</v>
      </c>
      <c r="AB2891">
        <v>1E-4</v>
      </c>
      <c r="AC2891">
        <v>8</v>
      </c>
      <c r="AD2891" s="5">
        <v>5.060240854496918</v>
      </c>
      <c r="AE2891" s="5">
        <v>2.2338805427062045</v>
      </c>
      <c r="AF2891">
        <v>1</v>
      </c>
    </row>
    <row r="2892" spans="27:32" x14ac:dyDescent="0.3">
      <c r="AA2892" s="3">
        <v>29108.65</v>
      </c>
      <c r="AB2892">
        <v>1E-4</v>
      </c>
      <c r="AC2892">
        <v>8</v>
      </c>
      <c r="AD2892" s="5">
        <v>5.1629400717868714</v>
      </c>
      <c r="AE2892" s="5">
        <v>2.2551215966226845</v>
      </c>
      <c r="AF2892">
        <v>1</v>
      </c>
    </row>
    <row r="2893" spans="27:32" x14ac:dyDescent="0.3">
      <c r="AA2893" s="3">
        <v>8158.25</v>
      </c>
      <c r="AB2893">
        <v>1E-4</v>
      </c>
      <c r="AC2893">
        <v>8</v>
      </c>
      <c r="AD2893" s="5">
        <v>5.0838167055746188</v>
      </c>
      <c r="AE2893" s="5">
        <v>2.1972916670271938</v>
      </c>
      <c r="AF2893">
        <v>1</v>
      </c>
    </row>
    <row r="2894" spans="27:32" x14ac:dyDescent="0.3">
      <c r="AA2894" s="3">
        <v>24849.83</v>
      </c>
      <c r="AB2894">
        <v>1E-4</v>
      </c>
      <c r="AC2894">
        <v>8</v>
      </c>
      <c r="AD2894" s="5">
        <v>4.8615502638889048</v>
      </c>
      <c r="AE2894" s="5">
        <v>2.1562309299902838</v>
      </c>
      <c r="AF2894">
        <v>1</v>
      </c>
    </row>
    <row r="2895" spans="27:32" x14ac:dyDescent="0.3">
      <c r="AA2895" s="3">
        <v>4336.46</v>
      </c>
      <c r="AB2895">
        <v>1E-4</v>
      </c>
      <c r="AC2895">
        <v>8</v>
      </c>
      <c r="AD2895" s="5">
        <v>4.853057744451112</v>
      </c>
      <c r="AE2895" s="5">
        <v>2.1619262567099953</v>
      </c>
      <c r="AF2895">
        <v>1</v>
      </c>
    </row>
    <row r="2896" spans="27:32" x14ac:dyDescent="0.3">
      <c r="AA2896" s="3">
        <v>-9782.5499999999993</v>
      </c>
      <c r="AB2896">
        <v>1E-4</v>
      </c>
      <c r="AC2896">
        <v>9</v>
      </c>
      <c r="AD2896" s="5">
        <v>4.900627291891297</v>
      </c>
      <c r="AE2896" s="5">
        <v>2.2442634921334594</v>
      </c>
      <c r="AF2896">
        <v>1</v>
      </c>
    </row>
    <row r="2897" spans="27:32" x14ac:dyDescent="0.3">
      <c r="AA2897" s="3">
        <v>23796.82</v>
      </c>
      <c r="AB2897">
        <v>1E-4</v>
      </c>
      <c r="AC2897">
        <v>8</v>
      </c>
      <c r="AD2897" s="5">
        <v>5.0130212725108203</v>
      </c>
      <c r="AE2897" s="5">
        <v>2.1619566066173395</v>
      </c>
      <c r="AF2897">
        <v>1</v>
      </c>
    </row>
    <row r="2898" spans="27:32" x14ac:dyDescent="0.3">
      <c r="AA2898" s="3">
        <v>18992.84</v>
      </c>
      <c r="AB2898">
        <v>1E-4</v>
      </c>
      <c r="AC2898">
        <v>8</v>
      </c>
      <c r="AD2898" s="5">
        <v>4.9908955044096723</v>
      </c>
      <c r="AE2898" s="5">
        <v>2.1900708767468671</v>
      </c>
      <c r="AF2898">
        <v>1</v>
      </c>
    </row>
    <row r="2899" spans="27:32" x14ac:dyDescent="0.3">
      <c r="AA2899" s="3">
        <v>-14411.11</v>
      </c>
      <c r="AB2899">
        <v>1E-4</v>
      </c>
      <c r="AC2899">
        <v>9</v>
      </c>
      <c r="AD2899" s="5">
        <v>4.8817488639764752</v>
      </c>
      <c r="AE2899" s="5">
        <v>2.2162869377864345</v>
      </c>
      <c r="AF2899">
        <v>1</v>
      </c>
    </row>
    <row r="2900" spans="27:32" x14ac:dyDescent="0.3">
      <c r="AA2900" s="3">
        <v>22312.65</v>
      </c>
      <c r="AB2900">
        <v>1E-4</v>
      </c>
      <c r="AC2900">
        <v>8</v>
      </c>
      <c r="AD2900" s="5">
        <v>5.0758622064373506</v>
      </c>
      <c r="AE2900" s="5">
        <v>2.235748672258612</v>
      </c>
      <c r="AF2900">
        <v>1</v>
      </c>
    </row>
    <row r="2901" spans="27:32" x14ac:dyDescent="0.3">
      <c r="AA2901" s="3">
        <v>-2866.46</v>
      </c>
      <c r="AB2901">
        <v>1E-4</v>
      </c>
      <c r="AC2901">
        <v>9</v>
      </c>
      <c r="AD2901" s="5">
        <v>4.9956366220955015</v>
      </c>
      <c r="AE2901" s="5">
        <v>2.2068526887540281</v>
      </c>
      <c r="AF2901">
        <v>1</v>
      </c>
    </row>
    <row r="2902" spans="27:32" x14ac:dyDescent="0.3">
      <c r="AA2902" s="3">
        <v>47163.8</v>
      </c>
      <c r="AB2902">
        <v>1E-4</v>
      </c>
      <c r="AC2902">
        <v>7</v>
      </c>
      <c r="AD2902" s="5">
        <v>5.1713059500882741</v>
      </c>
      <c r="AE2902" s="5">
        <v>2.1209190166880076</v>
      </c>
      <c r="AF2902">
        <v>1</v>
      </c>
    </row>
    <row r="2903" spans="27:32" x14ac:dyDescent="0.3">
      <c r="AA2903" s="3">
        <v>10964.04</v>
      </c>
      <c r="AB2903">
        <v>1E-4</v>
      </c>
      <c r="AC2903">
        <v>8</v>
      </c>
      <c r="AD2903" s="5">
        <v>5.0458765371685335</v>
      </c>
      <c r="AE2903" s="5">
        <v>2.1791861581891259</v>
      </c>
      <c r="AF2903">
        <v>1</v>
      </c>
    </row>
    <row r="2904" spans="27:32" x14ac:dyDescent="0.3">
      <c r="AA2904" s="3">
        <v>12734.26</v>
      </c>
      <c r="AB2904">
        <v>1E-4</v>
      </c>
      <c r="AC2904">
        <v>8</v>
      </c>
      <c r="AD2904" s="5">
        <v>4.8560164582067795</v>
      </c>
      <c r="AE2904" s="5">
        <v>2.1719834417055628</v>
      </c>
      <c r="AF2904">
        <v>1</v>
      </c>
    </row>
    <row r="2905" spans="27:32" x14ac:dyDescent="0.3">
      <c r="AA2905" s="3">
        <v>17770.3</v>
      </c>
      <c r="AB2905">
        <v>1E-4</v>
      </c>
      <c r="AC2905">
        <v>8</v>
      </c>
      <c r="AD2905" s="5">
        <v>5.1430715014498913</v>
      </c>
      <c r="AE2905" s="5">
        <v>2.2312242287643804</v>
      </c>
      <c r="AF2905">
        <v>1</v>
      </c>
    </row>
    <row r="2906" spans="27:32" x14ac:dyDescent="0.3">
      <c r="AA2906" s="3">
        <v>32956.839999999997</v>
      </c>
      <c r="AB2906">
        <v>1E-4</v>
      </c>
      <c r="AC2906">
        <v>7</v>
      </c>
      <c r="AD2906" s="5">
        <v>5.0007790487155415</v>
      </c>
      <c r="AE2906" s="5">
        <v>2.2312695378109808</v>
      </c>
      <c r="AF2906">
        <v>1</v>
      </c>
    </row>
    <row r="2907" spans="27:32" x14ac:dyDescent="0.3">
      <c r="AA2907" s="3">
        <v>23370.68</v>
      </c>
      <c r="AB2907">
        <v>1E-4</v>
      </c>
      <c r="AC2907">
        <v>8</v>
      </c>
      <c r="AD2907" s="5">
        <v>4.9321359300269494</v>
      </c>
      <c r="AE2907" s="5">
        <v>2.2066816976989059</v>
      </c>
      <c r="AF2907">
        <v>1</v>
      </c>
    </row>
    <row r="2908" spans="27:32" x14ac:dyDescent="0.3">
      <c r="AA2908" s="3">
        <v>33986.31</v>
      </c>
      <c r="AB2908">
        <v>1E-4</v>
      </c>
      <c r="AC2908">
        <v>7</v>
      </c>
      <c r="AD2908" s="5">
        <v>4.8508870183002362</v>
      </c>
      <c r="AE2908" s="5">
        <v>2.2017965026447617</v>
      </c>
      <c r="AF2908">
        <v>1</v>
      </c>
    </row>
    <row r="2909" spans="27:32" x14ac:dyDescent="0.3">
      <c r="AA2909" s="3">
        <v>29909.27</v>
      </c>
      <c r="AB2909">
        <v>1E-4</v>
      </c>
      <c r="AC2909">
        <v>8</v>
      </c>
      <c r="AD2909" s="5">
        <v>4.9644635557212791</v>
      </c>
      <c r="AE2909" s="5">
        <v>2.1828682389351881</v>
      </c>
      <c r="AF2909">
        <v>1</v>
      </c>
    </row>
    <row r="2910" spans="27:32" x14ac:dyDescent="0.3">
      <c r="AA2910" s="3">
        <v>18978.509999999998</v>
      </c>
      <c r="AB2910">
        <v>1E-4</v>
      </c>
      <c r="AC2910">
        <v>8</v>
      </c>
      <c r="AD2910" s="5">
        <v>4.9836027140215204</v>
      </c>
      <c r="AE2910" s="5">
        <v>2.2984845946153691</v>
      </c>
      <c r="AF2910">
        <v>1</v>
      </c>
    </row>
    <row r="2911" spans="27:32" x14ac:dyDescent="0.3">
      <c r="AA2911" s="3">
        <v>10876.5</v>
      </c>
      <c r="AB2911">
        <v>1E-4</v>
      </c>
      <c r="AC2911">
        <v>8</v>
      </c>
      <c r="AD2911" s="5">
        <v>5.1354683651705546</v>
      </c>
      <c r="AE2911" s="5">
        <v>2.1744923342261733</v>
      </c>
      <c r="AF2911">
        <v>1</v>
      </c>
    </row>
    <row r="2912" spans="27:32" x14ac:dyDescent="0.3">
      <c r="AA2912" s="3">
        <v>50587.199999999997</v>
      </c>
      <c r="AB2912">
        <v>1E-4</v>
      </c>
      <c r="AC2912">
        <v>7</v>
      </c>
      <c r="AD2912" s="5">
        <v>5.0843793842652145</v>
      </c>
      <c r="AE2912" s="5">
        <v>2.1002003855360525</v>
      </c>
      <c r="AF2912">
        <v>1</v>
      </c>
    </row>
    <row r="2913" spans="27:32" x14ac:dyDescent="0.3">
      <c r="AA2913" s="3">
        <v>-2952.31</v>
      </c>
      <c r="AB2913">
        <v>1E-4</v>
      </c>
      <c r="AC2913">
        <v>9</v>
      </c>
      <c r="AD2913" s="5">
        <v>5.0080379106497359</v>
      </c>
      <c r="AE2913" s="5">
        <v>2.1702218133906137</v>
      </c>
      <c r="AF2913">
        <v>1</v>
      </c>
    </row>
    <row r="2914" spans="27:32" x14ac:dyDescent="0.3">
      <c r="AA2914" s="3">
        <v>3321.42</v>
      </c>
      <c r="AB2914">
        <v>1E-4</v>
      </c>
      <c r="AC2914">
        <v>8</v>
      </c>
      <c r="AD2914" s="5">
        <v>4.8494197926938991</v>
      </c>
      <c r="AE2914" s="5">
        <v>2.2960079038915522</v>
      </c>
      <c r="AF2914">
        <v>1</v>
      </c>
    </row>
    <row r="2915" spans="27:32" x14ac:dyDescent="0.3">
      <c r="AA2915" s="3">
        <v>748.91</v>
      </c>
      <c r="AB2915">
        <v>1E-4</v>
      </c>
      <c r="AC2915">
        <v>8</v>
      </c>
      <c r="AD2915" s="5">
        <v>4.9333629135522283</v>
      </c>
      <c r="AE2915" s="5">
        <v>2.2570884423765243</v>
      </c>
      <c r="AF2915">
        <v>1</v>
      </c>
    </row>
    <row r="2916" spans="27:32" x14ac:dyDescent="0.3">
      <c r="AA2916" s="3">
        <v>19177.259999999998</v>
      </c>
      <c r="AB2916">
        <v>1E-4</v>
      </c>
      <c r="AC2916">
        <v>8</v>
      </c>
      <c r="AD2916" s="5">
        <v>5.0980724374693462</v>
      </c>
      <c r="AE2916" s="5">
        <v>2.2212302033627513</v>
      </c>
      <c r="AF2916">
        <v>1</v>
      </c>
    </row>
    <row r="2917" spans="27:32" x14ac:dyDescent="0.3">
      <c r="AA2917" s="3">
        <v>8122.73</v>
      </c>
      <c r="AB2917">
        <v>1E-4</v>
      </c>
      <c r="AC2917">
        <v>8</v>
      </c>
      <c r="AD2917" s="5">
        <v>5.0468174454694896</v>
      </c>
      <c r="AE2917" s="5">
        <v>2.1894499292273624</v>
      </c>
      <c r="AF2917">
        <v>1</v>
      </c>
    </row>
    <row r="2918" spans="27:32" x14ac:dyDescent="0.3">
      <c r="AA2918" s="3">
        <v>11674.3</v>
      </c>
      <c r="AB2918">
        <v>1E-4</v>
      </c>
      <c r="AC2918">
        <v>8</v>
      </c>
      <c r="AD2918" s="5">
        <v>5.1220743390854198</v>
      </c>
      <c r="AE2918" s="5">
        <v>2.0997982644644502</v>
      </c>
      <c r="AF2918">
        <v>1</v>
      </c>
    </row>
    <row r="2919" spans="27:32" x14ac:dyDescent="0.3">
      <c r="AA2919" s="3">
        <v>45267.62</v>
      </c>
      <c r="AB2919">
        <v>1E-4</v>
      </c>
      <c r="AC2919">
        <v>7</v>
      </c>
      <c r="AD2919" s="5">
        <v>5.011835526696486</v>
      </c>
      <c r="AE2919" s="5">
        <v>2.2273122578189644</v>
      </c>
      <c r="AF2919">
        <v>1</v>
      </c>
    </row>
    <row r="2920" spans="27:32" x14ac:dyDescent="0.3">
      <c r="AA2920" s="3">
        <v>2533.58</v>
      </c>
      <c r="AB2920">
        <v>1E-4</v>
      </c>
      <c r="AC2920">
        <v>8</v>
      </c>
      <c r="AD2920" s="5">
        <v>4.9837839441663805</v>
      </c>
      <c r="AE2920" s="5">
        <v>2.2974263479660744</v>
      </c>
      <c r="AF2920">
        <v>1</v>
      </c>
    </row>
    <row r="2921" spans="27:32" x14ac:dyDescent="0.3">
      <c r="AA2921" s="3">
        <v>53679.94</v>
      </c>
      <c r="AB2921">
        <v>1E-4</v>
      </c>
      <c r="AC2921">
        <v>6</v>
      </c>
      <c r="AD2921" s="5">
        <v>5.2355328635299605</v>
      </c>
      <c r="AE2921" s="5">
        <v>2.2843725816846874</v>
      </c>
      <c r="AF2921">
        <v>1</v>
      </c>
    </row>
    <row r="2922" spans="27:32" x14ac:dyDescent="0.3">
      <c r="AA2922" s="3">
        <v>32043.119999999999</v>
      </c>
      <c r="AB2922">
        <v>1E-4</v>
      </c>
      <c r="AC2922">
        <v>7</v>
      </c>
      <c r="AD2922" s="5">
        <v>5.0707233592945569</v>
      </c>
      <c r="AE2922" s="5">
        <v>2.1391003506068036</v>
      </c>
      <c r="AF2922">
        <v>1</v>
      </c>
    </row>
    <row r="2923" spans="27:32" x14ac:dyDescent="0.3">
      <c r="AA2923" s="3">
        <v>30136.15</v>
      </c>
      <c r="AB2923">
        <v>1E-4</v>
      </c>
      <c r="AC2923">
        <v>8</v>
      </c>
      <c r="AD2923" s="5">
        <v>5.094151221851992</v>
      </c>
      <c r="AE2923" s="5">
        <v>2.1508891674909929</v>
      </c>
      <c r="AF2923">
        <v>1</v>
      </c>
    </row>
    <row r="2924" spans="27:32" x14ac:dyDescent="0.3">
      <c r="AA2924" s="3">
        <v>21732.78</v>
      </c>
      <c r="AB2924">
        <v>1E-4</v>
      </c>
      <c r="AC2924">
        <v>8</v>
      </c>
      <c r="AD2924" s="5">
        <v>4.934748699548928</v>
      </c>
      <c r="AE2924" s="5">
        <v>2.1139292601624327</v>
      </c>
      <c r="AF2924">
        <v>1</v>
      </c>
    </row>
    <row r="2925" spans="27:32" x14ac:dyDescent="0.3">
      <c r="AA2925" s="3">
        <v>-5591.11</v>
      </c>
      <c r="AB2925">
        <v>1E-4</v>
      </c>
      <c r="AC2925">
        <v>9</v>
      </c>
      <c r="AD2925" s="5">
        <v>4.8948112922425722</v>
      </c>
      <c r="AE2925" s="5">
        <v>2.2366788002220841</v>
      </c>
      <c r="AF2925">
        <v>1</v>
      </c>
    </row>
    <row r="2926" spans="27:32" x14ac:dyDescent="0.3">
      <c r="AA2926" s="3">
        <v>13428.1</v>
      </c>
      <c r="AB2926">
        <v>1E-4</v>
      </c>
      <c r="AC2926">
        <v>8</v>
      </c>
      <c r="AD2926" s="5">
        <v>5.0409043170204386</v>
      </c>
      <c r="AE2926" s="5">
        <v>2.1153979558296871</v>
      </c>
      <c r="AF2926">
        <v>1</v>
      </c>
    </row>
    <row r="2927" spans="27:32" x14ac:dyDescent="0.3">
      <c r="AA2927" s="3">
        <v>50600.84</v>
      </c>
      <c r="AB2927">
        <v>1E-4</v>
      </c>
      <c r="AC2927">
        <v>6</v>
      </c>
      <c r="AD2927" s="5">
        <v>5.0295481725218298</v>
      </c>
      <c r="AE2927" s="5">
        <v>2.205998874593353</v>
      </c>
      <c r="AF2927">
        <v>1</v>
      </c>
    </row>
    <row r="2928" spans="27:32" x14ac:dyDescent="0.3">
      <c r="AA2928" s="3">
        <v>31946.53</v>
      </c>
      <c r="AB2928">
        <v>1E-4</v>
      </c>
      <c r="AC2928">
        <v>7</v>
      </c>
      <c r="AD2928" s="5">
        <v>4.9848001728779305</v>
      </c>
      <c r="AE2928" s="5">
        <v>2.1411772002356497</v>
      </c>
      <c r="AF2928">
        <v>1</v>
      </c>
    </row>
    <row r="2929" spans="27:32" x14ac:dyDescent="0.3">
      <c r="AA2929" s="3">
        <v>-17717.87</v>
      </c>
      <c r="AB2929">
        <v>1E-4</v>
      </c>
      <c r="AC2929">
        <v>9</v>
      </c>
      <c r="AD2929" s="5">
        <v>4.9240940866046632</v>
      </c>
      <c r="AE2929" s="5">
        <v>2.2225830937457176</v>
      </c>
      <c r="AF2929">
        <v>1</v>
      </c>
    </row>
    <row r="2930" spans="27:32" x14ac:dyDescent="0.3">
      <c r="AA2930" s="3">
        <v>30237.82</v>
      </c>
      <c r="AB2930">
        <v>1E-4</v>
      </c>
      <c r="AC2930">
        <v>8</v>
      </c>
      <c r="AD2930" s="5">
        <v>5.1659518169725214</v>
      </c>
      <c r="AE2930" s="5">
        <v>2.2241696554566301</v>
      </c>
      <c r="AF2930">
        <v>1</v>
      </c>
    </row>
    <row r="2931" spans="27:32" x14ac:dyDescent="0.3">
      <c r="AA2931" s="3">
        <v>34892.949999999997</v>
      </c>
      <c r="AB2931">
        <v>1E-4</v>
      </c>
      <c r="AC2931">
        <v>7</v>
      </c>
      <c r="AD2931" s="5">
        <v>5.0906955360150175</v>
      </c>
      <c r="AE2931" s="5">
        <v>2.1868836602706834</v>
      </c>
      <c r="AF2931">
        <v>1</v>
      </c>
    </row>
    <row r="2932" spans="27:32" x14ac:dyDescent="0.3">
      <c r="AA2932" s="3">
        <v>13888.77</v>
      </c>
      <c r="AB2932">
        <v>1E-4</v>
      </c>
      <c r="AC2932">
        <v>8</v>
      </c>
      <c r="AD2932" s="5">
        <v>5.0655299545287864</v>
      </c>
      <c r="AE2932" s="5">
        <v>2.2463613549672039</v>
      </c>
      <c r="AF2932">
        <v>1</v>
      </c>
    </row>
    <row r="2933" spans="27:32" x14ac:dyDescent="0.3">
      <c r="AA2933" s="3">
        <v>7449.22</v>
      </c>
      <c r="AB2933">
        <v>1E-4</v>
      </c>
      <c r="AC2933">
        <v>8</v>
      </c>
      <c r="AD2933" s="5">
        <v>5.0308657978148101</v>
      </c>
      <c r="AE2933" s="5">
        <v>2.247701787272034</v>
      </c>
      <c r="AF2933">
        <v>1</v>
      </c>
    </row>
    <row r="2934" spans="27:32" x14ac:dyDescent="0.3">
      <c r="AA2934" s="3">
        <v>32955.120000000003</v>
      </c>
      <c r="AB2934">
        <v>1E-4</v>
      </c>
      <c r="AC2934">
        <v>7</v>
      </c>
      <c r="AD2934" s="5">
        <v>4.9938126385807751</v>
      </c>
      <c r="AE2934" s="5">
        <v>2.2554233405154047</v>
      </c>
      <c r="AF2934">
        <v>1</v>
      </c>
    </row>
    <row r="2935" spans="27:32" x14ac:dyDescent="0.3">
      <c r="AA2935" s="3">
        <v>25110.25</v>
      </c>
      <c r="AB2935">
        <v>1E-4</v>
      </c>
      <c r="AC2935">
        <v>8</v>
      </c>
      <c r="AD2935" s="5">
        <v>4.8727835039921237</v>
      </c>
      <c r="AE2935" s="5">
        <v>2.2221406989634365</v>
      </c>
      <c r="AF2935">
        <v>1</v>
      </c>
    </row>
    <row r="2936" spans="27:32" x14ac:dyDescent="0.3">
      <c r="AA2936" s="3">
        <v>23005.38</v>
      </c>
      <c r="AB2936">
        <v>1E-4</v>
      </c>
      <c r="AC2936">
        <v>8</v>
      </c>
      <c r="AD2936" s="5">
        <v>4.9674798618736498</v>
      </c>
      <c r="AE2936" s="5">
        <v>2.1545925305445879</v>
      </c>
      <c r="AF2936">
        <v>1</v>
      </c>
    </row>
    <row r="2937" spans="27:32" x14ac:dyDescent="0.3">
      <c r="AA2937" s="3">
        <v>13654.56</v>
      </c>
      <c r="AB2937">
        <v>1E-4</v>
      </c>
      <c r="AC2937">
        <v>8</v>
      </c>
      <c r="AD2937" s="5">
        <v>4.9964703296669946</v>
      </c>
      <c r="AE2937" s="5">
        <v>2.2274219893045277</v>
      </c>
      <c r="AF2937">
        <v>1</v>
      </c>
    </row>
    <row r="2938" spans="27:32" x14ac:dyDescent="0.3">
      <c r="AA2938" s="3">
        <v>-11362.62</v>
      </c>
      <c r="AB2938">
        <v>1E-4</v>
      </c>
      <c r="AC2938">
        <v>9</v>
      </c>
      <c r="AD2938" s="5">
        <v>4.8140376032864616</v>
      </c>
      <c r="AE2938" s="5">
        <v>2.1510208286208119</v>
      </c>
      <c r="AF2938">
        <v>1</v>
      </c>
    </row>
    <row r="2939" spans="27:32" x14ac:dyDescent="0.3">
      <c r="AA2939" s="3">
        <v>32852.730000000003</v>
      </c>
      <c r="AB2939">
        <v>1E-4</v>
      </c>
      <c r="AC2939">
        <v>7</v>
      </c>
      <c r="AD2939" s="5">
        <v>5.0763139105673947</v>
      </c>
      <c r="AE2939" s="5">
        <v>2.232957434135721</v>
      </c>
      <c r="AF2939">
        <v>1</v>
      </c>
    </row>
    <row r="2940" spans="27:32" x14ac:dyDescent="0.3">
      <c r="AA2940" s="3">
        <v>8533.4</v>
      </c>
      <c r="AB2940">
        <v>1E-4</v>
      </c>
      <c r="AC2940">
        <v>8</v>
      </c>
      <c r="AD2940" s="5">
        <v>5.0663260507000949</v>
      </c>
      <c r="AE2940" s="5">
        <v>2.1827506816404996</v>
      </c>
      <c r="AF2940">
        <v>1</v>
      </c>
    </row>
    <row r="2941" spans="27:32" x14ac:dyDescent="0.3">
      <c r="AA2941" s="3">
        <v>-21664.54</v>
      </c>
      <c r="AB2941">
        <v>1E-4</v>
      </c>
      <c r="AC2941">
        <v>9</v>
      </c>
      <c r="AD2941" s="5">
        <v>5.0944808502676189</v>
      </c>
      <c r="AE2941" s="5">
        <v>2.2167981191941495</v>
      </c>
      <c r="AF2941">
        <v>1</v>
      </c>
    </row>
    <row r="2942" spans="27:32" x14ac:dyDescent="0.3">
      <c r="AA2942" s="3">
        <v>25513.93</v>
      </c>
      <c r="AB2942">
        <v>1E-4</v>
      </c>
      <c r="AC2942">
        <v>8</v>
      </c>
      <c r="AD2942" s="5">
        <v>4.9966007281382021</v>
      </c>
      <c r="AE2942" s="5">
        <v>2.3166411657741834</v>
      </c>
      <c r="AF2942">
        <v>1</v>
      </c>
    </row>
    <row r="2943" spans="27:32" x14ac:dyDescent="0.3">
      <c r="AA2943" s="3">
        <v>26703.64</v>
      </c>
      <c r="AB2943">
        <v>1E-4</v>
      </c>
      <c r="AC2943">
        <v>8</v>
      </c>
      <c r="AD2943" s="5">
        <v>4.9932669831947987</v>
      </c>
      <c r="AE2943" s="5">
        <v>2.1710551279417301</v>
      </c>
      <c r="AF2943">
        <v>1</v>
      </c>
    </row>
    <row r="2944" spans="27:32" x14ac:dyDescent="0.3">
      <c r="AA2944" s="3">
        <v>35454.639999999999</v>
      </c>
      <c r="AB2944">
        <v>1E-4</v>
      </c>
      <c r="AC2944">
        <v>7</v>
      </c>
      <c r="AD2944" s="5">
        <v>4.9076299774651728</v>
      </c>
      <c r="AE2944" s="5">
        <v>2.2259697575240143</v>
      </c>
      <c r="AF2944">
        <v>1</v>
      </c>
    </row>
    <row r="2945" spans="27:32" x14ac:dyDescent="0.3">
      <c r="AA2945" s="3">
        <v>42083.81</v>
      </c>
      <c r="AB2945">
        <v>1E-4</v>
      </c>
      <c r="AC2945">
        <v>7</v>
      </c>
      <c r="AD2945" s="5">
        <v>5.133953394223731</v>
      </c>
      <c r="AE2945" s="5">
        <v>2.2092354825214953</v>
      </c>
      <c r="AF2945">
        <v>1</v>
      </c>
    </row>
    <row r="2946" spans="27:32" x14ac:dyDescent="0.3">
      <c r="AA2946" s="3">
        <v>-5356.96</v>
      </c>
      <c r="AB2946">
        <v>1E-4</v>
      </c>
      <c r="AC2946">
        <v>9</v>
      </c>
      <c r="AD2946" s="5">
        <v>5.0338238711967724</v>
      </c>
      <c r="AE2946" s="5">
        <v>2.2347745820665019</v>
      </c>
      <c r="AF2946">
        <v>1</v>
      </c>
    </row>
    <row r="2947" spans="27:32" x14ac:dyDescent="0.3">
      <c r="AA2947" s="3">
        <v>42746.54</v>
      </c>
      <c r="AB2947">
        <v>1E-4</v>
      </c>
      <c r="AC2947">
        <v>7</v>
      </c>
      <c r="AD2947" s="5">
        <v>4.9999679372744197</v>
      </c>
      <c r="AE2947" s="5">
        <v>2.1666699025824472</v>
      </c>
      <c r="AF2947">
        <v>1</v>
      </c>
    </row>
    <row r="2948" spans="27:32" x14ac:dyDescent="0.3">
      <c r="AA2948" s="3">
        <v>11345.72</v>
      </c>
      <c r="AB2948">
        <v>1E-4</v>
      </c>
      <c r="AC2948">
        <v>8</v>
      </c>
      <c r="AD2948" s="5">
        <v>5.1074212917154638</v>
      </c>
      <c r="AE2948" s="5">
        <v>2.2213037855579603</v>
      </c>
      <c r="AF2948">
        <v>1</v>
      </c>
    </row>
    <row r="2949" spans="27:32" x14ac:dyDescent="0.3">
      <c r="AA2949" s="3">
        <v>15892.06</v>
      </c>
      <c r="AB2949">
        <v>1E-4</v>
      </c>
      <c r="AC2949">
        <v>8</v>
      </c>
      <c r="AD2949" s="5">
        <v>4.900257594279104</v>
      </c>
      <c r="AE2949" s="5">
        <v>2.2713277895691348</v>
      </c>
      <c r="AF2949">
        <v>1</v>
      </c>
    </row>
    <row r="2950" spans="27:32" x14ac:dyDescent="0.3">
      <c r="AA2950" s="3">
        <v>-5763.6741416544446</v>
      </c>
      <c r="AB2950">
        <v>1E-4</v>
      </c>
      <c r="AC2950">
        <v>8</v>
      </c>
      <c r="AD2950" s="5">
        <v>5.078735996412818</v>
      </c>
      <c r="AE2950" s="5">
        <v>2.1785207954810746</v>
      </c>
      <c r="AF2950">
        <v>0</v>
      </c>
    </row>
    <row r="2951" spans="27:32" x14ac:dyDescent="0.3">
      <c r="AA2951" s="3">
        <v>12370.95</v>
      </c>
      <c r="AB2951">
        <v>1E-4</v>
      </c>
      <c r="AC2951">
        <v>8</v>
      </c>
      <c r="AD2951" s="5">
        <v>5.0647949383844306</v>
      </c>
      <c r="AE2951" s="5">
        <v>2.1307911157724178</v>
      </c>
      <c r="AF2951">
        <v>1</v>
      </c>
    </row>
    <row r="2952" spans="27:32" x14ac:dyDescent="0.3">
      <c r="AA2952" s="3">
        <v>29978.04</v>
      </c>
      <c r="AB2952">
        <v>1E-4</v>
      </c>
      <c r="AC2952">
        <v>8</v>
      </c>
      <c r="AD2952" s="5">
        <v>4.9578461334684958</v>
      </c>
      <c r="AE2952" s="5">
        <v>2.2083205645566926</v>
      </c>
      <c r="AF2952">
        <v>1</v>
      </c>
    </row>
    <row r="2953" spans="27:32" x14ac:dyDescent="0.3">
      <c r="AA2953" s="3">
        <v>9303.9599999999991</v>
      </c>
      <c r="AB2953">
        <v>1E-4</v>
      </c>
      <c r="AC2953">
        <v>8</v>
      </c>
      <c r="AD2953" s="5">
        <v>4.9742357657383121</v>
      </c>
      <c r="AE2953" s="5">
        <v>2.161034700964318</v>
      </c>
      <c r="AF2953">
        <v>1</v>
      </c>
    </row>
    <row r="2954" spans="27:32" x14ac:dyDescent="0.3">
      <c r="AA2954" s="3">
        <v>30611.95</v>
      </c>
      <c r="AB2954">
        <v>1E-4</v>
      </c>
      <c r="AC2954">
        <v>8</v>
      </c>
      <c r="AD2954" s="5">
        <v>5.1608875741678082</v>
      </c>
      <c r="AE2954" s="5">
        <v>2.1635490534384449</v>
      </c>
      <c r="AF2954">
        <v>1</v>
      </c>
    </row>
    <row r="2955" spans="27:32" x14ac:dyDescent="0.3">
      <c r="AA2955" s="3">
        <v>-2852.8947989237913</v>
      </c>
      <c r="AB2955">
        <v>1E-4</v>
      </c>
      <c r="AC2955">
        <v>8</v>
      </c>
      <c r="AD2955" s="5">
        <v>5.0219294725645005</v>
      </c>
      <c r="AE2955" s="5">
        <v>2.1814572709161197</v>
      </c>
      <c r="AF2955">
        <v>0</v>
      </c>
    </row>
    <row r="2956" spans="27:32" x14ac:dyDescent="0.3">
      <c r="AA2956" s="3">
        <v>24612.92</v>
      </c>
      <c r="AB2956">
        <v>1E-4</v>
      </c>
      <c r="AC2956">
        <v>8</v>
      </c>
      <c r="AD2956" s="5">
        <v>5.0469295586827627</v>
      </c>
      <c r="AE2956" s="5">
        <v>2.1872888599212996</v>
      </c>
      <c r="AF2956">
        <v>1</v>
      </c>
    </row>
    <row r="2957" spans="27:32" x14ac:dyDescent="0.3">
      <c r="AA2957" s="3">
        <v>37136.910000000003</v>
      </c>
      <c r="AB2957">
        <v>1E-4</v>
      </c>
      <c r="AC2957">
        <v>7</v>
      </c>
      <c r="AD2957" s="5">
        <v>4.9990421179956668</v>
      </c>
      <c r="AE2957" s="5">
        <v>2.1807611187851146</v>
      </c>
      <c r="AF2957">
        <v>1</v>
      </c>
    </row>
    <row r="2958" spans="27:32" x14ac:dyDescent="0.3">
      <c r="AA2958" s="3">
        <v>35854.300000000003</v>
      </c>
      <c r="AB2958">
        <v>1E-4</v>
      </c>
      <c r="AC2958">
        <v>7</v>
      </c>
      <c r="AD2958" s="5">
        <v>5.1432122100125826</v>
      </c>
      <c r="AE2958" s="5">
        <v>2.2377636928353537</v>
      </c>
      <c r="AF2958">
        <v>1</v>
      </c>
    </row>
    <row r="2959" spans="27:32" x14ac:dyDescent="0.3">
      <c r="AA2959" s="3">
        <v>27198.16</v>
      </c>
      <c r="AB2959">
        <v>1E-4</v>
      </c>
      <c r="AC2959">
        <v>8</v>
      </c>
      <c r="AD2959" s="5">
        <v>5.0216002572637706</v>
      </c>
      <c r="AE2959" s="5">
        <v>2.1732256799231879</v>
      </c>
      <c r="AF2959">
        <v>1</v>
      </c>
    </row>
    <row r="2960" spans="27:32" x14ac:dyDescent="0.3">
      <c r="AA2960" s="3">
        <v>14101.57</v>
      </c>
      <c r="AB2960">
        <v>1E-4</v>
      </c>
      <c r="AC2960">
        <v>8</v>
      </c>
      <c r="AD2960" s="5">
        <v>5.0079720199056998</v>
      </c>
      <c r="AE2960" s="5">
        <v>2.1783534132253606</v>
      </c>
      <c r="AF2960">
        <v>1</v>
      </c>
    </row>
    <row r="2961" spans="27:32" x14ac:dyDescent="0.3">
      <c r="AA2961" s="3">
        <v>5065.57</v>
      </c>
      <c r="AB2961">
        <v>1E-4</v>
      </c>
      <c r="AC2961">
        <v>8</v>
      </c>
      <c r="AD2961" s="5">
        <v>4.9080382580062345</v>
      </c>
      <c r="AE2961" s="5">
        <v>2.2054169296876744</v>
      </c>
      <c r="AF2961">
        <v>1</v>
      </c>
    </row>
    <row r="2962" spans="27:32" x14ac:dyDescent="0.3">
      <c r="AA2962" s="3">
        <v>3935.05</v>
      </c>
      <c r="AB2962">
        <v>1E-4</v>
      </c>
      <c r="AC2962">
        <v>8</v>
      </c>
      <c r="AD2962" s="5">
        <v>4.7828218439203578</v>
      </c>
      <c r="AE2962" s="5">
        <v>2.2165388322232751</v>
      </c>
      <c r="AF2962">
        <v>1</v>
      </c>
    </row>
    <row r="2963" spans="27:32" x14ac:dyDescent="0.3">
      <c r="AA2963" s="3">
        <v>18028.34</v>
      </c>
      <c r="AB2963">
        <v>1E-4</v>
      </c>
      <c r="AC2963">
        <v>8</v>
      </c>
      <c r="AD2963" s="5">
        <v>4.995374495677245</v>
      </c>
      <c r="AE2963" s="5">
        <v>2.2361213731551941</v>
      </c>
      <c r="AF2963">
        <v>1</v>
      </c>
    </row>
    <row r="2964" spans="27:32" x14ac:dyDescent="0.3">
      <c r="AA2964" s="3">
        <v>36562.980000000003</v>
      </c>
      <c r="AB2964">
        <v>1E-4</v>
      </c>
      <c r="AC2964">
        <v>7</v>
      </c>
      <c r="AD2964" s="5">
        <v>5.0892186548235543</v>
      </c>
      <c r="AE2964" s="5">
        <v>2.1608023627333548</v>
      </c>
      <c r="AF2964">
        <v>1</v>
      </c>
    </row>
    <row r="2965" spans="27:32" x14ac:dyDescent="0.3">
      <c r="AA2965" s="3">
        <v>18974.04</v>
      </c>
      <c r="AB2965">
        <v>1E-4</v>
      </c>
      <c r="AC2965">
        <v>8</v>
      </c>
      <c r="AD2965" s="5">
        <v>5.3192742215121749</v>
      </c>
      <c r="AE2965" s="5">
        <v>2.3046694661986074</v>
      </c>
      <c r="AF2965">
        <v>1</v>
      </c>
    </row>
    <row r="2966" spans="27:32" x14ac:dyDescent="0.3">
      <c r="AA2966" s="3">
        <v>27537.98</v>
      </c>
      <c r="AB2966">
        <v>1E-4</v>
      </c>
      <c r="AC2966">
        <v>8</v>
      </c>
      <c r="AD2966" s="5">
        <v>5.0250671653564192</v>
      </c>
      <c r="AE2966" s="5">
        <v>2.206809493694557</v>
      </c>
      <c r="AF2966">
        <v>1</v>
      </c>
    </row>
    <row r="2967" spans="27:32" x14ac:dyDescent="0.3">
      <c r="AA2967" s="3">
        <v>9245.07</v>
      </c>
      <c r="AB2967">
        <v>1E-4</v>
      </c>
      <c r="AC2967">
        <v>8</v>
      </c>
      <c r="AD2967" s="5">
        <v>4.9940757974506544</v>
      </c>
      <c r="AE2967" s="5">
        <v>2.1715614269839416</v>
      </c>
      <c r="AF2967">
        <v>1</v>
      </c>
    </row>
    <row r="2968" spans="27:32" x14ac:dyDescent="0.3">
      <c r="AA2968" s="3">
        <v>35790.79</v>
      </c>
      <c r="AB2968">
        <v>1E-4</v>
      </c>
      <c r="AC2968">
        <v>7</v>
      </c>
      <c r="AD2968" s="5">
        <v>5.1230062953720603</v>
      </c>
      <c r="AE2968" s="5">
        <v>2.2395222790433023</v>
      </c>
      <c r="AF2968">
        <v>1</v>
      </c>
    </row>
    <row r="2969" spans="27:32" x14ac:dyDescent="0.3">
      <c r="AA2969" s="3">
        <v>17191.82</v>
      </c>
      <c r="AB2969">
        <v>1E-4</v>
      </c>
      <c r="AC2969">
        <v>8</v>
      </c>
      <c r="AD2969" s="5">
        <v>5.0355178775248195</v>
      </c>
      <c r="AE2969" s="5">
        <v>2.2334834849522962</v>
      </c>
      <c r="AF2969">
        <v>1</v>
      </c>
    </row>
    <row r="2970" spans="27:32" x14ac:dyDescent="0.3">
      <c r="AA2970" s="3">
        <v>37817.18</v>
      </c>
      <c r="AB2970">
        <v>1E-4</v>
      </c>
      <c r="AC2970">
        <v>7</v>
      </c>
      <c r="AD2970" s="5">
        <v>5.197391172968767</v>
      </c>
      <c r="AE2970" s="5">
        <v>2.2754467250560104</v>
      </c>
      <c r="AF2970">
        <v>1</v>
      </c>
    </row>
    <row r="2971" spans="27:32" x14ac:dyDescent="0.3">
      <c r="AA2971" s="3">
        <v>18825.28</v>
      </c>
      <c r="AB2971">
        <v>1E-4</v>
      </c>
      <c r="AC2971">
        <v>8</v>
      </c>
      <c r="AD2971" s="5">
        <v>5.0213985889691228</v>
      </c>
      <c r="AE2971" s="5">
        <v>2.260956055518808</v>
      </c>
      <c r="AF2971">
        <v>1</v>
      </c>
    </row>
    <row r="2972" spans="27:32" x14ac:dyDescent="0.3">
      <c r="AA2972" s="3">
        <v>26818.43</v>
      </c>
      <c r="AB2972">
        <v>1E-4</v>
      </c>
      <c r="AC2972">
        <v>8</v>
      </c>
      <c r="AD2972" s="5">
        <v>5.1530187044390496</v>
      </c>
      <c r="AE2972" s="5">
        <v>2.223234516735781</v>
      </c>
      <c r="AF2972">
        <v>1</v>
      </c>
    </row>
    <row r="2973" spans="27:32" x14ac:dyDescent="0.3">
      <c r="AA2973" s="3">
        <v>5607.25</v>
      </c>
      <c r="AB2973">
        <v>1E-4</v>
      </c>
      <c r="AC2973">
        <v>8</v>
      </c>
      <c r="AD2973" s="5">
        <v>4.9773812677215439</v>
      </c>
      <c r="AE2973" s="5">
        <v>2.2141190204348362</v>
      </c>
      <c r="AF2973">
        <v>1</v>
      </c>
    </row>
    <row r="2974" spans="27:32" x14ac:dyDescent="0.3">
      <c r="AA2974" s="3">
        <v>67912.53</v>
      </c>
      <c r="AB2974">
        <v>1E-4</v>
      </c>
      <c r="AC2974">
        <v>5</v>
      </c>
      <c r="AD2974" s="5">
        <v>4.9166232546196973</v>
      </c>
      <c r="AE2974" s="5">
        <v>2.1941905984532308</v>
      </c>
      <c r="AF2974">
        <v>1</v>
      </c>
    </row>
    <row r="2975" spans="27:32" x14ac:dyDescent="0.3">
      <c r="AA2975" s="3">
        <v>17077.099999999999</v>
      </c>
      <c r="AB2975">
        <v>1E-4</v>
      </c>
      <c r="AC2975">
        <v>8</v>
      </c>
      <c r="AD2975" s="5">
        <v>4.9992336056335622</v>
      </c>
      <c r="AE2975" s="5">
        <v>2.1907510669112589</v>
      </c>
      <c r="AF2975">
        <v>1</v>
      </c>
    </row>
    <row r="2976" spans="27:32" x14ac:dyDescent="0.3">
      <c r="AA2976" s="3">
        <v>19857.87</v>
      </c>
      <c r="AB2976">
        <v>1E-4</v>
      </c>
      <c r="AC2976">
        <v>8</v>
      </c>
      <c r="AD2976" s="5">
        <v>5.0549882493291518</v>
      </c>
      <c r="AE2976" s="5">
        <v>2.1585106036682826</v>
      </c>
      <c r="AF2976">
        <v>1</v>
      </c>
    </row>
    <row r="2977" spans="27:32" x14ac:dyDescent="0.3">
      <c r="AA2977" s="3">
        <v>-24929.98</v>
      </c>
      <c r="AB2977">
        <v>1E-4</v>
      </c>
      <c r="AC2977">
        <v>9</v>
      </c>
      <c r="AD2977" s="5">
        <v>4.9368530739878009</v>
      </c>
      <c r="AE2977" s="5">
        <v>2.1804239138642059</v>
      </c>
      <c r="AF2977">
        <v>1</v>
      </c>
    </row>
    <row r="2978" spans="27:32" x14ac:dyDescent="0.3">
      <c r="AA2978" s="3">
        <v>239.82</v>
      </c>
      <c r="AB2978">
        <v>1E-4</v>
      </c>
      <c r="AC2978">
        <v>8</v>
      </c>
      <c r="AD2978" s="5">
        <v>4.8379647403479051</v>
      </c>
      <c r="AE2978" s="5">
        <v>2.1448032611251251</v>
      </c>
      <c r="AF2978">
        <v>1</v>
      </c>
    </row>
    <row r="2979" spans="27:32" x14ac:dyDescent="0.3">
      <c r="AA2979" s="3">
        <v>18796.169999999998</v>
      </c>
      <c r="AB2979">
        <v>1E-4</v>
      </c>
      <c r="AC2979">
        <v>8</v>
      </c>
      <c r="AD2979" s="5">
        <v>5.0929641504027483</v>
      </c>
      <c r="AE2979" s="5">
        <v>2.2309616227640201</v>
      </c>
      <c r="AF2979">
        <v>1</v>
      </c>
    </row>
    <row r="2980" spans="27:32" x14ac:dyDescent="0.3">
      <c r="AA2980" s="3">
        <v>-8488.81</v>
      </c>
      <c r="AB2980">
        <v>1E-4</v>
      </c>
      <c r="AC2980">
        <v>9</v>
      </c>
      <c r="AD2980" s="5">
        <v>5.0595932569051554</v>
      </c>
      <c r="AE2980" s="5">
        <v>2.2489800739082551</v>
      </c>
      <c r="AF2980">
        <v>1</v>
      </c>
    </row>
    <row r="2981" spans="27:32" x14ac:dyDescent="0.3">
      <c r="AA2981" s="3">
        <v>6327.94</v>
      </c>
      <c r="AB2981">
        <v>1E-4</v>
      </c>
      <c r="AC2981">
        <v>8</v>
      </c>
      <c r="AD2981" s="5">
        <v>4.8934688138900535</v>
      </c>
      <c r="AE2981" s="5">
        <v>2.2373212120287311</v>
      </c>
      <c r="AF2981">
        <v>1</v>
      </c>
    </row>
    <row r="2982" spans="27:32" x14ac:dyDescent="0.3">
      <c r="AA2982" s="3">
        <v>-1375.94</v>
      </c>
      <c r="AB2982">
        <v>1E-4</v>
      </c>
      <c r="AC2982">
        <v>9</v>
      </c>
      <c r="AD2982" s="5">
        <v>4.867258535988821</v>
      </c>
      <c r="AE2982" s="5">
        <v>2.1801034675860635</v>
      </c>
      <c r="AF2982">
        <v>1</v>
      </c>
    </row>
    <row r="2983" spans="27:32" x14ac:dyDescent="0.3">
      <c r="AA2983" s="3">
        <v>-4552.95</v>
      </c>
      <c r="AB2983">
        <v>1E-4</v>
      </c>
      <c r="AC2983">
        <v>9</v>
      </c>
      <c r="AD2983" s="5">
        <v>4.999338072002681</v>
      </c>
      <c r="AE2983" s="5">
        <v>2.229003858969461</v>
      </c>
      <c r="AF2983">
        <v>1</v>
      </c>
    </row>
    <row r="2984" spans="27:32" x14ac:dyDescent="0.3">
      <c r="AA2984" s="3">
        <v>-3119.18</v>
      </c>
      <c r="AB2984">
        <v>1E-4</v>
      </c>
      <c r="AC2984">
        <v>9</v>
      </c>
      <c r="AD2984" s="5">
        <v>4.9203262057069077</v>
      </c>
      <c r="AE2984" s="5">
        <v>2.2575100547988298</v>
      </c>
      <c r="AF2984">
        <v>1</v>
      </c>
    </row>
    <row r="2985" spans="27:32" x14ac:dyDescent="0.3">
      <c r="AA2985" s="3">
        <v>50505.07</v>
      </c>
      <c r="AB2985">
        <v>1E-4</v>
      </c>
      <c r="AC2985">
        <v>7</v>
      </c>
      <c r="AD2985" s="5">
        <v>5.1821123127205988</v>
      </c>
      <c r="AE2985" s="5">
        <v>2.2040445358909122</v>
      </c>
      <c r="AF2985">
        <v>1</v>
      </c>
    </row>
    <row r="2986" spans="27:32" x14ac:dyDescent="0.3">
      <c r="AA2986" s="3">
        <v>22926.240000000002</v>
      </c>
      <c r="AB2986">
        <v>1E-4</v>
      </c>
      <c r="AC2986">
        <v>8</v>
      </c>
      <c r="AD2986" s="5">
        <v>4.9982737316952628</v>
      </c>
      <c r="AE2986" s="5">
        <v>2.2250822167813396</v>
      </c>
      <c r="AF2986">
        <v>1</v>
      </c>
    </row>
    <row r="2987" spans="27:32" x14ac:dyDescent="0.3">
      <c r="AA2987" s="3">
        <v>28255.73</v>
      </c>
      <c r="AB2987">
        <v>1E-4</v>
      </c>
      <c r="AC2987">
        <v>8</v>
      </c>
      <c r="AD2987" s="5">
        <v>4.9764001837966694</v>
      </c>
      <c r="AE2987" s="5">
        <v>2.2139468929162236</v>
      </c>
      <c r="AF2987">
        <v>1</v>
      </c>
    </row>
    <row r="2988" spans="27:32" x14ac:dyDescent="0.3">
      <c r="AA2988" s="3">
        <v>9354.65</v>
      </c>
      <c r="AB2988">
        <v>1E-4</v>
      </c>
      <c r="AC2988">
        <v>8</v>
      </c>
      <c r="AD2988" s="5">
        <v>5.0817717783702578</v>
      </c>
      <c r="AE2988" s="5">
        <v>2.1960618114891131</v>
      </c>
      <c r="AF2988">
        <v>1</v>
      </c>
    </row>
    <row r="2989" spans="27:32" x14ac:dyDescent="0.3">
      <c r="AA2989" s="3">
        <v>-8644.81</v>
      </c>
      <c r="AB2989">
        <v>1E-4</v>
      </c>
      <c r="AC2989">
        <v>9</v>
      </c>
      <c r="AD2989" s="5">
        <v>4.9681974953714514</v>
      </c>
      <c r="AE2989" s="5">
        <v>2.1960664673635022</v>
      </c>
      <c r="AF2989">
        <v>1</v>
      </c>
    </row>
    <row r="2990" spans="27:32" x14ac:dyDescent="0.3">
      <c r="AA2990" s="3">
        <v>11105.24</v>
      </c>
      <c r="AB2990">
        <v>1E-4</v>
      </c>
      <c r="AC2990">
        <v>8</v>
      </c>
      <c r="AD2990" s="5">
        <v>4.9188149650248452</v>
      </c>
      <c r="AE2990" s="5">
        <v>2.2006517058967887</v>
      </c>
      <c r="AF2990">
        <v>1</v>
      </c>
    </row>
    <row r="2991" spans="27:32" x14ac:dyDescent="0.3">
      <c r="AA2991" s="3">
        <v>29012.31</v>
      </c>
      <c r="AB2991">
        <v>1E-4</v>
      </c>
      <c r="AC2991">
        <v>8</v>
      </c>
      <c r="AD2991" s="5">
        <v>5.1910089327808846</v>
      </c>
      <c r="AE2991" s="5">
        <v>2.2077993015501329</v>
      </c>
      <c r="AF2991">
        <v>1</v>
      </c>
    </row>
    <row r="2992" spans="27:32" x14ac:dyDescent="0.3">
      <c r="AA2992" s="3">
        <v>37616.99</v>
      </c>
      <c r="AB2992">
        <v>1E-4</v>
      </c>
      <c r="AC2992">
        <v>7</v>
      </c>
      <c r="AD2992" s="5">
        <v>5.041013102788229</v>
      </c>
      <c r="AE2992" s="5">
        <v>2.1593209271981073</v>
      </c>
      <c r="AF2992">
        <v>1</v>
      </c>
    </row>
    <row r="2993" spans="27:32" x14ac:dyDescent="0.3">
      <c r="AA2993" s="3">
        <v>21723.95</v>
      </c>
      <c r="AB2993">
        <v>1E-4</v>
      </c>
      <c r="AC2993">
        <v>8</v>
      </c>
      <c r="AD2993" s="5">
        <v>4.9016083541781406</v>
      </c>
      <c r="AE2993" s="5">
        <v>2.1792112876442236</v>
      </c>
      <c r="AF2993">
        <v>1</v>
      </c>
    </row>
    <row r="2994" spans="27:32" x14ac:dyDescent="0.3">
      <c r="AA2994" s="3">
        <v>3935.14</v>
      </c>
      <c r="AB2994">
        <v>1E-4</v>
      </c>
      <c r="AC2994">
        <v>8</v>
      </c>
      <c r="AD2994" s="5">
        <v>5.0947594067151538</v>
      </c>
      <c r="AE2994" s="5">
        <v>2.1620453236513719</v>
      </c>
      <c r="AF2994">
        <v>1</v>
      </c>
    </row>
    <row r="2995" spans="27:32" x14ac:dyDescent="0.3">
      <c r="AA2995" s="3">
        <v>21740.53</v>
      </c>
      <c r="AB2995">
        <v>1E-4</v>
      </c>
      <c r="AC2995">
        <v>8</v>
      </c>
      <c r="AD2995" s="5">
        <v>4.9675632346401573</v>
      </c>
      <c r="AE2995" s="5">
        <v>2.2519306127467305</v>
      </c>
      <c r="AF2995">
        <v>1</v>
      </c>
    </row>
    <row r="2996" spans="27:32" x14ac:dyDescent="0.3">
      <c r="AA2996" s="3">
        <v>11684.4</v>
      </c>
      <c r="AB2996">
        <v>1E-4</v>
      </c>
      <c r="AC2996">
        <v>8</v>
      </c>
      <c r="AD2996" s="5">
        <v>4.9065945871245678</v>
      </c>
      <c r="AE2996" s="5">
        <v>2.2390552989430552</v>
      </c>
      <c r="AF2996">
        <v>1</v>
      </c>
    </row>
    <row r="2997" spans="27:32" x14ac:dyDescent="0.3">
      <c r="AA2997" s="3">
        <v>24186.080000000002</v>
      </c>
      <c r="AB2997">
        <v>1E-4</v>
      </c>
      <c r="AC2997">
        <v>8</v>
      </c>
      <c r="AD2997" s="5">
        <v>5.0299695740887724</v>
      </c>
      <c r="AE2997" s="5">
        <v>2.195913551099959</v>
      </c>
      <c r="AF2997">
        <v>1</v>
      </c>
    </row>
    <row r="2998" spans="27:32" x14ac:dyDescent="0.3">
      <c r="AA2998" s="3">
        <v>41237.949999999997</v>
      </c>
      <c r="AB2998">
        <v>1E-4</v>
      </c>
      <c r="AC2998">
        <v>7</v>
      </c>
      <c r="AD2998" s="5">
        <v>4.98461197261358</v>
      </c>
      <c r="AE2998" s="5">
        <v>2.1970695681405088</v>
      </c>
      <c r="AF2998">
        <v>1</v>
      </c>
    </row>
    <row r="2999" spans="27:32" x14ac:dyDescent="0.3">
      <c r="AA2999" s="3">
        <v>23396.03</v>
      </c>
      <c r="AB2999">
        <v>1E-4</v>
      </c>
      <c r="AC2999">
        <v>8</v>
      </c>
      <c r="AD2999" s="5">
        <v>4.9842398218659474</v>
      </c>
      <c r="AE2999" s="5">
        <v>2.1905653156404625</v>
      </c>
      <c r="AF2999">
        <v>1</v>
      </c>
    </row>
    <row r="3000" spans="27:32" x14ac:dyDescent="0.3">
      <c r="AA3000" s="3">
        <v>-6879.59</v>
      </c>
      <c r="AB3000">
        <v>1E-4</v>
      </c>
      <c r="AC3000">
        <v>9</v>
      </c>
      <c r="AD3000" s="5">
        <v>5.0326844296873094</v>
      </c>
      <c r="AE3000" s="5">
        <v>2.1828868183288859</v>
      </c>
      <c r="AF3000">
        <v>1</v>
      </c>
    </row>
    <row r="3001" spans="27:32" x14ac:dyDescent="0.3">
      <c r="AA3001" s="3">
        <v>26740.57</v>
      </c>
      <c r="AB3001">
        <v>1E-4</v>
      </c>
      <c r="AC3001">
        <v>8</v>
      </c>
      <c r="AD3001" s="5">
        <v>4.9811512039318897</v>
      </c>
      <c r="AE3001" s="5">
        <v>2.2010601356152479</v>
      </c>
      <c r="AF3001">
        <v>1</v>
      </c>
    </row>
    <row r="3002" spans="27:32" x14ac:dyDescent="0.3">
      <c r="AA3002" s="3">
        <v>14874.9</v>
      </c>
      <c r="AB3002">
        <v>1E-4</v>
      </c>
      <c r="AC3002">
        <v>8</v>
      </c>
      <c r="AD3002" s="5">
        <v>4.993347056334871</v>
      </c>
      <c r="AE3002" s="5">
        <v>2.1739720005849619</v>
      </c>
      <c r="AF3002">
        <v>1</v>
      </c>
    </row>
    <row r="3003" spans="27:32" x14ac:dyDescent="0.3">
      <c r="AA3003" s="3">
        <v>-8618.83</v>
      </c>
      <c r="AB3003">
        <v>1E-4</v>
      </c>
      <c r="AC3003">
        <v>9</v>
      </c>
      <c r="AD3003" s="5">
        <v>4.8618051299070313</v>
      </c>
      <c r="AE3003" s="5">
        <v>2.2331890363479387</v>
      </c>
      <c r="AF3003">
        <v>1</v>
      </c>
    </row>
    <row r="3004" spans="27:32" x14ac:dyDescent="0.3">
      <c r="AA3004" s="3">
        <v>29979.54</v>
      </c>
      <c r="AB3004">
        <v>1E-4</v>
      </c>
      <c r="AC3004">
        <v>8</v>
      </c>
      <c r="AD3004" s="5">
        <v>4.9586612304981115</v>
      </c>
      <c r="AE3004" s="5">
        <v>2.1775449876526269</v>
      </c>
      <c r="AF3004">
        <v>1</v>
      </c>
    </row>
    <row r="3005" spans="27:32" x14ac:dyDescent="0.3">
      <c r="AA3005" s="3">
        <v>-8936.14</v>
      </c>
      <c r="AB3005">
        <v>1E-4</v>
      </c>
      <c r="AC3005">
        <v>9</v>
      </c>
      <c r="AD3005" s="5">
        <v>5.0511597107222723</v>
      </c>
      <c r="AE3005" s="5">
        <v>2.2959012085452235</v>
      </c>
      <c r="AF3005">
        <v>1</v>
      </c>
    </row>
    <row r="3006" spans="27:32" x14ac:dyDescent="0.3">
      <c r="AA3006" s="3">
        <v>-222.14</v>
      </c>
      <c r="AB3006">
        <v>1E-4</v>
      </c>
      <c r="AC3006">
        <v>9</v>
      </c>
      <c r="AD3006" s="5">
        <v>4.9318182220869211</v>
      </c>
      <c r="AE3006" s="5">
        <v>2.2828446300328009</v>
      </c>
      <c r="AF3006">
        <v>1</v>
      </c>
    </row>
    <row r="3007" spans="27:32" x14ac:dyDescent="0.3">
      <c r="AA3007" s="3">
        <v>21716.65</v>
      </c>
      <c r="AB3007">
        <v>1E-4</v>
      </c>
      <c r="AC3007">
        <v>8</v>
      </c>
      <c r="AD3007" s="5">
        <v>5.174766081988726</v>
      </c>
      <c r="AE3007" s="5">
        <v>2.2170808276085765</v>
      </c>
      <c r="AF3007">
        <v>1</v>
      </c>
    </row>
    <row r="3008" spans="27:32" x14ac:dyDescent="0.3">
      <c r="AA3008" s="3">
        <v>-8237.5499999999993</v>
      </c>
      <c r="AB3008">
        <v>1E-4</v>
      </c>
      <c r="AC3008">
        <v>9</v>
      </c>
      <c r="AD3008" s="5">
        <v>4.9972145170021438</v>
      </c>
      <c r="AE3008" s="5">
        <v>2.2590122179019154</v>
      </c>
      <c r="AF3008">
        <v>1</v>
      </c>
    </row>
    <row r="3009" spans="27:32" x14ac:dyDescent="0.3">
      <c r="AA3009" s="3">
        <v>3995.89</v>
      </c>
      <c r="AB3009">
        <v>1E-4</v>
      </c>
      <c r="AC3009">
        <v>8</v>
      </c>
      <c r="AD3009" s="5">
        <v>4.8650665516264411</v>
      </c>
      <c r="AE3009" s="5">
        <v>2.2613651517364732</v>
      </c>
      <c r="AF3009">
        <v>1</v>
      </c>
    </row>
    <row r="3010" spans="27:32" x14ac:dyDescent="0.3">
      <c r="AA3010" s="3">
        <v>48056.35</v>
      </c>
      <c r="AB3010">
        <v>1E-4</v>
      </c>
      <c r="AC3010">
        <v>7</v>
      </c>
      <c r="AD3010" s="5">
        <v>5.0859875164499542</v>
      </c>
      <c r="AE3010" s="5">
        <v>2.2346924905227814</v>
      </c>
      <c r="AF3010">
        <v>1</v>
      </c>
    </row>
    <row r="3011" spans="27:32" x14ac:dyDescent="0.3">
      <c r="AA3011" s="3">
        <v>31805.1</v>
      </c>
      <c r="AB3011">
        <v>1E-4</v>
      </c>
      <c r="AC3011">
        <v>7</v>
      </c>
      <c r="AD3011" s="5">
        <v>4.9843265086019324</v>
      </c>
      <c r="AE3011" s="5">
        <v>2.1612759734287157</v>
      </c>
      <c r="AF3011">
        <v>1</v>
      </c>
    </row>
    <row r="3012" spans="27:32" x14ac:dyDescent="0.3">
      <c r="AA3012" s="3">
        <v>14032.08</v>
      </c>
      <c r="AB3012">
        <v>1E-4</v>
      </c>
      <c r="AC3012">
        <v>8</v>
      </c>
      <c r="AD3012" s="5">
        <v>4.9497873068074147</v>
      </c>
      <c r="AE3012" s="5">
        <v>2.239125257404821</v>
      </c>
      <c r="AF3012">
        <v>1</v>
      </c>
    </row>
    <row r="3013" spans="27:32" x14ac:dyDescent="0.3">
      <c r="AA3013" s="3">
        <v>23351.279999999999</v>
      </c>
      <c r="AB3013">
        <v>1E-4</v>
      </c>
      <c r="AC3013">
        <v>8</v>
      </c>
      <c r="AD3013" s="5">
        <v>4.9733979417079341</v>
      </c>
      <c r="AE3013" s="5">
        <v>2.2496687224791247</v>
      </c>
      <c r="AF3013">
        <v>1</v>
      </c>
    </row>
    <row r="3014" spans="27:32" x14ac:dyDescent="0.3">
      <c r="AA3014" s="3">
        <v>41784.31</v>
      </c>
      <c r="AB3014">
        <v>1E-4</v>
      </c>
      <c r="AC3014">
        <v>7</v>
      </c>
      <c r="AD3014" s="5">
        <v>5.1587426782892045</v>
      </c>
      <c r="AE3014" s="5">
        <v>2.1674613126158055</v>
      </c>
      <c r="AF3014">
        <v>1</v>
      </c>
    </row>
    <row r="3015" spans="27:32" x14ac:dyDescent="0.3">
      <c r="AA3015" s="3">
        <v>22910.02</v>
      </c>
      <c r="AB3015">
        <v>1E-4</v>
      </c>
      <c r="AC3015">
        <v>8</v>
      </c>
      <c r="AD3015" s="5">
        <v>4.8409752617166797</v>
      </c>
      <c r="AE3015" s="5">
        <v>2.1790314490058122</v>
      </c>
      <c r="AF3015">
        <v>1</v>
      </c>
    </row>
    <row r="3016" spans="27:32" x14ac:dyDescent="0.3">
      <c r="AA3016" s="3">
        <v>6454.98</v>
      </c>
      <c r="AB3016">
        <v>1E-4</v>
      </c>
      <c r="AC3016">
        <v>8</v>
      </c>
      <c r="AD3016" s="5">
        <v>4.9299107909010349</v>
      </c>
      <c r="AE3016" s="5">
        <v>2.2134875644312437</v>
      </c>
      <c r="AF3016">
        <v>1</v>
      </c>
    </row>
    <row r="3017" spans="27:32" x14ac:dyDescent="0.3">
      <c r="AA3017" s="3">
        <v>20520.259999999998</v>
      </c>
      <c r="AB3017">
        <v>1E-4</v>
      </c>
      <c r="AC3017">
        <v>8</v>
      </c>
      <c r="AD3017" s="5">
        <v>4.8746140798196382</v>
      </c>
      <c r="AE3017" s="5">
        <v>2.0900462197946874</v>
      </c>
      <c r="AF3017">
        <v>1</v>
      </c>
    </row>
    <row r="3018" spans="27:32" x14ac:dyDescent="0.3">
      <c r="AA3018" s="3">
        <v>3626.61</v>
      </c>
      <c r="AB3018">
        <v>1E-4</v>
      </c>
      <c r="AC3018">
        <v>8</v>
      </c>
      <c r="AD3018" s="5">
        <v>4.9438946219055904</v>
      </c>
      <c r="AE3018" s="5">
        <v>2.1285887175722462</v>
      </c>
      <c r="AF3018">
        <v>1</v>
      </c>
    </row>
    <row r="3019" spans="27:32" x14ac:dyDescent="0.3">
      <c r="AA3019" s="3">
        <v>38952.11</v>
      </c>
      <c r="AB3019">
        <v>1E-4</v>
      </c>
      <c r="AC3019">
        <v>7</v>
      </c>
      <c r="AD3019" s="5">
        <v>5.0994853687033199</v>
      </c>
      <c r="AE3019" s="5">
        <v>2.2204524870438607</v>
      </c>
      <c r="AF3019">
        <v>1</v>
      </c>
    </row>
    <row r="3020" spans="27:32" x14ac:dyDescent="0.3">
      <c r="AA3020" s="3">
        <v>-35270.86</v>
      </c>
      <c r="AB3020">
        <v>1E-4</v>
      </c>
      <c r="AC3020">
        <v>9</v>
      </c>
      <c r="AD3020" s="5">
        <v>4.9151283146958393</v>
      </c>
      <c r="AE3020" s="5">
        <v>2.2511657178109976</v>
      </c>
      <c r="AF3020">
        <v>1</v>
      </c>
    </row>
    <row r="3021" spans="27:32" x14ac:dyDescent="0.3">
      <c r="AA3021" s="3">
        <v>27181.8</v>
      </c>
      <c r="AB3021">
        <v>1E-4</v>
      </c>
      <c r="AC3021">
        <v>8</v>
      </c>
      <c r="AD3021" s="5">
        <v>4.9333403754456251</v>
      </c>
      <c r="AE3021" s="5">
        <v>2.2025460642048142</v>
      </c>
      <c r="AF3021">
        <v>1</v>
      </c>
    </row>
    <row r="3022" spans="27:32" x14ac:dyDescent="0.3">
      <c r="AA3022" s="3">
        <v>-8822.85</v>
      </c>
      <c r="AB3022">
        <v>1E-4</v>
      </c>
      <c r="AC3022">
        <v>9</v>
      </c>
      <c r="AD3022" s="5">
        <v>4.8014699793123512</v>
      </c>
      <c r="AE3022" s="5">
        <v>2.2516460868644601</v>
      </c>
      <c r="AF3022">
        <v>1</v>
      </c>
    </row>
    <row r="3023" spans="27:32" x14ac:dyDescent="0.3">
      <c r="AA3023" s="3">
        <v>24522.2</v>
      </c>
      <c r="AB3023">
        <v>1E-4</v>
      </c>
      <c r="AC3023">
        <v>7</v>
      </c>
      <c r="AD3023" s="5">
        <v>5.0230123236328881</v>
      </c>
      <c r="AE3023" s="5">
        <v>2.1303120170796217</v>
      </c>
      <c r="AF3023">
        <v>1</v>
      </c>
    </row>
    <row r="3024" spans="27:32" x14ac:dyDescent="0.3">
      <c r="AA3024" s="3">
        <v>51169.71</v>
      </c>
      <c r="AB3024">
        <v>1E-4</v>
      </c>
      <c r="AC3024">
        <v>6</v>
      </c>
      <c r="AD3024" s="5">
        <v>5.0713296272666692</v>
      </c>
      <c r="AE3024" s="5">
        <v>2.2132602074942733</v>
      </c>
      <c r="AF3024">
        <v>1</v>
      </c>
    </row>
    <row r="3025" spans="27:32" x14ac:dyDescent="0.3">
      <c r="AA3025" s="3">
        <v>-1522.18</v>
      </c>
      <c r="AB3025">
        <v>1E-4</v>
      </c>
      <c r="AC3025">
        <v>9</v>
      </c>
      <c r="AD3025" s="5">
        <v>5.0562030338299744</v>
      </c>
      <c r="AE3025" s="5">
        <v>2.1173847915966375</v>
      </c>
      <c r="AF3025">
        <v>1</v>
      </c>
    </row>
    <row r="3026" spans="27:32" x14ac:dyDescent="0.3">
      <c r="AA3026" s="3">
        <v>-31307.606965413615</v>
      </c>
      <c r="AB3026">
        <v>1E-4</v>
      </c>
      <c r="AC3026">
        <v>9</v>
      </c>
      <c r="AD3026" s="5">
        <v>4.8828587284988005</v>
      </c>
      <c r="AE3026" s="5">
        <v>2.1699108126680162</v>
      </c>
      <c r="AF3026">
        <v>0</v>
      </c>
    </row>
    <row r="3027" spans="27:32" x14ac:dyDescent="0.3">
      <c r="AA3027" s="3">
        <v>-417.77</v>
      </c>
      <c r="AB3027">
        <v>1E-4</v>
      </c>
      <c r="AC3027">
        <v>9</v>
      </c>
      <c r="AD3027" s="5">
        <v>4.7657108238676802</v>
      </c>
      <c r="AE3027" s="5">
        <v>2.2304674512627995</v>
      </c>
      <c r="AF3027">
        <v>1</v>
      </c>
    </row>
    <row r="3028" spans="27:32" x14ac:dyDescent="0.3">
      <c r="AA3028" s="3">
        <v>52606.44</v>
      </c>
      <c r="AB3028">
        <v>1E-4</v>
      </c>
      <c r="AC3028">
        <v>6</v>
      </c>
      <c r="AD3028" s="5">
        <v>4.9888998073301138</v>
      </c>
      <c r="AE3028" s="5">
        <v>2.2607118142753388</v>
      </c>
      <c r="AF3028">
        <v>1</v>
      </c>
    </row>
    <row r="3029" spans="27:32" x14ac:dyDescent="0.3">
      <c r="AA3029" s="3">
        <v>13861.37</v>
      </c>
      <c r="AB3029">
        <v>1E-4</v>
      </c>
      <c r="AC3029">
        <v>8</v>
      </c>
      <c r="AD3029" s="5">
        <v>5.0488328634891735</v>
      </c>
      <c r="AE3029" s="5">
        <v>2.1468906759990691</v>
      </c>
      <c r="AF3029">
        <v>1</v>
      </c>
    </row>
    <row r="3030" spans="27:32" x14ac:dyDescent="0.3">
      <c r="AA3030" s="3">
        <v>13965.93</v>
      </c>
      <c r="AB3030">
        <v>1E-4</v>
      </c>
      <c r="AC3030">
        <v>8</v>
      </c>
      <c r="AD3030" s="5">
        <v>5.0495057790278466</v>
      </c>
      <c r="AE3030" s="5">
        <v>2.1941247711666416</v>
      </c>
      <c r="AF3030">
        <v>1</v>
      </c>
    </row>
    <row r="3031" spans="27:32" x14ac:dyDescent="0.3">
      <c r="AA3031" s="3">
        <v>5984.44</v>
      </c>
      <c r="AB3031">
        <v>1E-4</v>
      </c>
      <c r="AC3031">
        <v>8</v>
      </c>
      <c r="AD3031" s="5">
        <v>5.0622362131860328</v>
      </c>
      <c r="AE3031" s="5">
        <v>2.2999036213112292</v>
      </c>
      <c r="AF3031">
        <v>1</v>
      </c>
    </row>
    <row r="3032" spans="27:32" x14ac:dyDescent="0.3">
      <c r="AA3032" s="3">
        <v>13810.5</v>
      </c>
      <c r="AB3032">
        <v>1E-4</v>
      </c>
      <c r="AC3032">
        <v>8</v>
      </c>
      <c r="AD3032" s="5">
        <v>4.91939532405235</v>
      </c>
      <c r="AE3032" s="5">
        <v>2.188253323829688</v>
      </c>
      <c r="AF3032">
        <v>1</v>
      </c>
    </row>
    <row r="3033" spans="27:32" x14ac:dyDescent="0.3">
      <c r="AA3033" s="3">
        <v>31809.69</v>
      </c>
      <c r="AB3033">
        <v>1E-4</v>
      </c>
      <c r="AC3033">
        <v>8</v>
      </c>
      <c r="AD3033" s="5">
        <v>5.1152525624796139</v>
      </c>
      <c r="AE3033" s="5">
        <v>2.1587226308372118</v>
      </c>
      <c r="AF3033">
        <v>1</v>
      </c>
    </row>
    <row r="3034" spans="27:32" x14ac:dyDescent="0.3">
      <c r="AA3034" s="3">
        <v>29412.94</v>
      </c>
      <c r="AB3034">
        <v>1E-4</v>
      </c>
      <c r="AC3034">
        <v>8</v>
      </c>
      <c r="AD3034" s="5">
        <v>5.0040899649858543</v>
      </c>
      <c r="AE3034" s="5">
        <v>2.1874666216521907</v>
      </c>
      <c r="AF3034">
        <v>1</v>
      </c>
    </row>
    <row r="3035" spans="27:32" x14ac:dyDescent="0.3">
      <c r="AA3035" s="3">
        <v>15302.36</v>
      </c>
      <c r="AB3035">
        <v>1E-4</v>
      </c>
      <c r="AC3035">
        <v>8</v>
      </c>
      <c r="AD3035" s="5">
        <v>5.1340413884112568</v>
      </c>
      <c r="AE3035" s="5">
        <v>2.2106951317289494</v>
      </c>
      <c r="AF3035">
        <v>1</v>
      </c>
    </row>
    <row r="3036" spans="27:32" x14ac:dyDescent="0.3">
      <c r="AA3036" s="3">
        <v>16195.99</v>
      </c>
      <c r="AB3036">
        <v>1E-4</v>
      </c>
      <c r="AC3036">
        <v>8</v>
      </c>
      <c r="AD3036" s="5">
        <v>4.9619915426362455</v>
      </c>
      <c r="AE3036" s="5">
        <v>2.0823888061334155</v>
      </c>
      <c r="AF3036">
        <v>1</v>
      </c>
    </row>
    <row r="3037" spans="27:32" x14ac:dyDescent="0.3">
      <c r="AA3037" s="3">
        <v>13735.5</v>
      </c>
      <c r="AB3037">
        <v>1E-4</v>
      </c>
      <c r="AC3037">
        <v>8</v>
      </c>
      <c r="AD3037" s="5">
        <v>5.151473563059084</v>
      </c>
      <c r="AE3037" s="5">
        <v>2.2224706986815685</v>
      </c>
      <c r="AF3037">
        <v>1</v>
      </c>
    </row>
    <row r="3038" spans="27:32" x14ac:dyDescent="0.3">
      <c r="AA3038" s="3">
        <v>-14813.258246969379</v>
      </c>
      <c r="AB3038">
        <v>1E-4</v>
      </c>
      <c r="AC3038">
        <v>9</v>
      </c>
      <c r="AD3038" s="5">
        <v>5.1135571604851409</v>
      </c>
      <c r="AE3038" s="5">
        <v>2.1889516923010737</v>
      </c>
      <c r="AF3038">
        <v>0</v>
      </c>
    </row>
    <row r="3039" spans="27:32" x14ac:dyDescent="0.3">
      <c r="AA3039" s="3">
        <v>17311.73</v>
      </c>
      <c r="AB3039">
        <v>1E-4</v>
      </c>
      <c r="AC3039">
        <v>8</v>
      </c>
      <c r="AD3039" s="5">
        <v>4.8823810312639502</v>
      </c>
      <c r="AE3039" s="5">
        <v>2.185217419385471</v>
      </c>
      <c r="AF3039">
        <v>1</v>
      </c>
    </row>
    <row r="3040" spans="27:32" x14ac:dyDescent="0.3">
      <c r="AA3040" s="3">
        <v>-6186.5594586665939</v>
      </c>
      <c r="AB3040">
        <v>1E-4</v>
      </c>
      <c r="AC3040">
        <v>8</v>
      </c>
      <c r="AD3040" s="5">
        <v>5.1772158582504417</v>
      </c>
      <c r="AE3040" s="5">
        <v>2.1965568724282769</v>
      </c>
      <c r="AF3040">
        <v>0</v>
      </c>
    </row>
    <row r="3041" spans="27:32" x14ac:dyDescent="0.3">
      <c r="AA3041" s="3">
        <v>16672.39</v>
      </c>
      <c r="AB3041">
        <v>1E-4</v>
      </c>
      <c r="AC3041">
        <v>8</v>
      </c>
      <c r="AD3041" s="5">
        <v>4.9406308732500595</v>
      </c>
      <c r="AE3041" s="5">
        <v>2.1637471485630564</v>
      </c>
      <c r="AF3041">
        <v>1</v>
      </c>
    </row>
    <row r="3042" spans="27:32" x14ac:dyDescent="0.3">
      <c r="AA3042" s="3">
        <v>31673.84</v>
      </c>
      <c r="AB3042">
        <v>1E-4</v>
      </c>
      <c r="AC3042">
        <v>7</v>
      </c>
      <c r="AD3042" s="5">
        <v>4.9359692589873081</v>
      </c>
      <c r="AE3042" s="5">
        <v>2.1334079054146775</v>
      </c>
      <c r="AF3042">
        <v>1</v>
      </c>
    </row>
    <row r="3043" spans="27:32" x14ac:dyDescent="0.3">
      <c r="AA3043" s="3">
        <v>1884.68</v>
      </c>
      <c r="AB3043">
        <v>1E-4</v>
      </c>
      <c r="AC3043">
        <v>8</v>
      </c>
      <c r="AD3043" s="5">
        <v>4.9561013566323204</v>
      </c>
      <c r="AE3043" s="5">
        <v>2.182990186796133</v>
      </c>
      <c r="AF3043">
        <v>1</v>
      </c>
    </row>
    <row r="3044" spans="27:32" x14ac:dyDescent="0.3">
      <c r="AA3044" s="3">
        <v>-4450.0600000000004</v>
      </c>
      <c r="AB3044">
        <v>1E-4</v>
      </c>
      <c r="AC3044">
        <v>9</v>
      </c>
      <c r="AD3044" s="5">
        <v>4.8138084381782535</v>
      </c>
      <c r="AE3044" s="5">
        <v>2.2687204657117035</v>
      </c>
      <c r="AF3044">
        <v>1</v>
      </c>
    </row>
    <row r="3045" spans="27:32" x14ac:dyDescent="0.3">
      <c r="AA3045" s="3">
        <v>12629.21</v>
      </c>
      <c r="AB3045">
        <v>1E-4</v>
      </c>
      <c r="AC3045">
        <v>8</v>
      </c>
      <c r="AD3045" s="5">
        <v>5.010108571900675</v>
      </c>
      <c r="AE3045" s="5">
        <v>2.1916491967684566</v>
      </c>
      <c r="AF3045">
        <v>1</v>
      </c>
    </row>
    <row r="3046" spans="27:32" x14ac:dyDescent="0.3">
      <c r="AA3046" s="3">
        <v>-1552.46</v>
      </c>
      <c r="AB3046">
        <v>1E-4</v>
      </c>
      <c r="AC3046">
        <v>9</v>
      </c>
      <c r="AD3046" s="5">
        <v>4.9015444701094362</v>
      </c>
      <c r="AE3046" s="5">
        <v>2.2543620807480185</v>
      </c>
      <c r="AF3046">
        <v>1</v>
      </c>
    </row>
    <row r="3047" spans="27:32" x14ac:dyDescent="0.3">
      <c r="AA3047" s="3">
        <v>3764</v>
      </c>
      <c r="AB3047">
        <v>1E-4</v>
      </c>
      <c r="AC3047">
        <v>8</v>
      </c>
      <c r="AD3047" s="5">
        <v>4.9989035088656397</v>
      </c>
      <c r="AE3047" s="5">
        <v>2.2290497171461969</v>
      </c>
      <c r="AF3047">
        <v>1</v>
      </c>
    </row>
    <row r="3048" spans="27:32" x14ac:dyDescent="0.3">
      <c r="AA3048" s="3">
        <v>-2022.1392117849173</v>
      </c>
      <c r="AB3048">
        <v>1E-4</v>
      </c>
      <c r="AC3048">
        <v>8</v>
      </c>
      <c r="AD3048" s="5">
        <v>5.0751658348226032</v>
      </c>
      <c r="AE3048" s="5">
        <v>2.2044256269408806</v>
      </c>
      <c r="AF3048">
        <v>0</v>
      </c>
    </row>
    <row r="3049" spans="27:32" x14ac:dyDescent="0.3">
      <c r="AA3049" s="3">
        <v>17481.13</v>
      </c>
      <c r="AB3049">
        <v>1E-4</v>
      </c>
      <c r="AC3049">
        <v>8</v>
      </c>
      <c r="AD3049" s="5">
        <v>4.8645484059625819</v>
      </c>
      <c r="AE3049" s="5">
        <v>2.3333259413518261</v>
      </c>
      <c r="AF3049">
        <v>1</v>
      </c>
    </row>
    <row r="3050" spans="27:32" x14ac:dyDescent="0.3">
      <c r="AA3050" s="3">
        <v>44327.56</v>
      </c>
      <c r="AB3050">
        <v>1E-4</v>
      </c>
      <c r="AC3050">
        <v>7</v>
      </c>
      <c r="AD3050" s="5">
        <v>5.075308141002532</v>
      </c>
      <c r="AE3050" s="5">
        <v>2.2777223532385698</v>
      </c>
      <c r="AF3050">
        <v>1</v>
      </c>
    </row>
    <row r="3051" spans="27:32" x14ac:dyDescent="0.3">
      <c r="AA3051" s="3">
        <v>24539.72</v>
      </c>
      <c r="AB3051">
        <v>1E-4</v>
      </c>
      <c r="AC3051">
        <v>8</v>
      </c>
      <c r="AD3051" s="5">
        <v>4.9177011816904406</v>
      </c>
      <c r="AE3051" s="5">
        <v>2.1879344759358705</v>
      </c>
      <c r="AF3051">
        <v>1</v>
      </c>
    </row>
    <row r="3052" spans="27:32" x14ac:dyDescent="0.3">
      <c r="AA3052" s="3">
        <v>21914.94</v>
      </c>
      <c r="AB3052">
        <v>1E-4</v>
      </c>
      <c r="AC3052">
        <v>8</v>
      </c>
      <c r="AD3052" s="5">
        <v>4.878589237354034</v>
      </c>
      <c r="AE3052" s="5">
        <v>2.1776873294459218</v>
      </c>
      <c r="AF3052">
        <v>1</v>
      </c>
    </row>
    <row r="3053" spans="27:32" x14ac:dyDescent="0.3">
      <c r="AA3053" s="3">
        <v>4688.9799999999996</v>
      </c>
      <c r="AB3053">
        <v>1E-4</v>
      </c>
      <c r="AC3053">
        <v>8</v>
      </c>
      <c r="AD3053" s="5">
        <v>4.8843280005472129</v>
      </c>
      <c r="AE3053" s="5">
        <v>2.1963575917778755</v>
      </c>
      <c r="AF3053">
        <v>1</v>
      </c>
    </row>
    <row r="3054" spans="27:32" x14ac:dyDescent="0.3">
      <c r="AA3054" s="3">
        <v>34527.410000000003</v>
      </c>
      <c r="AB3054">
        <v>1E-4</v>
      </c>
      <c r="AC3054">
        <v>7</v>
      </c>
      <c r="AD3054" s="5">
        <v>4.8691809372188395</v>
      </c>
      <c r="AE3054" s="5">
        <v>2.2271152466225428</v>
      </c>
      <c r="AF3054">
        <v>1</v>
      </c>
    </row>
    <row r="3055" spans="27:32" x14ac:dyDescent="0.3">
      <c r="AA3055" s="3">
        <v>4833.5600000000004</v>
      </c>
      <c r="AB3055">
        <v>1E-4</v>
      </c>
      <c r="AC3055">
        <v>8</v>
      </c>
      <c r="AD3055" s="5">
        <v>4.9139620925451508</v>
      </c>
      <c r="AE3055" s="5">
        <v>2.2560633972041582</v>
      </c>
      <c r="AF3055">
        <v>1</v>
      </c>
    </row>
    <row r="3056" spans="27:32" x14ac:dyDescent="0.3">
      <c r="AA3056" s="3">
        <v>-18262.830000000002</v>
      </c>
      <c r="AB3056">
        <v>1E-4</v>
      </c>
      <c r="AC3056">
        <v>9</v>
      </c>
      <c r="AD3056" s="5">
        <v>4.9675354723755785</v>
      </c>
      <c r="AE3056" s="5">
        <v>2.3212171662956709</v>
      </c>
      <c r="AF3056">
        <v>1</v>
      </c>
    </row>
    <row r="3057" spans="27:32" x14ac:dyDescent="0.3">
      <c r="AA3057" s="3">
        <v>13687.12</v>
      </c>
      <c r="AB3057">
        <v>1E-4</v>
      </c>
      <c r="AC3057">
        <v>8</v>
      </c>
      <c r="AD3057" s="5">
        <v>5.0740040841310545</v>
      </c>
      <c r="AE3057" s="5">
        <v>2.2046290277900931</v>
      </c>
      <c r="AF3057">
        <v>1</v>
      </c>
    </row>
    <row r="3058" spans="27:32" x14ac:dyDescent="0.3">
      <c r="AA3058" s="3">
        <v>11273.27</v>
      </c>
      <c r="AB3058">
        <v>1E-4</v>
      </c>
      <c r="AC3058">
        <v>8</v>
      </c>
      <c r="AD3058" s="5">
        <v>5.0589056146024864</v>
      </c>
      <c r="AE3058" s="5">
        <v>2.1535780959211817</v>
      </c>
      <c r="AF3058">
        <v>1</v>
      </c>
    </row>
    <row r="3059" spans="27:32" x14ac:dyDescent="0.3">
      <c r="AA3059" s="3">
        <v>18811.32</v>
      </c>
      <c r="AB3059">
        <v>1E-4</v>
      </c>
      <c r="AC3059">
        <v>8</v>
      </c>
      <c r="AD3059" s="5">
        <v>5.0222080762177894</v>
      </c>
      <c r="AE3059" s="5">
        <v>2.1633713056446733</v>
      </c>
      <c r="AF3059">
        <v>1</v>
      </c>
    </row>
    <row r="3060" spans="27:32" x14ac:dyDescent="0.3">
      <c r="AA3060" s="3">
        <v>30403.03</v>
      </c>
      <c r="AB3060">
        <v>1E-4</v>
      </c>
      <c r="AC3060">
        <v>8</v>
      </c>
      <c r="AD3060" s="5">
        <v>5.2097855239553521</v>
      </c>
      <c r="AE3060" s="5">
        <v>2.1931849507823626</v>
      </c>
      <c r="AF3060">
        <v>1</v>
      </c>
    </row>
    <row r="3061" spans="27:32" x14ac:dyDescent="0.3">
      <c r="AA3061" s="3">
        <v>-27997.919999999998</v>
      </c>
      <c r="AB3061">
        <v>1E-4</v>
      </c>
      <c r="AC3061">
        <v>9</v>
      </c>
      <c r="AD3061" s="5">
        <v>4.8556458230504971</v>
      </c>
      <c r="AE3061" s="5">
        <v>2.2319865633861276</v>
      </c>
      <c r="AF3061">
        <v>1</v>
      </c>
    </row>
    <row r="3062" spans="27:32" x14ac:dyDescent="0.3">
      <c r="AA3062" s="3">
        <v>16923.169999999998</v>
      </c>
      <c r="AB3062">
        <v>1E-4</v>
      </c>
      <c r="AC3062">
        <v>8</v>
      </c>
      <c r="AD3062" s="5">
        <v>5.1685103471473424</v>
      </c>
      <c r="AE3062" s="5">
        <v>2.1091551986516777</v>
      </c>
      <c r="AF3062">
        <v>1</v>
      </c>
    </row>
    <row r="3063" spans="27:32" x14ac:dyDescent="0.3">
      <c r="AA3063" s="3">
        <v>23012.05</v>
      </c>
      <c r="AB3063">
        <v>1E-4</v>
      </c>
      <c r="AC3063">
        <v>8</v>
      </c>
      <c r="AD3063" s="5">
        <v>5.0547139905233109</v>
      </c>
      <c r="AE3063" s="5">
        <v>2.2389852514226831</v>
      </c>
      <c r="AF3063">
        <v>1</v>
      </c>
    </row>
    <row r="3064" spans="27:32" x14ac:dyDescent="0.3">
      <c r="AA3064" s="3">
        <v>20246.36</v>
      </c>
      <c r="AB3064">
        <v>1E-4</v>
      </c>
      <c r="AC3064">
        <v>8</v>
      </c>
      <c r="AD3064" s="5">
        <v>4.9188927361586838</v>
      </c>
      <c r="AE3064" s="5">
        <v>2.204269264566368</v>
      </c>
      <c r="AF3064">
        <v>1</v>
      </c>
    </row>
    <row r="3065" spans="27:32" x14ac:dyDescent="0.3">
      <c r="AA3065" s="3">
        <v>3798.87</v>
      </c>
      <c r="AB3065">
        <v>1E-4</v>
      </c>
      <c r="AC3065">
        <v>8</v>
      </c>
      <c r="AD3065" s="5">
        <v>4.9152800973478454</v>
      </c>
      <c r="AE3065" s="5">
        <v>2.1244351583694314</v>
      </c>
      <c r="AF3065">
        <v>1</v>
      </c>
    </row>
    <row r="3066" spans="27:32" x14ac:dyDescent="0.3">
      <c r="AA3066" s="3">
        <v>-5003.84</v>
      </c>
      <c r="AB3066">
        <v>1E-4</v>
      </c>
      <c r="AC3066">
        <v>9</v>
      </c>
      <c r="AD3066" s="5">
        <v>5.0472639556496572</v>
      </c>
      <c r="AE3066" s="5">
        <v>2.2329074059234761</v>
      </c>
      <c r="AF3066">
        <v>1</v>
      </c>
    </row>
    <row r="3067" spans="27:32" x14ac:dyDescent="0.3">
      <c r="AA3067" s="3">
        <v>7656.09</v>
      </c>
      <c r="AB3067">
        <v>1E-4</v>
      </c>
      <c r="AC3067">
        <v>8</v>
      </c>
      <c r="AD3067" s="5">
        <v>4.8823223297586393</v>
      </c>
      <c r="AE3067" s="5">
        <v>2.1994002810960591</v>
      </c>
      <c r="AF3067">
        <v>1</v>
      </c>
    </row>
    <row r="3068" spans="27:32" x14ac:dyDescent="0.3">
      <c r="AA3068" s="3">
        <v>-22106.44</v>
      </c>
      <c r="AB3068">
        <v>1E-4</v>
      </c>
      <c r="AC3068">
        <v>9</v>
      </c>
      <c r="AD3068" s="5">
        <v>4.8918608337025447</v>
      </c>
      <c r="AE3068" s="5">
        <v>2.1889601124678162</v>
      </c>
      <c r="AF3068">
        <v>1</v>
      </c>
    </row>
    <row r="3069" spans="27:32" x14ac:dyDescent="0.3">
      <c r="AA3069" s="3">
        <v>-27748.04</v>
      </c>
      <c r="AB3069">
        <v>1E-4</v>
      </c>
      <c r="AC3069">
        <v>9</v>
      </c>
      <c r="AD3069" s="5">
        <v>4.9791123615094257</v>
      </c>
      <c r="AE3069" s="5">
        <v>2.3166401171572013</v>
      </c>
      <c r="AF3069">
        <v>1</v>
      </c>
    </row>
    <row r="3070" spans="27:32" x14ac:dyDescent="0.3">
      <c r="AA3070" s="3">
        <v>49290.53</v>
      </c>
      <c r="AB3070">
        <v>1E-4</v>
      </c>
      <c r="AC3070">
        <v>7</v>
      </c>
      <c r="AD3070" s="5">
        <v>5.1903696201674547</v>
      </c>
      <c r="AE3070" s="5">
        <v>2.2156504833097772</v>
      </c>
      <c r="AF3070">
        <v>1</v>
      </c>
    </row>
    <row r="3071" spans="27:32" x14ac:dyDescent="0.3">
      <c r="AA3071" s="3">
        <v>-5965.28</v>
      </c>
      <c r="AB3071">
        <v>1E-4</v>
      </c>
      <c r="AC3071">
        <v>9</v>
      </c>
      <c r="AD3071" s="5">
        <v>4.8561452417924018</v>
      </c>
      <c r="AE3071" s="5">
        <v>2.2157672573360623</v>
      </c>
      <c r="AF3071">
        <v>1</v>
      </c>
    </row>
    <row r="3072" spans="27:32" x14ac:dyDescent="0.3">
      <c r="AA3072" s="3">
        <v>19357.150000000001</v>
      </c>
      <c r="AB3072">
        <v>1E-4</v>
      </c>
      <c r="AC3072">
        <v>8</v>
      </c>
      <c r="AD3072" s="5">
        <v>4.9691884510240669</v>
      </c>
      <c r="AE3072" s="5">
        <v>2.2808076957881407</v>
      </c>
      <c r="AF3072">
        <v>1</v>
      </c>
    </row>
    <row r="3073" spans="27:32" x14ac:dyDescent="0.3">
      <c r="AA3073" s="3">
        <v>1608.88</v>
      </c>
      <c r="AB3073">
        <v>1E-4</v>
      </c>
      <c r="AC3073">
        <v>8</v>
      </c>
      <c r="AD3073" s="5">
        <v>5.0974628780747144</v>
      </c>
      <c r="AE3073" s="5">
        <v>2.2654514324861155</v>
      </c>
      <c r="AF3073">
        <v>1</v>
      </c>
    </row>
    <row r="3074" spans="27:32" x14ac:dyDescent="0.3">
      <c r="AA3074" s="3">
        <v>16163.74</v>
      </c>
      <c r="AB3074">
        <v>1E-4</v>
      </c>
      <c r="AC3074">
        <v>8</v>
      </c>
      <c r="AD3074" s="5">
        <v>4.9646195531901656</v>
      </c>
      <c r="AE3074" s="5">
        <v>2.1833885724388296</v>
      </c>
      <c r="AF3074">
        <v>1</v>
      </c>
    </row>
    <row r="3075" spans="27:32" x14ac:dyDescent="0.3">
      <c r="AA3075" s="3">
        <v>6674.45</v>
      </c>
      <c r="AB3075">
        <v>1E-4</v>
      </c>
      <c r="AC3075">
        <v>8</v>
      </c>
      <c r="AD3075" s="5">
        <v>4.9341961634045415</v>
      </c>
      <c r="AE3075" s="5">
        <v>2.1923007548627425</v>
      </c>
      <c r="AF3075">
        <v>1</v>
      </c>
    </row>
    <row r="3076" spans="27:32" x14ac:dyDescent="0.3">
      <c r="AA3076" s="3">
        <v>-35363.879999999997</v>
      </c>
      <c r="AB3076">
        <v>1E-4</v>
      </c>
      <c r="AC3076">
        <v>9</v>
      </c>
      <c r="AD3076" s="5">
        <v>5.0737920116741231</v>
      </c>
      <c r="AE3076" s="5">
        <v>2.1889908231044819</v>
      </c>
      <c r="AF3076">
        <v>1</v>
      </c>
    </row>
    <row r="3077" spans="27:32" x14ac:dyDescent="0.3">
      <c r="AA3077" s="3">
        <v>20820.3</v>
      </c>
      <c r="AB3077">
        <v>1E-4</v>
      </c>
      <c r="AC3077">
        <v>8</v>
      </c>
      <c r="AD3077" s="5">
        <v>4.8400318234544617</v>
      </c>
      <c r="AE3077" s="5">
        <v>2.2029043487259061</v>
      </c>
      <c r="AF3077">
        <v>1</v>
      </c>
    </row>
    <row r="3078" spans="27:32" x14ac:dyDescent="0.3">
      <c r="AA3078" s="3">
        <v>34449.910000000003</v>
      </c>
      <c r="AB3078">
        <v>1E-4</v>
      </c>
      <c r="AC3078">
        <v>7</v>
      </c>
      <c r="AD3078" s="5">
        <v>5.0203720700780847</v>
      </c>
      <c r="AE3078" s="5">
        <v>2.1501606661877104</v>
      </c>
      <c r="AF3078">
        <v>1</v>
      </c>
    </row>
    <row r="3079" spans="27:32" x14ac:dyDescent="0.3">
      <c r="AA3079" s="3">
        <v>24380.2</v>
      </c>
      <c r="AB3079">
        <v>1E-4</v>
      </c>
      <c r="AC3079">
        <v>8</v>
      </c>
      <c r="AD3079" s="5">
        <v>4.9359406978558109</v>
      </c>
      <c r="AE3079" s="5">
        <v>2.2545582477927844</v>
      </c>
      <c r="AF3079">
        <v>1</v>
      </c>
    </row>
    <row r="3080" spans="27:32" x14ac:dyDescent="0.3">
      <c r="AA3080" s="3">
        <v>27889.49</v>
      </c>
      <c r="AB3080">
        <v>1E-4</v>
      </c>
      <c r="AC3080">
        <v>8</v>
      </c>
      <c r="AD3080" s="5">
        <v>4.9669532299865606</v>
      </c>
      <c r="AE3080" s="5">
        <v>2.0369897556686967</v>
      </c>
      <c r="AF3080">
        <v>1</v>
      </c>
    </row>
    <row r="3081" spans="27:32" x14ac:dyDescent="0.3">
      <c r="AA3081" s="3">
        <v>29527.05</v>
      </c>
      <c r="AB3081">
        <v>1E-4</v>
      </c>
      <c r="AC3081">
        <v>8</v>
      </c>
      <c r="AD3081" s="5">
        <v>4.9860138798692404</v>
      </c>
      <c r="AE3081" s="5">
        <v>2.1238376339661027</v>
      </c>
      <c r="AF3081">
        <v>1</v>
      </c>
    </row>
    <row r="3082" spans="27:32" x14ac:dyDescent="0.3">
      <c r="AA3082" s="3">
        <v>30064.77</v>
      </c>
      <c r="AB3082">
        <v>1E-4</v>
      </c>
      <c r="AC3082">
        <v>7</v>
      </c>
      <c r="AD3082" s="5">
        <v>5.0354453402386952</v>
      </c>
      <c r="AE3082" s="5">
        <v>2.169670669707541</v>
      </c>
      <c r="AF3082">
        <v>1</v>
      </c>
    </row>
    <row r="3083" spans="27:32" x14ac:dyDescent="0.3">
      <c r="AA3083" s="3">
        <v>36104.42</v>
      </c>
      <c r="AB3083">
        <v>1E-4</v>
      </c>
      <c r="AC3083">
        <v>7</v>
      </c>
      <c r="AD3083" s="5">
        <v>5.1200714692860529</v>
      </c>
      <c r="AE3083" s="5">
        <v>2.2073853595807842</v>
      </c>
      <c r="AF3083">
        <v>1</v>
      </c>
    </row>
    <row r="3084" spans="27:32" x14ac:dyDescent="0.3">
      <c r="AA3084" s="3">
        <v>21318.25</v>
      </c>
      <c r="AB3084">
        <v>1E-4</v>
      </c>
      <c r="AC3084">
        <v>8</v>
      </c>
      <c r="AD3084" s="5">
        <v>5.2295445687330222</v>
      </c>
      <c r="AE3084" s="5">
        <v>2.1522602889877294</v>
      </c>
      <c r="AF3084">
        <v>1</v>
      </c>
    </row>
    <row r="3085" spans="27:32" x14ac:dyDescent="0.3">
      <c r="AA3085" s="3">
        <v>25027.89</v>
      </c>
      <c r="AB3085">
        <v>1E-4</v>
      </c>
      <c r="AC3085">
        <v>8</v>
      </c>
      <c r="AD3085" s="5">
        <v>5.1115295293359733</v>
      </c>
      <c r="AE3085" s="5">
        <v>2.1512277054143785</v>
      </c>
      <c r="AF3085">
        <v>1</v>
      </c>
    </row>
    <row r="3086" spans="27:32" x14ac:dyDescent="0.3">
      <c r="AA3086" s="3">
        <v>46739.43</v>
      </c>
      <c r="AB3086">
        <v>1E-4</v>
      </c>
      <c r="AC3086">
        <v>6</v>
      </c>
      <c r="AD3086" s="5">
        <v>5.1336240616512727</v>
      </c>
      <c r="AE3086" s="5">
        <v>2.1909316314269045</v>
      </c>
      <c r="AF3086">
        <v>1</v>
      </c>
    </row>
    <row r="3087" spans="27:32" x14ac:dyDescent="0.3">
      <c r="AA3087" s="3">
        <v>-3660.23</v>
      </c>
      <c r="AB3087">
        <v>1E-4</v>
      </c>
      <c r="AC3087">
        <v>9</v>
      </c>
      <c r="AD3087" s="5">
        <v>4.8651674454908536</v>
      </c>
      <c r="AE3087" s="5">
        <v>2.1860794634013767</v>
      </c>
      <c r="AF3087">
        <v>1</v>
      </c>
    </row>
    <row r="3088" spans="27:32" x14ac:dyDescent="0.3">
      <c r="AA3088" s="3">
        <v>-11922.8</v>
      </c>
      <c r="AB3088">
        <v>1E-4</v>
      </c>
      <c r="AC3088">
        <v>9</v>
      </c>
      <c r="AD3088" s="5">
        <v>4.7919600288580346</v>
      </c>
      <c r="AE3088" s="5">
        <v>2.2883802333155185</v>
      </c>
      <c r="AF3088">
        <v>1</v>
      </c>
    </row>
    <row r="3089" spans="27:32" x14ac:dyDescent="0.3">
      <c r="AA3089" s="3">
        <v>9180.64</v>
      </c>
      <c r="AB3089">
        <v>1E-4</v>
      </c>
      <c r="AC3089">
        <v>8</v>
      </c>
      <c r="AD3089" s="5">
        <v>4.9283209987555612</v>
      </c>
      <c r="AE3089" s="5">
        <v>2.2414918404465123</v>
      </c>
      <c r="AF3089">
        <v>1</v>
      </c>
    </row>
    <row r="3090" spans="27:32" x14ac:dyDescent="0.3">
      <c r="AA3090" s="3">
        <v>44082.95</v>
      </c>
      <c r="AB3090">
        <v>1E-4</v>
      </c>
      <c r="AC3090">
        <v>7</v>
      </c>
      <c r="AD3090" s="5">
        <v>5.1120467121667748</v>
      </c>
      <c r="AE3090" s="5">
        <v>2.2008345835517606</v>
      </c>
      <c r="AF3090">
        <v>1</v>
      </c>
    </row>
    <row r="3091" spans="27:32" x14ac:dyDescent="0.3">
      <c r="AA3091" s="3">
        <v>15020.87</v>
      </c>
      <c r="AB3091">
        <v>1E-4</v>
      </c>
      <c r="AC3091">
        <v>8</v>
      </c>
      <c r="AD3091" s="5">
        <v>5.0655891750923621</v>
      </c>
      <c r="AE3091" s="5">
        <v>2.1574822595204588</v>
      </c>
      <c r="AF3091">
        <v>1</v>
      </c>
    </row>
    <row r="3092" spans="27:32" x14ac:dyDescent="0.3">
      <c r="AA3092" s="3">
        <v>-5039.91</v>
      </c>
      <c r="AB3092">
        <v>1E-4</v>
      </c>
      <c r="AC3092">
        <v>9</v>
      </c>
      <c r="AD3092" s="5">
        <v>4.9807368296151093</v>
      </c>
      <c r="AE3092" s="5">
        <v>2.2403986382366239</v>
      </c>
      <c r="AF3092">
        <v>1</v>
      </c>
    </row>
    <row r="3093" spans="27:32" x14ac:dyDescent="0.3">
      <c r="AA3093" s="3">
        <v>4302.8999999999996</v>
      </c>
      <c r="AB3093">
        <v>1E-4</v>
      </c>
      <c r="AC3093">
        <v>8</v>
      </c>
      <c r="AD3093" s="5">
        <v>4.7621079971591911</v>
      </c>
      <c r="AE3093" s="5">
        <v>2.2137184357741053</v>
      </c>
      <c r="AF3093">
        <v>1</v>
      </c>
    </row>
    <row r="3094" spans="27:32" x14ac:dyDescent="0.3">
      <c r="AA3094" s="3">
        <v>31229.11</v>
      </c>
      <c r="AB3094">
        <v>1E-4</v>
      </c>
      <c r="AC3094">
        <v>7</v>
      </c>
      <c r="AD3094" s="5">
        <v>5.0813712624014764</v>
      </c>
      <c r="AE3094" s="5">
        <v>2.1790391712844039</v>
      </c>
      <c r="AF3094">
        <v>1</v>
      </c>
    </row>
    <row r="3095" spans="27:32" x14ac:dyDescent="0.3">
      <c r="AA3095" s="3">
        <v>12904.91</v>
      </c>
      <c r="AB3095">
        <v>1E-4</v>
      </c>
      <c r="AC3095">
        <v>8</v>
      </c>
      <c r="AD3095" s="5">
        <v>5.1924902045088137</v>
      </c>
      <c r="AE3095" s="5">
        <v>2.2139903836136448</v>
      </c>
      <c r="AF3095">
        <v>1</v>
      </c>
    </row>
    <row r="3096" spans="27:32" x14ac:dyDescent="0.3">
      <c r="AA3096" s="3">
        <v>-5898.82</v>
      </c>
      <c r="AB3096">
        <v>1E-4</v>
      </c>
      <c r="AC3096">
        <v>9</v>
      </c>
      <c r="AD3096" s="5">
        <v>4.8892117446783203</v>
      </c>
      <c r="AE3096" s="5">
        <v>2.1275097226411059</v>
      </c>
      <c r="AF3096">
        <v>1</v>
      </c>
    </row>
    <row r="3097" spans="27:32" x14ac:dyDescent="0.3">
      <c r="AA3097" s="3">
        <v>10273.69</v>
      </c>
      <c r="AB3097">
        <v>1E-4</v>
      </c>
      <c r="AC3097">
        <v>8</v>
      </c>
      <c r="AD3097" s="5">
        <v>4.9380354630598644</v>
      </c>
      <c r="AE3097" s="5">
        <v>2.1743482386931534</v>
      </c>
      <c r="AF3097">
        <v>1</v>
      </c>
    </row>
    <row r="3098" spans="27:32" x14ac:dyDescent="0.3">
      <c r="AA3098" s="3">
        <v>16914.16</v>
      </c>
      <c r="AB3098">
        <v>1E-4</v>
      </c>
      <c r="AC3098">
        <v>8</v>
      </c>
      <c r="AD3098" s="5">
        <v>5.0458794905408881</v>
      </c>
      <c r="AE3098" s="5">
        <v>2.1841733592975059</v>
      </c>
      <c r="AF3098">
        <v>1</v>
      </c>
    </row>
    <row r="3099" spans="27:32" x14ac:dyDescent="0.3">
      <c r="AA3099" s="3">
        <v>41614.589999999997</v>
      </c>
      <c r="AB3099">
        <v>1E-4</v>
      </c>
      <c r="AC3099">
        <v>7</v>
      </c>
      <c r="AD3099" s="5">
        <v>5.1258998653734418</v>
      </c>
      <c r="AE3099" s="5">
        <v>2.1888842292428659</v>
      </c>
      <c r="AF3099">
        <v>1</v>
      </c>
    </row>
    <row r="3100" spans="27:32" x14ac:dyDescent="0.3">
      <c r="AA3100" s="3">
        <v>16925.98</v>
      </c>
      <c r="AB3100">
        <v>1E-4</v>
      </c>
      <c r="AC3100">
        <v>8</v>
      </c>
      <c r="AD3100" s="5">
        <v>4.8777607179353426</v>
      </c>
      <c r="AE3100" s="5">
        <v>2.2561874384304152</v>
      </c>
      <c r="AF3100">
        <v>1</v>
      </c>
    </row>
    <row r="3101" spans="27:32" x14ac:dyDescent="0.3">
      <c r="AA3101" s="3">
        <v>32069.34</v>
      </c>
      <c r="AB3101">
        <v>1E-4</v>
      </c>
      <c r="AC3101">
        <v>7</v>
      </c>
      <c r="AD3101" s="5">
        <v>4.8655589177063092</v>
      </c>
      <c r="AE3101" s="5">
        <v>2.1734929596816053</v>
      </c>
      <c r="AF3101">
        <v>1</v>
      </c>
    </row>
    <row r="3102" spans="27:32" x14ac:dyDescent="0.3">
      <c r="AA3102" s="3">
        <v>37438.49</v>
      </c>
      <c r="AB3102">
        <v>1E-4</v>
      </c>
      <c r="AC3102">
        <v>7</v>
      </c>
      <c r="AD3102" s="5">
        <v>5.0847041981352916</v>
      </c>
      <c r="AE3102" s="5">
        <v>2.1497776128932076</v>
      </c>
      <c r="AF3102">
        <v>1</v>
      </c>
    </row>
    <row r="3103" spans="27:32" x14ac:dyDescent="0.3">
      <c r="AA3103" s="3">
        <v>27840.95</v>
      </c>
      <c r="AB3103">
        <v>1E-4</v>
      </c>
      <c r="AC3103">
        <v>8</v>
      </c>
      <c r="AD3103" s="5">
        <v>5.0341488984946308</v>
      </c>
      <c r="AE3103" s="5">
        <v>2.277867495253886</v>
      </c>
      <c r="AF3103">
        <v>1</v>
      </c>
    </row>
    <row r="3104" spans="27:32" x14ac:dyDescent="0.3">
      <c r="AA3104" s="3">
        <v>14423.93</v>
      </c>
      <c r="AB3104">
        <v>1E-4</v>
      </c>
      <c r="AC3104">
        <v>8</v>
      </c>
      <c r="AD3104" s="5">
        <v>5.0442410939178108</v>
      </c>
      <c r="AE3104" s="5">
        <v>2.2322403910194644</v>
      </c>
      <c r="AF3104">
        <v>1</v>
      </c>
    </row>
    <row r="3105" spans="27:32" x14ac:dyDescent="0.3">
      <c r="AA3105" s="3">
        <v>15745.18</v>
      </c>
      <c r="AB3105">
        <v>1E-4</v>
      </c>
      <c r="AC3105">
        <v>8</v>
      </c>
      <c r="AD3105" s="5">
        <v>4.9469415951355833</v>
      </c>
      <c r="AE3105" s="5">
        <v>2.1412541193515966</v>
      </c>
      <c r="AF3105">
        <v>1</v>
      </c>
    </row>
    <row r="3106" spans="27:32" x14ac:dyDescent="0.3">
      <c r="AA3106" s="3">
        <v>10782.08</v>
      </c>
      <c r="AB3106">
        <v>1E-4</v>
      </c>
      <c r="AC3106">
        <v>8</v>
      </c>
      <c r="AD3106" s="5">
        <v>4.8398743215040358</v>
      </c>
      <c r="AE3106" s="5">
        <v>2.1226609821384512</v>
      </c>
      <c r="AF3106">
        <v>1</v>
      </c>
    </row>
    <row r="3107" spans="27:32" x14ac:dyDescent="0.3">
      <c r="AA3107" s="3">
        <v>13775.72</v>
      </c>
      <c r="AB3107">
        <v>1E-4</v>
      </c>
      <c r="AC3107">
        <v>8</v>
      </c>
      <c r="AD3107" s="5">
        <v>4.7668282611751502</v>
      </c>
      <c r="AE3107" s="5">
        <v>2.1136931455831243</v>
      </c>
      <c r="AF3107">
        <v>1</v>
      </c>
    </row>
    <row r="3108" spans="27:32" x14ac:dyDescent="0.3">
      <c r="AA3108" s="3">
        <v>14374.56</v>
      </c>
      <c r="AB3108">
        <v>1E-4</v>
      </c>
      <c r="AC3108">
        <v>8</v>
      </c>
      <c r="AD3108" s="5">
        <v>4.9714839071729005</v>
      </c>
      <c r="AE3108" s="5">
        <v>2.1632003844767991</v>
      </c>
      <c r="AF3108">
        <v>1</v>
      </c>
    </row>
    <row r="3109" spans="27:32" x14ac:dyDescent="0.3">
      <c r="AA3109" s="3">
        <v>28123.05</v>
      </c>
      <c r="AB3109">
        <v>1E-4</v>
      </c>
      <c r="AC3109">
        <v>8</v>
      </c>
      <c r="AD3109" s="5">
        <v>5.0220467992435962</v>
      </c>
      <c r="AE3109" s="5">
        <v>2.252293325146935</v>
      </c>
      <c r="AF3109">
        <v>1</v>
      </c>
    </row>
    <row r="3110" spans="27:32" x14ac:dyDescent="0.3">
      <c r="AA3110" s="3">
        <v>6993.3</v>
      </c>
      <c r="AB3110">
        <v>1E-4</v>
      </c>
      <c r="AC3110">
        <v>8</v>
      </c>
      <c r="AD3110" s="5">
        <v>4.9088901806222172</v>
      </c>
      <c r="AE3110" s="5">
        <v>2.1972218023763386</v>
      </c>
      <c r="AF3110">
        <v>1</v>
      </c>
    </row>
    <row r="3111" spans="27:32" x14ac:dyDescent="0.3">
      <c r="AA3111" s="3">
        <v>12504.37</v>
      </c>
      <c r="AB3111">
        <v>1E-4</v>
      </c>
      <c r="AC3111">
        <v>8</v>
      </c>
      <c r="AD3111" s="5">
        <v>5.0528885852722203</v>
      </c>
      <c r="AE3111" s="5">
        <v>2.2182769750565119</v>
      </c>
      <c r="AF3111">
        <v>1</v>
      </c>
    </row>
    <row r="3112" spans="27:32" x14ac:dyDescent="0.3">
      <c r="AA3112" s="3">
        <v>20565.78</v>
      </c>
      <c r="AB3112">
        <v>1E-4</v>
      </c>
      <c r="AC3112">
        <v>8</v>
      </c>
      <c r="AD3112" s="5">
        <v>5.0746333900979552</v>
      </c>
      <c r="AE3112" s="5">
        <v>2.2202843861922341</v>
      </c>
      <c r="AF3112">
        <v>1</v>
      </c>
    </row>
    <row r="3113" spans="27:32" x14ac:dyDescent="0.3">
      <c r="AA3113" s="3">
        <v>4434.9799999999996</v>
      </c>
      <c r="AB3113">
        <v>1E-4</v>
      </c>
      <c r="AC3113">
        <v>8</v>
      </c>
      <c r="AD3113" s="5">
        <v>4.9210761747121694</v>
      </c>
      <c r="AE3113" s="5">
        <v>2.1745221134727175</v>
      </c>
      <c r="AF3113">
        <v>1</v>
      </c>
    </row>
    <row r="3114" spans="27:32" x14ac:dyDescent="0.3">
      <c r="AA3114" s="3">
        <v>30912.639999999999</v>
      </c>
      <c r="AB3114">
        <v>1E-4</v>
      </c>
      <c r="AC3114">
        <v>8</v>
      </c>
      <c r="AD3114" s="5">
        <v>5.1924071231314324</v>
      </c>
      <c r="AE3114" s="5">
        <v>2.2168329823114798</v>
      </c>
      <c r="AF3114">
        <v>1</v>
      </c>
    </row>
    <row r="3115" spans="27:32" x14ac:dyDescent="0.3">
      <c r="AA3115" s="3">
        <v>8323.16</v>
      </c>
      <c r="AB3115">
        <v>1E-4</v>
      </c>
      <c r="AC3115">
        <v>8</v>
      </c>
      <c r="AD3115" s="5">
        <v>4.8588090411500211</v>
      </c>
      <c r="AE3115" s="5">
        <v>2.1392942130851345</v>
      </c>
      <c r="AF3115">
        <v>1</v>
      </c>
    </row>
    <row r="3116" spans="27:32" x14ac:dyDescent="0.3">
      <c r="AA3116" s="3">
        <v>25807.66</v>
      </c>
      <c r="AB3116">
        <v>1E-4</v>
      </c>
      <c r="AC3116">
        <v>8</v>
      </c>
      <c r="AD3116" s="5">
        <v>5.0588264941971666</v>
      </c>
      <c r="AE3116" s="5">
        <v>2.2130582256779019</v>
      </c>
      <c r="AF3116">
        <v>1</v>
      </c>
    </row>
    <row r="3117" spans="27:32" x14ac:dyDescent="0.3">
      <c r="AA3117" s="3">
        <v>-23270.07</v>
      </c>
      <c r="AB3117">
        <v>1E-4</v>
      </c>
      <c r="AC3117">
        <v>9</v>
      </c>
      <c r="AD3117" s="5">
        <v>5.0340096842816715</v>
      </c>
      <c r="AE3117" s="5">
        <v>2.1899089703066177</v>
      </c>
      <c r="AF3117">
        <v>1</v>
      </c>
    </row>
    <row r="3118" spans="27:32" x14ac:dyDescent="0.3">
      <c r="AA3118" s="3">
        <v>-1291.96</v>
      </c>
      <c r="AB3118">
        <v>1E-4</v>
      </c>
      <c r="AC3118">
        <v>9</v>
      </c>
      <c r="AD3118" s="5">
        <v>5.0065947452301724</v>
      </c>
      <c r="AE3118" s="5">
        <v>2.2410560066576295</v>
      </c>
      <c r="AF3118">
        <v>1</v>
      </c>
    </row>
    <row r="3119" spans="27:32" x14ac:dyDescent="0.3">
      <c r="AA3119" s="3">
        <v>30773.1</v>
      </c>
      <c r="AB3119">
        <v>1E-4</v>
      </c>
      <c r="AC3119">
        <v>7</v>
      </c>
      <c r="AD3119" s="5">
        <v>5.1095627124800398</v>
      </c>
      <c r="AE3119" s="5">
        <v>2.1648259245524661</v>
      </c>
      <c r="AF3119">
        <v>1</v>
      </c>
    </row>
    <row r="3120" spans="27:32" x14ac:dyDescent="0.3">
      <c r="AA3120" s="3">
        <v>10776.68</v>
      </c>
      <c r="AB3120">
        <v>1E-4</v>
      </c>
      <c r="AC3120">
        <v>8</v>
      </c>
      <c r="AD3120" s="5">
        <v>4.9123217731559121</v>
      </c>
      <c r="AE3120" s="5">
        <v>2.2309195984911114</v>
      </c>
      <c r="AF3120">
        <v>1</v>
      </c>
    </row>
    <row r="3121" spans="27:32" x14ac:dyDescent="0.3">
      <c r="AA3121" s="3">
        <v>67265.42</v>
      </c>
      <c r="AB3121">
        <v>1E-4</v>
      </c>
      <c r="AC3121">
        <v>6</v>
      </c>
      <c r="AD3121" s="5">
        <v>5.2015138812196557</v>
      </c>
      <c r="AE3121" s="5">
        <v>2.0912111010733074</v>
      </c>
      <c r="AF3121">
        <v>1</v>
      </c>
    </row>
    <row r="3122" spans="27:32" x14ac:dyDescent="0.3">
      <c r="AA3122" s="3">
        <v>15421.88</v>
      </c>
      <c r="AB3122">
        <v>1E-4</v>
      </c>
      <c r="AC3122">
        <v>8</v>
      </c>
      <c r="AD3122" s="5">
        <v>5.0520600846181223</v>
      </c>
      <c r="AE3122" s="5">
        <v>2.2163589706982894</v>
      </c>
      <c r="AF3122">
        <v>1</v>
      </c>
    </row>
    <row r="3123" spans="27:32" x14ac:dyDescent="0.3">
      <c r="AA3123" s="3">
        <v>37897.519999999997</v>
      </c>
      <c r="AB3123">
        <v>1E-4</v>
      </c>
      <c r="AC3123">
        <v>7</v>
      </c>
      <c r="AD3123" s="5">
        <v>5.0673698998444046</v>
      </c>
      <c r="AE3123" s="5">
        <v>2.2686313314486704</v>
      </c>
      <c r="AF3123">
        <v>1</v>
      </c>
    </row>
    <row r="3124" spans="27:32" x14ac:dyDescent="0.3">
      <c r="AA3124" s="3">
        <v>31671.99</v>
      </c>
      <c r="AB3124">
        <v>1E-4</v>
      </c>
      <c r="AC3124">
        <v>7</v>
      </c>
      <c r="AD3124" s="5">
        <v>4.9635945372125487</v>
      </c>
      <c r="AE3124" s="5">
        <v>2.2851848244324757</v>
      </c>
      <c r="AF3124">
        <v>1</v>
      </c>
    </row>
    <row r="3125" spans="27:32" x14ac:dyDescent="0.3">
      <c r="AA3125" s="3">
        <v>16211.63</v>
      </c>
      <c r="AB3125">
        <v>1E-4</v>
      </c>
      <c r="AC3125">
        <v>8</v>
      </c>
      <c r="AD3125" s="5">
        <v>4.895673232523813</v>
      </c>
      <c r="AE3125" s="5">
        <v>2.1647600689144189</v>
      </c>
      <c r="AF3125">
        <v>1</v>
      </c>
    </row>
    <row r="3126" spans="27:32" x14ac:dyDescent="0.3">
      <c r="AA3126" s="3">
        <v>10981.49</v>
      </c>
      <c r="AB3126">
        <v>1E-4</v>
      </c>
      <c r="AC3126">
        <v>8</v>
      </c>
      <c r="AD3126" s="5">
        <v>5.0097246167599048</v>
      </c>
      <c r="AE3126" s="5">
        <v>2.1432969394688302</v>
      </c>
      <c r="AF3126">
        <v>1</v>
      </c>
    </row>
    <row r="3127" spans="27:32" x14ac:dyDescent="0.3">
      <c r="AA3127" s="3">
        <v>41225.599999999999</v>
      </c>
      <c r="AB3127">
        <v>1E-4</v>
      </c>
      <c r="AC3127">
        <v>7</v>
      </c>
      <c r="AD3127" s="5">
        <v>5.2804339003680525</v>
      </c>
      <c r="AE3127" s="5">
        <v>2.1994630251553033</v>
      </c>
      <c r="AF3127">
        <v>1</v>
      </c>
    </row>
    <row r="3128" spans="27:32" x14ac:dyDescent="0.3">
      <c r="AA3128" s="3">
        <v>52012.41</v>
      </c>
      <c r="AB3128">
        <v>1E-4</v>
      </c>
      <c r="AC3128">
        <v>6</v>
      </c>
      <c r="AD3128" s="5">
        <v>5.1814664362176668</v>
      </c>
      <c r="AE3128" s="5">
        <v>2.2043375703584238</v>
      </c>
      <c r="AF3128">
        <v>1</v>
      </c>
    </row>
    <row r="3129" spans="27:32" x14ac:dyDescent="0.3">
      <c r="AA3129" s="3">
        <v>42658.87</v>
      </c>
      <c r="AB3129">
        <v>1E-4</v>
      </c>
      <c r="AC3129">
        <v>7</v>
      </c>
      <c r="AD3129" s="5">
        <v>4.8989481275590441</v>
      </c>
      <c r="AE3129" s="5">
        <v>2.1450762585616454</v>
      </c>
      <c r="AF3129">
        <v>1</v>
      </c>
    </row>
    <row r="3130" spans="27:32" x14ac:dyDescent="0.3">
      <c r="AA3130" s="3">
        <v>33078.519999999997</v>
      </c>
      <c r="AB3130">
        <v>1E-4</v>
      </c>
      <c r="AC3130">
        <v>7</v>
      </c>
      <c r="AD3130" s="5">
        <v>5.1082610660023802</v>
      </c>
      <c r="AE3130" s="5">
        <v>2.0802401318188446</v>
      </c>
      <c r="AF3130">
        <v>1</v>
      </c>
    </row>
    <row r="3131" spans="27:32" x14ac:dyDescent="0.3">
      <c r="AA3131" s="3">
        <v>27091.68</v>
      </c>
      <c r="AB3131">
        <v>1E-4</v>
      </c>
      <c r="AC3131">
        <v>8</v>
      </c>
      <c r="AD3131" s="5">
        <v>5.0151455766328894</v>
      </c>
      <c r="AE3131" s="5">
        <v>2.2481196806406292</v>
      </c>
      <c r="AF3131">
        <v>1</v>
      </c>
    </row>
    <row r="3132" spans="27:32" x14ac:dyDescent="0.3">
      <c r="AA3132" s="3">
        <v>16428.990000000002</v>
      </c>
      <c r="AB3132">
        <v>1E-4</v>
      </c>
      <c r="AC3132">
        <v>8</v>
      </c>
      <c r="AD3132" s="5">
        <v>5.09499955737697</v>
      </c>
      <c r="AE3132" s="5">
        <v>2.2521634390489047</v>
      </c>
      <c r="AF3132">
        <v>1</v>
      </c>
    </row>
    <row r="3133" spans="27:32" x14ac:dyDescent="0.3">
      <c r="AA3133" s="3">
        <v>5528.92</v>
      </c>
      <c r="AB3133">
        <v>1E-4</v>
      </c>
      <c r="AC3133">
        <v>8</v>
      </c>
      <c r="AD3133" s="5">
        <v>5.0678503625300406</v>
      </c>
      <c r="AE3133" s="5">
        <v>2.1921864482825</v>
      </c>
      <c r="AF3133">
        <v>1</v>
      </c>
    </row>
    <row r="3134" spans="27:32" x14ac:dyDescent="0.3">
      <c r="AA3134" s="3">
        <v>12390.13</v>
      </c>
      <c r="AB3134">
        <v>1E-4</v>
      </c>
      <c r="AC3134">
        <v>8</v>
      </c>
      <c r="AD3134" s="5">
        <v>5.0045730633503229</v>
      </c>
      <c r="AE3134" s="5">
        <v>2.193091259316251</v>
      </c>
      <c r="AF3134">
        <v>1</v>
      </c>
    </row>
    <row r="3135" spans="27:32" x14ac:dyDescent="0.3">
      <c r="AA3135" s="3">
        <v>885.87</v>
      </c>
      <c r="AB3135">
        <v>1E-4</v>
      </c>
      <c r="AC3135">
        <v>8</v>
      </c>
      <c r="AD3135" s="5">
        <v>5.0047575475386594</v>
      </c>
      <c r="AE3135" s="5">
        <v>2.2509324696086876</v>
      </c>
      <c r="AF3135">
        <v>1</v>
      </c>
    </row>
    <row r="3136" spans="27:32" x14ac:dyDescent="0.3">
      <c r="AA3136" s="3">
        <v>17246.8</v>
      </c>
      <c r="AB3136">
        <v>1E-4</v>
      </c>
      <c r="AC3136">
        <v>8</v>
      </c>
      <c r="AD3136" s="5">
        <v>5.0038310736752125</v>
      </c>
      <c r="AE3136" s="5">
        <v>2.2269734089371287</v>
      </c>
      <c r="AF3136">
        <v>1</v>
      </c>
    </row>
    <row r="3137" spans="27:32" x14ac:dyDescent="0.3">
      <c r="AA3137" s="3">
        <v>13758.74</v>
      </c>
      <c r="AB3137">
        <v>1E-4</v>
      </c>
      <c r="AC3137">
        <v>8</v>
      </c>
      <c r="AD3137" s="5">
        <v>5.1678597724153983</v>
      </c>
      <c r="AE3137" s="5">
        <v>2.158310350171976</v>
      </c>
      <c r="AF3137">
        <v>1</v>
      </c>
    </row>
    <row r="3138" spans="27:32" x14ac:dyDescent="0.3">
      <c r="AA3138" s="3">
        <v>32702.23</v>
      </c>
      <c r="AB3138">
        <v>1E-4</v>
      </c>
      <c r="AC3138">
        <v>7</v>
      </c>
      <c r="AD3138" s="5">
        <v>4.9718484423664409</v>
      </c>
      <c r="AE3138" s="5">
        <v>2.2452478068552644</v>
      </c>
      <c r="AF3138">
        <v>1</v>
      </c>
    </row>
    <row r="3139" spans="27:32" x14ac:dyDescent="0.3">
      <c r="AA3139" s="3">
        <v>49187.15</v>
      </c>
      <c r="AB3139">
        <v>1E-4</v>
      </c>
      <c r="AC3139">
        <v>7</v>
      </c>
      <c r="AD3139" s="5">
        <v>5.0990606352764978</v>
      </c>
      <c r="AE3139" s="5">
        <v>2.2453903094150456</v>
      </c>
      <c r="AF3139">
        <v>1</v>
      </c>
    </row>
    <row r="3140" spans="27:32" x14ac:dyDescent="0.3">
      <c r="AA3140" s="3">
        <v>-15273.02</v>
      </c>
      <c r="AB3140">
        <v>1E-4</v>
      </c>
      <c r="AC3140">
        <v>9</v>
      </c>
      <c r="AD3140" s="5">
        <v>4.8965290163377828</v>
      </c>
      <c r="AE3140" s="5">
        <v>2.2420357883792117</v>
      </c>
      <c r="AF3140">
        <v>1</v>
      </c>
    </row>
    <row r="3141" spans="27:32" x14ac:dyDescent="0.3">
      <c r="AA3141" s="3">
        <v>12111.24</v>
      </c>
      <c r="AB3141">
        <v>1E-4</v>
      </c>
      <c r="AC3141">
        <v>8</v>
      </c>
      <c r="AD3141" s="5">
        <v>4.9414646529827397</v>
      </c>
      <c r="AE3141" s="5">
        <v>2.1852965782309282</v>
      </c>
      <c r="AF3141">
        <v>1</v>
      </c>
    </row>
    <row r="3142" spans="27:32" x14ac:dyDescent="0.3">
      <c r="AA3142" s="3">
        <v>23611.37</v>
      </c>
      <c r="AB3142">
        <v>1E-4</v>
      </c>
      <c r="AC3142">
        <v>8</v>
      </c>
      <c r="AD3142" s="5">
        <v>5.0852039665336335</v>
      </c>
      <c r="AE3142" s="5">
        <v>2.2239060580997823</v>
      </c>
      <c r="AF3142">
        <v>1</v>
      </c>
    </row>
    <row r="3143" spans="27:32" x14ac:dyDescent="0.3">
      <c r="AA3143" s="3">
        <v>58434.36</v>
      </c>
      <c r="AB3143">
        <v>1E-4</v>
      </c>
      <c r="AC3143">
        <v>6</v>
      </c>
      <c r="AD3143" s="5">
        <v>5.0973410029204524</v>
      </c>
      <c r="AE3143" s="5">
        <v>2.1735402789385225</v>
      </c>
      <c r="AF3143">
        <v>1</v>
      </c>
    </row>
    <row r="3144" spans="27:32" x14ac:dyDescent="0.3">
      <c r="AA3144" s="3">
        <v>58787.86</v>
      </c>
      <c r="AB3144">
        <v>1E-4</v>
      </c>
      <c r="AC3144">
        <v>6</v>
      </c>
      <c r="AD3144" s="5">
        <v>5.0432440614919756</v>
      </c>
      <c r="AE3144" s="5">
        <v>2.2014315638654356</v>
      </c>
      <c r="AF3144">
        <v>1</v>
      </c>
    </row>
    <row r="3145" spans="27:32" x14ac:dyDescent="0.3">
      <c r="AA3145" s="3">
        <v>23400.080000000002</v>
      </c>
      <c r="AB3145">
        <v>1E-4</v>
      </c>
      <c r="AC3145">
        <v>8</v>
      </c>
      <c r="AD3145" s="5">
        <v>4.9916695348902245</v>
      </c>
      <c r="AE3145" s="5">
        <v>2.2119557412892141</v>
      </c>
      <c r="AF3145">
        <v>1</v>
      </c>
    </row>
    <row r="3146" spans="27:32" x14ac:dyDescent="0.3">
      <c r="AA3146" s="3">
        <v>-3388.81</v>
      </c>
      <c r="AB3146">
        <v>1E-4</v>
      </c>
      <c r="AC3146">
        <v>9</v>
      </c>
      <c r="AD3146" s="5">
        <v>5.0592661191978721</v>
      </c>
      <c r="AE3146" s="5">
        <v>2.1962305659742261</v>
      </c>
      <c r="AF3146">
        <v>1</v>
      </c>
    </row>
    <row r="3147" spans="27:32" x14ac:dyDescent="0.3">
      <c r="AA3147" s="3">
        <v>12164.06</v>
      </c>
      <c r="AB3147">
        <v>1E-4</v>
      </c>
      <c r="AC3147">
        <v>8</v>
      </c>
      <c r="AD3147" s="5">
        <v>5.1316653641937391</v>
      </c>
      <c r="AE3147" s="5">
        <v>2.2515512618658895</v>
      </c>
      <c r="AF3147">
        <v>1</v>
      </c>
    </row>
    <row r="3148" spans="27:32" x14ac:dyDescent="0.3">
      <c r="AA3148" s="3">
        <v>22553.99</v>
      </c>
      <c r="AB3148">
        <v>1E-4</v>
      </c>
      <c r="AC3148">
        <v>8</v>
      </c>
      <c r="AD3148" s="5">
        <v>4.9317284307576719</v>
      </c>
      <c r="AE3148" s="5">
        <v>2.168162626296497</v>
      </c>
      <c r="AF3148">
        <v>1</v>
      </c>
    </row>
    <row r="3149" spans="27:32" x14ac:dyDescent="0.3">
      <c r="AA3149" s="3">
        <v>17149.87</v>
      </c>
      <c r="AB3149">
        <v>1E-4</v>
      </c>
      <c r="AC3149">
        <v>8</v>
      </c>
      <c r="AD3149" s="5">
        <v>5.0585549202152169</v>
      </c>
      <c r="AE3149" s="5">
        <v>2.160791819600119</v>
      </c>
      <c r="AF3149">
        <v>1</v>
      </c>
    </row>
    <row r="3150" spans="27:32" x14ac:dyDescent="0.3">
      <c r="AA3150" s="3">
        <v>22493.91</v>
      </c>
      <c r="AB3150">
        <v>1E-4</v>
      </c>
      <c r="AC3150">
        <v>8</v>
      </c>
      <c r="AD3150" s="5">
        <v>4.9220418471829568</v>
      </c>
      <c r="AE3150" s="5">
        <v>2.1217016066846064</v>
      </c>
      <c r="AF3150">
        <v>1</v>
      </c>
    </row>
    <row r="3151" spans="27:32" x14ac:dyDescent="0.3">
      <c r="AA3151" s="3">
        <v>26326.91</v>
      </c>
      <c r="AB3151">
        <v>1E-4</v>
      </c>
      <c r="AC3151">
        <v>8</v>
      </c>
      <c r="AD3151" s="5">
        <v>5.0669937968624463</v>
      </c>
      <c r="AE3151" s="5">
        <v>2.2217796839084931</v>
      </c>
      <c r="AF3151">
        <v>1</v>
      </c>
    </row>
    <row r="3152" spans="27:32" x14ac:dyDescent="0.3">
      <c r="AA3152" s="3">
        <v>-4542.3</v>
      </c>
      <c r="AB3152">
        <v>1E-4</v>
      </c>
      <c r="AC3152">
        <v>9</v>
      </c>
      <c r="AD3152" s="5">
        <v>4.9236507050642873</v>
      </c>
      <c r="AE3152" s="5">
        <v>2.1818047329431334</v>
      </c>
      <c r="AF3152">
        <v>1</v>
      </c>
    </row>
    <row r="3153" spans="27:32" x14ac:dyDescent="0.3">
      <c r="AA3153" s="3">
        <v>-10966.08</v>
      </c>
      <c r="AB3153">
        <v>1E-4</v>
      </c>
      <c r="AC3153">
        <v>9</v>
      </c>
      <c r="AD3153" s="5">
        <v>4.9433345690464945</v>
      </c>
      <c r="AE3153" s="5">
        <v>2.279729146624657</v>
      </c>
      <c r="AF3153">
        <v>1</v>
      </c>
    </row>
    <row r="3154" spans="27:32" x14ac:dyDescent="0.3">
      <c r="AA3154" s="3">
        <v>20658.59</v>
      </c>
      <c r="AB3154">
        <v>1E-4</v>
      </c>
      <c r="AC3154">
        <v>8</v>
      </c>
      <c r="AD3154" s="5">
        <v>4.9329885608314825</v>
      </c>
      <c r="AE3154" s="5">
        <v>2.2558871275795447</v>
      </c>
      <c r="AF3154">
        <v>1</v>
      </c>
    </row>
    <row r="3155" spans="27:32" x14ac:dyDescent="0.3">
      <c r="AA3155" s="3">
        <v>-228.67</v>
      </c>
      <c r="AB3155">
        <v>1E-4</v>
      </c>
      <c r="AC3155">
        <v>9</v>
      </c>
      <c r="AD3155" s="5">
        <v>5.0646110997250267</v>
      </c>
      <c r="AE3155" s="5">
        <v>2.2324094750519183</v>
      </c>
      <c r="AF3155">
        <v>1</v>
      </c>
    </row>
    <row r="3156" spans="27:32" x14ac:dyDescent="0.3">
      <c r="AA3156" s="3">
        <v>22166.52</v>
      </c>
      <c r="AB3156">
        <v>1E-4</v>
      </c>
      <c r="AC3156">
        <v>8</v>
      </c>
      <c r="AD3156" s="5">
        <v>5.0109654036766011</v>
      </c>
      <c r="AE3156" s="5">
        <v>2.1925649503182996</v>
      </c>
      <c r="AF3156">
        <v>1</v>
      </c>
    </row>
    <row r="3157" spans="27:32" x14ac:dyDescent="0.3">
      <c r="AA3157" s="3">
        <v>37369.11</v>
      </c>
      <c r="AB3157">
        <v>1E-4</v>
      </c>
      <c r="AC3157">
        <v>7</v>
      </c>
      <c r="AD3157" s="5">
        <v>4.991993228687666</v>
      </c>
      <c r="AE3157" s="5">
        <v>2.219376338767209</v>
      </c>
      <c r="AF3157">
        <v>1</v>
      </c>
    </row>
    <row r="3158" spans="27:32" x14ac:dyDescent="0.3">
      <c r="AA3158" s="3">
        <v>21042.99</v>
      </c>
      <c r="AB3158">
        <v>1E-4</v>
      </c>
      <c r="AC3158">
        <v>8</v>
      </c>
      <c r="AD3158" s="5">
        <v>5.0259813305131127</v>
      </c>
      <c r="AE3158" s="5">
        <v>2.2836861327378184</v>
      </c>
      <c r="AF3158">
        <v>1</v>
      </c>
    </row>
    <row r="3159" spans="27:32" x14ac:dyDescent="0.3">
      <c r="AA3159" s="3">
        <v>-26228.12</v>
      </c>
      <c r="AB3159">
        <v>1E-4</v>
      </c>
      <c r="AC3159">
        <v>9</v>
      </c>
      <c r="AD3159" s="5">
        <v>4.8950797705938829</v>
      </c>
      <c r="AE3159" s="5">
        <v>2.3333641529418845</v>
      </c>
      <c r="AF3159">
        <v>1</v>
      </c>
    </row>
    <row r="3160" spans="27:32" x14ac:dyDescent="0.3">
      <c r="AA3160" s="3">
        <v>23493.34</v>
      </c>
      <c r="AB3160">
        <v>1E-4</v>
      </c>
      <c r="AC3160">
        <v>8</v>
      </c>
      <c r="AD3160" s="5">
        <v>5.0317176199083242</v>
      </c>
      <c r="AE3160" s="5">
        <v>2.2953677031326127</v>
      </c>
      <c r="AF3160">
        <v>1</v>
      </c>
    </row>
    <row r="3161" spans="27:32" x14ac:dyDescent="0.3">
      <c r="AA3161" s="3">
        <v>12609.96</v>
      </c>
      <c r="AB3161">
        <v>1E-4</v>
      </c>
      <c r="AC3161">
        <v>8</v>
      </c>
      <c r="AD3161" s="5">
        <v>5.1834968646597082</v>
      </c>
      <c r="AE3161" s="5">
        <v>2.1855163027409032</v>
      </c>
      <c r="AF3161">
        <v>1</v>
      </c>
    </row>
    <row r="3162" spans="27:32" x14ac:dyDescent="0.3">
      <c r="AA3162" s="3">
        <v>32245.19</v>
      </c>
      <c r="AB3162">
        <v>1E-4</v>
      </c>
      <c r="AC3162">
        <v>7</v>
      </c>
      <c r="AD3162" s="5">
        <v>5.1083923476188362</v>
      </c>
      <c r="AE3162" s="5">
        <v>2.1540037984124982</v>
      </c>
      <c r="AF3162">
        <v>1</v>
      </c>
    </row>
    <row r="3163" spans="27:32" x14ac:dyDescent="0.3">
      <c r="AA3163" s="3">
        <v>59716.07</v>
      </c>
      <c r="AB3163">
        <v>1E-4</v>
      </c>
      <c r="AC3163">
        <v>6</v>
      </c>
      <c r="AD3163" s="5">
        <v>4.9888053372361227</v>
      </c>
      <c r="AE3163" s="5">
        <v>2.2313053249218058</v>
      </c>
      <c r="AF3163">
        <v>1</v>
      </c>
    </row>
    <row r="3164" spans="27:32" x14ac:dyDescent="0.3">
      <c r="AA3164" s="3">
        <v>-10986.18</v>
      </c>
      <c r="AB3164">
        <v>1E-4</v>
      </c>
      <c r="AC3164">
        <v>9</v>
      </c>
      <c r="AD3164" s="5">
        <v>5.0177021031649875</v>
      </c>
      <c r="AE3164" s="5">
        <v>2.3209751071469804</v>
      </c>
      <c r="AF3164">
        <v>1</v>
      </c>
    </row>
    <row r="3165" spans="27:32" x14ac:dyDescent="0.3">
      <c r="AA3165" s="3">
        <v>33479.54</v>
      </c>
      <c r="AB3165">
        <v>1E-4</v>
      </c>
      <c r="AC3165">
        <v>7</v>
      </c>
      <c r="AD3165" s="5">
        <v>4.9550723811766373</v>
      </c>
      <c r="AE3165" s="5">
        <v>2.1468266291964269</v>
      </c>
      <c r="AF3165">
        <v>1</v>
      </c>
    </row>
    <row r="3166" spans="27:32" x14ac:dyDescent="0.3">
      <c r="AA3166" s="3">
        <v>-36032.720000000001</v>
      </c>
      <c r="AB3166">
        <v>1E-4</v>
      </c>
      <c r="AC3166">
        <v>9</v>
      </c>
      <c r="AD3166" s="5">
        <v>4.9301654535804271</v>
      </c>
      <c r="AE3166" s="5">
        <v>2.1625128344544278</v>
      </c>
      <c r="AF3166">
        <v>1</v>
      </c>
    </row>
    <row r="3167" spans="27:32" x14ac:dyDescent="0.3">
      <c r="AA3167" s="3">
        <v>12670.05</v>
      </c>
      <c r="AB3167">
        <v>1E-4</v>
      </c>
      <c r="AC3167">
        <v>8</v>
      </c>
      <c r="AD3167" s="5">
        <v>5.2401061695131537</v>
      </c>
      <c r="AE3167" s="5">
        <v>2.2821138225966133</v>
      </c>
      <c r="AF3167">
        <v>1</v>
      </c>
    </row>
    <row r="3168" spans="27:32" x14ac:dyDescent="0.3">
      <c r="AA3168" s="3">
        <v>30453.94</v>
      </c>
      <c r="AB3168">
        <v>1E-4</v>
      </c>
      <c r="AC3168">
        <v>8</v>
      </c>
      <c r="AD3168" s="5">
        <v>4.9873689622185662</v>
      </c>
      <c r="AE3168" s="5">
        <v>2.2039020773029736</v>
      </c>
      <c r="AF3168">
        <v>1</v>
      </c>
    </row>
    <row r="3169" spans="27:32" x14ac:dyDescent="0.3">
      <c r="AA3169" s="3">
        <v>19384.02</v>
      </c>
      <c r="AB3169">
        <v>1E-4</v>
      </c>
      <c r="AC3169">
        <v>8</v>
      </c>
      <c r="AD3169" s="5">
        <v>5.0354148656506261</v>
      </c>
      <c r="AE3169" s="5">
        <v>2.1318527415925548</v>
      </c>
      <c r="AF3169">
        <v>1</v>
      </c>
    </row>
    <row r="3170" spans="27:32" x14ac:dyDescent="0.3">
      <c r="AA3170" s="3">
        <v>9493.93</v>
      </c>
      <c r="AB3170">
        <v>1E-4</v>
      </c>
      <c r="AC3170">
        <v>8</v>
      </c>
      <c r="AD3170" s="5">
        <v>4.9901656658966225</v>
      </c>
      <c r="AE3170" s="5">
        <v>2.2179658197827155</v>
      </c>
      <c r="AF3170">
        <v>1</v>
      </c>
    </row>
    <row r="3171" spans="27:32" x14ac:dyDescent="0.3">
      <c r="AA3171" s="3">
        <v>-5440.78</v>
      </c>
      <c r="AB3171">
        <v>1E-4</v>
      </c>
      <c r="AC3171">
        <v>9</v>
      </c>
      <c r="AD3171" s="5">
        <v>4.9236637956037566</v>
      </c>
      <c r="AE3171" s="5">
        <v>2.1465174320086753</v>
      </c>
      <c r="AF3171">
        <v>1</v>
      </c>
    </row>
    <row r="3172" spans="27:32" x14ac:dyDescent="0.3">
      <c r="AA3172" s="3">
        <v>14780.89</v>
      </c>
      <c r="AB3172">
        <v>1E-4</v>
      </c>
      <c r="AC3172">
        <v>8</v>
      </c>
      <c r="AD3172" s="5">
        <v>5.0197029376028137</v>
      </c>
      <c r="AE3172" s="5">
        <v>2.2181285938741615</v>
      </c>
      <c r="AF3172">
        <v>1</v>
      </c>
    </row>
    <row r="3173" spans="27:32" x14ac:dyDescent="0.3">
      <c r="AA3173" s="3">
        <v>13938.85</v>
      </c>
      <c r="AB3173">
        <v>1E-4</v>
      </c>
      <c r="AC3173">
        <v>8</v>
      </c>
      <c r="AD3173" s="5">
        <v>4.9875400834576897</v>
      </c>
      <c r="AE3173" s="5">
        <v>2.0721537786633055</v>
      </c>
      <c r="AF3173">
        <v>1</v>
      </c>
    </row>
    <row r="3174" spans="27:32" x14ac:dyDescent="0.3">
      <c r="AA3174" s="3">
        <v>1216.52</v>
      </c>
      <c r="AB3174">
        <v>1E-4</v>
      </c>
      <c r="AC3174">
        <v>8</v>
      </c>
      <c r="AD3174" s="5">
        <v>4.8975492606515267</v>
      </c>
      <c r="AE3174" s="5">
        <v>2.18298337780673</v>
      </c>
      <c r="AF3174">
        <v>1</v>
      </c>
    </row>
    <row r="3175" spans="27:32" x14ac:dyDescent="0.3">
      <c r="AA3175" s="3">
        <v>18117.740000000002</v>
      </c>
      <c r="AB3175">
        <v>1E-4</v>
      </c>
      <c r="AC3175">
        <v>8</v>
      </c>
      <c r="AD3175" s="5">
        <v>5.0485104252769055</v>
      </c>
      <c r="AE3175" s="5">
        <v>2.2165341458924495</v>
      </c>
      <c r="AF3175">
        <v>1</v>
      </c>
    </row>
    <row r="3176" spans="27:32" x14ac:dyDescent="0.3">
      <c r="AA3176" s="3">
        <v>24824.240000000002</v>
      </c>
      <c r="AB3176">
        <v>1E-4</v>
      </c>
      <c r="AC3176">
        <v>8</v>
      </c>
      <c r="AD3176" s="5">
        <v>5.0404628734365264</v>
      </c>
      <c r="AE3176" s="5">
        <v>2.190009814651166</v>
      </c>
      <c r="AF3176">
        <v>1</v>
      </c>
    </row>
    <row r="3177" spans="27:32" x14ac:dyDescent="0.3">
      <c r="AA3177" s="3">
        <v>21567.23</v>
      </c>
      <c r="AB3177">
        <v>1E-4</v>
      </c>
      <c r="AC3177">
        <v>8</v>
      </c>
      <c r="AD3177" s="5">
        <v>4.8919040125328257</v>
      </c>
      <c r="AE3177" s="5">
        <v>2.180910193297835</v>
      </c>
      <c r="AF3177">
        <v>1</v>
      </c>
    </row>
    <row r="3178" spans="27:32" x14ac:dyDescent="0.3">
      <c r="AA3178" s="3">
        <v>8549.2900000000009</v>
      </c>
      <c r="AB3178">
        <v>1E-4</v>
      </c>
      <c r="AC3178">
        <v>8</v>
      </c>
      <c r="AD3178" s="5">
        <v>4.9168017507740007</v>
      </c>
      <c r="AE3178" s="5">
        <v>2.2411247725095746</v>
      </c>
      <c r="AF3178">
        <v>1</v>
      </c>
    </row>
    <row r="3179" spans="27:32" x14ac:dyDescent="0.3">
      <c r="AA3179" s="3">
        <v>-7249.03</v>
      </c>
      <c r="AB3179">
        <v>1E-4</v>
      </c>
      <c r="AC3179">
        <v>9</v>
      </c>
      <c r="AD3179" s="5">
        <v>5.0288534249781058</v>
      </c>
      <c r="AE3179" s="5">
        <v>2.2126350014048293</v>
      </c>
      <c r="AF3179">
        <v>1</v>
      </c>
    </row>
    <row r="3180" spans="27:32" x14ac:dyDescent="0.3">
      <c r="AA3180" s="3">
        <v>9148.83</v>
      </c>
      <c r="AB3180">
        <v>1E-4</v>
      </c>
      <c r="AC3180">
        <v>8</v>
      </c>
      <c r="AD3180" s="5">
        <v>4.9046616137895507</v>
      </c>
      <c r="AE3180" s="5">
        <v>2.1409987023322783</v>
      </c>
      <c r="AF3180">
        <v>1</v>
      </c>
    </row>
    <row r="3181" spans="27:32" x14ac:dyDescent="0.3">
      <c r="AA3181" s="3">
        <v>-5335.3414098838348</v>
      </c>
      <c r="AB3181">
        <v>1E-4</v>
      </c>
      <c r="AC3181">
        <v>8</v>
      </c>
      <c r="AD3181" s="5">
        <v>4.8871107925163715</v>
      </c>
      <c r="AE3181" s="5">
        <v>2.1460735400006232</v>
      </c>
      <c r="AF3181">
        <v>0</v>
      </c>
    </row>
    <row r="3182" spans="27:32" x14ac:dyDescent="0.3">
      <c r="AA3182" s="3">
        <v>8884.43</v>
      </c>
      <c r="AB3182">
        <v>1E-4</v>
      </c>
      <c r="AC3182">
        <v>8</v>
      </c>
      <c r="AD3182" s="5">
        <v>5.0631759616024539</v>
      </c>
      <c r="AE3182" s="5">
        <v>2.2656341299937406</v>
      </c>
      <c r="AF3182">
        <v>1</v>
      </c>
    </row>
    <row r="3183" spans="27:32" x14ac:dyDescent="0.3">
      <c r="AA3183" s="3">
        <v>-11053.96</v>
      </c>
      <c r="AB3183">
        <v>1E-4</v>
      </c>
      <c r="AC3183">
        <v>9</v>
      </c>
      <c r="AD3183" s="5">
        <v>4.9158862211821344</v>
      </c>
      <c r="AE3183" s="5">
        <v>2.2140902188259082</v>
      </c>
      <c r="AF3183">
        <v>1</v>
      </c>
    </row>
    <row r="3184" spans="27:32" x14ac:dyDescent="0.3">
      <c r="AA3184" s="3">
        <v>24895.4</v>
      </c>
      <c r="AB3184">
        <v>1E-4</v>
      </c>
      <c r="AC3184">
        <v>8</v>
      </c>
      <c r="AD3184" s="5">
        <v>5.1545749124445646</v>
      </c>
      <c r="AE3184" s="5">
        <v>2.2245787406405388</v>
      </c>
      <c r="AF3184">
        <v>1</v>
      </c>
    </row>
    <row r="3185" spans="27:32" x14ac:dyDescent="0.3">
      <c r="AA3185" s="3">
        <v>-3671.85</v>
      </c>
      <c r="AB3185">
        <v>1E-4</v>
      </c>
      <c r="AC3185">
        <v>9</v>
      </c>
      <c r="AD3185" s="5">
        <v>4.9927067203883082</v>
      </c>
      <c r="AE3185" s="5">
        <v>2.2132190127108182</v>
      </c>
      <c r="AF3185">
        <v>1</v>
      </c>
    </row>
    <row r="3186" spans="27:32" x14ac:dyDescent="0.3">
      <c r="AA3186" s="3">
        <v>29725.74</v>
      </c>
      <c r="AB3186">
        <v>1E-4</v>
      </c>
      <c r="AC3186">
        <v>8</v>
      </c>
      <c r="AD3186" s="5">
        <v>5.0285479569828384</v>
      </c>
      <c r="AE3186" s="5">
        <v>2.1562496650974645</v>
      </c>
      <c r="AF3186">
        <v>1</v>
      </c>
    </row>
    <row r="3187" spans="27:32" x14ac:dyDescent="0.3">
      <c r="AA3187" s="3">
        <v>16805.939999999999</v>
      </c>
      <c r="AB3187">
        <v>1E-4</v>
      </c>
      <c r="AC3187">
        <v>8</v>
      </c>
      <c r="AD3187" s="5">
        <v>5.1581899377831171</v>
      </c>
      <c r="AE3187" s="5">
        <v>2.2293175451543337</v>
      </c>
      <c r="AF3187">
        <v>1</v>
      </c>
    </row>
    <row r="3188" spans="27:32" x14ac:dyDescent="0.3">
      <c r="AA3188" s="3">
        <v>10365.41</v>
      </c>
      <c r="AB3188">
        <v>1E-4</v>
      </c>
      <c r="AC3188">
        <v>8</v>
      </c>
      <c r="AD3188" s="5">
        <v>5.0382305024955825</v>
      </c>
      <c r="AE3188" s="5">
        <v>2.2080255282583177</v>
      </c>
      <c r="AF3188">
        <v>1</v>
      </c>
    </row>
    <row r="3189" spans="27:32" x14ac:dyDescent="0.3">
      <c r="AA3189" s="3">
        <v>35965.870000000003</v>
      </c>
      <c r="AB3189">
        <v>1E-4</v>
      </c>
      <c r="AC3189">
        <v>7</v>
      </c>
      <c r="AD3189" s="5">
        <v>4.8717845913711812</v>
      </c>
      <c r="AE3189" s="5">
        <v>2.0853887975619654</v>
      </c>
      <c r="AF3189">
        <v>1</v>
      </c>
    </row>
    <row r="3190" spans="27:32" x14ac:dyDescent="0.3">
      <c r="AA3190" s="3">
        <v>7020.42</v>
      </c>
      <c r="AB3190">
        <v>1E-4</v>
      </c>
      <c r="AC3190">
        <v>8</v>
      </c>
      <c r="AD3190" s="5">
        <v>5.0130699698851249</v>
      </c>
      <c r="AE3190" s="5">
        <v>2.1523381182380139</v>
      </c>
      <c r="AF3190">
        <v>1</v>
      </c>
    </row>
    <row r="3191" spans="27:32" x14ac:dyDescent="0.3">
      <c r="AA3191" s="3">
        <v>12602.44</v>
      </c>
      <c r="AB3191">
        <v>1E-4</v>
      </c>
      <c r="AC3191">
        <v>8</v>
      </c>
      <c r="AD3191" s="5">
        <v>4.982691239487961</v>
      </c>
      <c r="AE3191" s="5">
        <v>2.2199529303308809</v>
      </c>
      <c r="AF3191">
        <v>1</v>
      </c>
    </row>
    <row r="3192" spans="27:32" x14ac:dyDescent="0.3">
      <c r="AA3192" s="3">
        <v>-2455.86</v>
      </c>
      <c r="AB3192">
        <v>1E-4</v>
      </c>
      <c r="AC3192">
        <v>9</v>
      </c>
      <c r="AD3192" s="5">
        <v>4.9254142781323269</v>
      </c>
      <c r="AE3192" s="5">
        <v>2.2060229046124662</v>
      </c>
      <c r="AF3192">
        <v>1</v>
      </c>
    </row>
    <row r="3193" spans="27:32" x14ac:dyDescent="0.3">
      <c r="AA3193" s="3">
        <v>4538.93</v>
      </c>
      <c r="AB3193">
        <v>1E-4</v>
      </c>
      <c r="AC3193">
        <v>8</v>
      </c>
      <c r="AD3193" s="5">
        <v>5.0355225001447064</v>
      </c>
      <c r="AE3193" s="5">
        <v>2.2056462534535424</v>
      </c>
      <c r="AF3193">
        <v>1</v>
      </c>
    </row>
    <row r="3194" spans="27:32" x14ac:dyDescent="0.3">
      <c r="AA3194" s="3">
        <v>16130.88</v>
      </c>
      <c r="AB3194">
        <v>1E-4</v>
      </c>
      <c r="AC3194">
        <v>8</v>
      </c>
      <c r="AD3194" s="5">
        <v>4.9211673899881907</v>
      </c>
      <c r="AE3194" s="5">
        <v>2.2329245330350047</v>
      </c>
      <c r="AF3194">
        <v>1</v>
      </c>
    </row>
    <row r="3195" spans="27:32" x14ac:dyDescent="0.3">
      <c r="AA3195" s="3">
        <v>-928.25</v>
      </c>
      <c r="AB3195">
        <v>1E-4</v>
      </c>
      <c r="AC3195">
        <v>9</v>
      </c>
      <c r="AD3195" s="5">
        <v>5.0034599195439178</v>
      </c>
      <c r="AE3195" s="5">
        <v>2.2421794382900879</v>
      </c>
      <c r="AF3195">
        <v>1</v>
      </c>
    </row>
    <row r="3196" spans="27:32" x14ac:dyDescent="0.3">
      <c r="AA3196" s="3">
        <v>16810.54</v>
      </c>
      <c r="AB3196">
        <v>1E-4</v>
      </c>
      <c r="AC3196">
        <v>8</v>
      </c>
      <c r="AD3196" s="5">
        <v>5.0847484696141665</v>
      </c>
      <c r="AE3196" s="5">
        <v>2.1963841201948258</v>
      </c>
      <c r="AF3196">
        <v>1</v>
      </c>
    </row>
    <row r="3197" spans="27:32" x14ac:dyDescent="0.3">
      <c r="AA3197" s="3">
        <v>17185.09</v>
      </c>
      <c r="AB3197">
        <v>1E-4</v>
      </c>
      <c r="AC3197">
        <v>8</v>
      </c>
      <c r="AD3197" s="5">
        <v>5.0737650286027645</v>
      </c>
      <c r="AE3197" s="5">
        <v>2.1753414052694664</v>
      </c>
      <c r="AF3197">
        <v>1</v>
      </c>
    </row>
    <row r="3198" spans="27:32" x14ac:dyDescent="0.3">
      <c r="AA3198" s="3">
        <v>47177.62</v>
      </c>
      <c r="AB3198">
        <v>1E-4</v>
      </c>
      <c r="AC3198">
        <v>6</v>
      </c>
      <c r="AD3198" s="5">
        <v>5.0449844162776722</v>
      </c>
      <c r="AE3198" s="5">
        <v>2.1775679514111506</v>
      </c>
      <c r="AF3198">
        <v>1</v>
      </c>
    </row>
    <row r="3199" spans="27:32" x14ac:dyDescent="0.3">
      <c r="AA3199" s="3">
        <v>-5933.92</v>
      </c>
      <c r="AB3199">
        <v>1E-4</v>
      </c>
      <c r="AC3199">
        <v>9</v>
      </c>
      <c r="AD3199" s="5">
        <v>5.0567076419186616</v>
      </c>
      <c r="AE3199" s="5">
        <v>2.2269177049696212</v>
      </c>
      <c r="AF3199">
        <v>1</v>
      </c>
    </row>
    <row r="3200" spans="27:32" x14ac:dyDescent="0.3">
      <c r="AA3200" s="3">
        <v>7539.4</v>
      </c>
      <c r="AB3200">
        <v>1E-4</v>
      </c>
      <c r="AC3200">
        <v>8</v>
      </c>
      <c r="AD3200" s="5">
        <v>4.9156789692053557</v>
      </c>
      <c r="AE3200" s="5">
        <v>2.2038062681356214</v>
      </c>
      <c r="AF3200">
        <v>1</v>
      </c>
    </row>
    <row r="3201" spans="27:32" x14ac:dyDescent="0.3">
      <c r="AA3201" s="3">
        <v>14999.86</v>
      </c>
      <c r="AB3201">
        <v>1E-4</v>
      </c>
      <c r="AC3201">
        <v>8</v>
      </c>
      <c r="AD3201" s="5">
        <v>5.0336536964693215</v>
      </c>
      <c r="AE3201" s="5">
        <v>2.2268154029296143</v>
      </c>
      <c r="AF3201">
        <v>1</v>
      </c>
    </row>
    <row r="3202" spans="27:32" x14ac:dyDescent="0.3">
      <c r="AA3202" s="3">
        <v>33460.18</v>
      </c>
      <c r="AB3202">
        <v>1E-4</v>
      </c>
      <c r="AC3202">
        <v>7</v>
      </c>
      <c r="AD3202" s="5">
        <v>5.0814534850199982</v>
      </c>
      <c r="AE3202" s="5">
        <v>2.2672211083424294</v>
      </c>
      <c r="AF3202">
        <v>1</v>
      </c>
    </row>
    <row r="3203" spans="27:32" x14ac:dyDescent="0.3">
      <c r="AA3203" s="3">
        <v>31178.17</v>
      </c>
      <c r="AB3203">
        <v>1E-4</v>
      </c>
      <c r="AC3203">
        <v>8</v>
      </c>
      <c r="AD3203" s="5">
        <v>5.0290619570195361</v>
      </c>
      <c r="AE3203" s="5">
        <v>2.1168128847249492</v>
      </c>
      <c r="AF3203">
        <v>1</v>
      </c>
    </row>
    <row r="3204" spans="27:32" x14ac:dyDescent="0.3">
      <c r="AA3204" s="3">
        <v>13316.83</v>
      </c>
      <c r="AB3204">
        <v>1E-4</v>
      </c>
      <c r="AC3204">
        <v>8</v>
      </c>
      <c r="AD3204" s="5">
        <v>4.8126998719581495</v>
      </c>
      <c r="AE3204" s="5">
        <v>2.1985453281236258</v>
      </c>
      <c r="AF3204">
        <v>1</v>
      </c>
    </row>
    <row r="3205" spans="27:32" x14ac:dyDescent="0.3">
      <c r="AA3205" s="3">
        <v>-13220.71</v>
      </c>
      <c r="AB3205">
        <v>1E-4</v>
      </c>
      <c r="AC3205">
        <v>9</v>
      </c>
      <c r="AD3205" s="5">
        <v>5.0129817137188315</v>
      </c>
      <c r="AE3205" s="5">
        <v>2.206356785265795</v>
      </c>
      <c r="AF3205">
        <v>1</v>
      </c>
    </row>
    <row r="3206" spans="27:32" x14ac:dyDescent="0.3">
      <c r="AA3206" s="3">
        <v>7205.35</v>
      </c>
      <c r="AB3206">
        <v>1E-4</v>
      </c>
      <c r="AC3206">
        <v>8</v>
      </c>
      <c r="AD3206" s="5">
        <v>4.9560623514735092</v>
      </c>
      <c r="AE3206" s="5">
        <v>2.1720079129584975</v>
      </c>
      <c r="AF3206">
        <v>1</v>
      </c>
    </row>
    <row r="3207" spans="27:32" x14ac:dyDescent="0.3">
      <c r="AA3207" s="3">
        <v>-6012.65</v>
      </c>
      <c r="AB3207">
        <v>1E-4</v>
      </c>
      <c r="AC3207">
        <v>9</v>
      </c>
      <c r="AD3207" s="5">
        <v>4.9132045409188194</v>
      </c>
      <c r="AE3207" s="5">
        <v>2.2175094756470575</v>
      </c>
      <c r="AF3207">
        <v>1</v>
      </c>
    </row>
    <row r="3208" spans="27:32" x14ac:dyDescent="0.3">
      <c r="AA3208" s="3">
        <v>38757.74</v>
      </c>
      <c r="AB3208">
        <v>1E-4</v>
      </c>
      <c r="AC3208">
        <v>7</v>
      </c>
      <c r="AD3208" s="5">
        <v>5.1541823323250924</v>
      </c>
      <c r="AE3208" s="5">
        <v>2.2594274062945057</v>
      </c>
      <c r="AF3208">
        <v>1</v>
      </c>
    </row>
    <row r="3209" spans="27:32" x14ac:dyDescent="0.3">
      <c r="AA3209" s="3">
        <v>-9273.1</v>
      </c>
      <c r="AB3209">
        <v>1E-4</v>
      </c>
      <c r="AC3209">
        <v>9</v>
      </c>
      <c r="AD3209" s="5">
        <v>4.9564998249897325</v>
      </c>
      <c r="AE3209" s="5">
        <v>2.2222781953861803</v>
      </c>
      <c r="AF3209">
        <v>1</v>
      </c>
    </row>
    <row r="3210" spans="27:32" x14ac:dyDescent="0.3">
      <c r="AA3210" s="3">
        <v>-7540.79</v>
      </c>
      <c r="AB3210">
        <v>1E-4</v>
      </c>
      <c r="AC3210">
        <v>9</v>
      </c>
      <c r="AD3210" s="5">
        <v>5.0044917554177859</v>
      </c>
      <c r="AE3210" s="5">
        <v>2.2531282890512232</v>
      </c>
      <c r="AF3210">
        <v>1</v>
      </c>
    </row>
    <row r="3211" spans="27:32" x14ac:dyDescent="0.3">
      <c r="AA3211" s="3">
        <v>36318.36</v>
      </c>
      <c r="AB3211">
        <v>1E-4</v>
      </c>
      <c r="AC3211">
        <v>7</v>
      </c>
      <c r="AD3211" s="5">
        <v>5.1387963512127062</v>
      </c>
      <c r="AE3211" s="5">
        <v>2.2029966800147411</v>
      </c>
      <c r="AF3211">
        <v>1</v>
      </c>
    </row>
    <row r="3212" spans="27:32" x14ac:dyDescent="0.3">
      <c r="AA3212" s="3">
        <v>-2946.2071027467609</v>
      </c>
      <c r="AB3212">
        <v>1E-4</v>
      </c>
      <c r="AC3212">
        <v>8</v>
      </c>
      <c r="AD3212" s="5">
        <v>5.0531962007542734</v>
      </c>
      <c r="AE3212" s="5">
        <v>2.1782569691696176</v>
      </c>
      <c r="AF3212">
        <v>0</v>
      </c>
    </row>
    <row r="3213" spans="27:32" x14ac:dyDescent="0.3">
      <c r="AA3213" s="3">
        <v>16376.97</v>
      </c>
      <c r="AB3213">
        <v>1E-4</v>
      </c>
      <c r="AC3213">
        <v>8</v>
      </c>
      <c r="AD3213" s="5">
        <v>4.8462926103023802</v>
      </c>
      <c r="AE3213" s="5">
        <v>2.2235075999346536</v>
      </c>
      <c r="AF3213">
        <v>1</v>
      </c>
    </row>
    <row r="3214" spans="27:32" x14ac:dyDescent="0.3">
      <c r="AA3214" s="3">
        <v>35635.03</v>
      </c>
      <c r="AB3214">
        <v>1E-4</v>
      </c>
      <c r="AC3214">
        <v>7</v>
      </c>
      <c r="AD3214" s="5">
        <v>5.2396366479676351</v>
      </c>
      <c r="AE3214" s="5">
        <v>2.1496485286424636</v>
      </c>
      <c r="AF3214">
        <v>1</v>
      </c>
    </row>
    <row r="3215" spans="27:32" x14ac:dyDescent="0.3">
      <c r="AA3215" s="3">
        <v>-549.19000000000005</v>
      </c>
      <c r="AB3215">
        <v>1E-4</v>
      </c>
      <c r="AC3215">
        <v>9</v>
      </c>
      <c r="AD3215" s="5">
        <v>5.0350496318351992</v>
      </c>
      <c r="AE3215" s="5">
        <v>2.2740946772765565</v>
      </c>
      <c r="AF3215">
        <v>1</v>
      </c>
    </row>
    <row r="3216" spans="27:32" x14ac:dyDescent="0.3">
      <c r="AA3216" s="3">
        <v>7057.61</v>
      </c>
      <c r="AB3216">
        <v>1E-4</v>
      </c>
      <c r="AC3216">
        <v>8</v>
      </c>
      <c r="AD3216" s="5">
        <v>4.9485703617872812</v>
      </c>
      <c r="AE3216" s="5">
        <v>2.1994100087817094</v>
      </c>
      <c r="AF3216">
        <v>1</v>
      </c>
    </row>
    <row r="3217" spans="27:32" x14ac:dyDescent="0.3">
      <c r="AA3217" s="3">
        <v>49395.67</v>
      </c>
      <c r="AB3217">
        <v>1E-4</v>
      </c>
      <c r="AC3217">
        <v>7</v>
      </c>
      <c r="AD3217" s="5">
        <v>5.0270972316033369</v>
      </c>
      <c r="AE3217" s="5">
        <v>2.2190624636363667</v>
      </c>
      <c r="AF3217">
        <v>1</v>
      </c>
    </row>
    <row r="3218" spans="27:32" x14ac:dyDescent="0.3">
      <c r="AA3218" s="3">
        <v>23942.66</v>
      </c>
      <c r="AB3218">
        <v>1E-4</v>
      </c>
      <c r="AC3218">
        <v>8</v>
      </c>
      <c r="AD3218" s="5">
        <v>5.1523678746031445</v>
      </c>
      <c r="AE3218" s="5">
        <v>2.2309054360955876</v>
      </c>
      <c r="AF3218">
        <v>1</v>
      </c>
    </row>
    <row r="3219" spans="27:32" x14ac:dyDescent="0.3">
      <c r="AA3219" s="3">
        <v>41276.910000000003</v>
      </c>
      <c r="AB3219">
        <v>1E-4</v>
      </c>
      <c r="AC3219">
        <v>7</v>
      </c>
      <c r="AD3219" s="5">
        <v>4.9720705586540994</v>
      </c>
      <c r="AE3219" s="5">
        <v>2.1428750779161549</v>
      </c>
      <c r="AF3219">
        <v>1</v>
      </c>
    </row>
    <row r="3220" spans="27:32" x14ac:dyDescent="0.3">
      <c r="AA3220" s="3">
        <v>29895.23</v>
      </c>
      <c r="AB3220">
        <v>1E-4</v>
      </c>
      <c r="AC3220">
        <v>8</v>
      </c>
      <c r="AD3220" s="5">
        <v>4.9915066139636854</v>
      </c>
      <c r="AE3220" s="5">
        <v>2.1556127914224827</v>
      </c>
      <c r="AF3220">
        <v>1</v>
      </c>
    </row>
    <row r="3221" spans="27:32" x14ac:dyDescent="0.3">
      <c r="AA3221" s="3">
        <v>14408.79</v>
      </c>
      <c r="AB3221">
        <v>1E-4</v>
      </c>
      <c r="AC3221">
        <v>8</v>
      </c>
      <c r="AD3221" s="5">
        <v>5.1681820791279458</v>
      </c>
      <c r="AE3221" s="5">
        <v>2.1778201193652191</v>
      </c>
      <c r="AF3221">
        <v>1</v>
      </c>
    </row>
    <row r="3222" spans="27:32" x14ac:dyDescent="0.3">
      <c r="AA3222" s="3">
        <v>-18.05</v>
      </c>
      <c r="AB3222">
        <v>1E-4</v>
      </c>
      <c r="AC3222">
        <v>9</v>
      </c>
      <c r="AD3222" s="5">
        <v>4.8775073994381044</v>
      </c>
      <c r="AE3222" s="5">
        <v>2.0990714228439753</v>
      </c>
      <c r="AF3222">
        <v>1</v>
      </c>
    </row>
    <row r="3223" spans="27:32" x14ac:dyDescent="0.3">
      <c r="AA3223" s="3">
        <v>21337.21</v>
      </c>
      <c r="AB3223">
        <v>1E-4</v>
      </c>
      <c r="AC3223">
        <v>8</v>
      </c>
      <c r="AD3223" s="5">
        <v>4.9562088938010431</v>
      </c>
      <c r="AE3223" s="5">
        <v>2.2272729569151117</v>
      </c>
      <c r="AF3223">
        <v>1</v>
      </c>
    </row>
    <row r="3224" spans="27:32" x14ac:dyDescent="0.3">
      <c r="AA3224" s="3">
        <v>20812.43</v>
      </c>
      <c r="AB3224">
        <v>1E-4</v>
      </c>
      <c r="AC3224">
        <v>8</v>
      </c>
      <c r="AD3224" s="5">
        <v>4.9506213633067091</v>
      </c>
      <c r="AE3224" s="5">
        <v>2.2416552146493154</v>
      </c>
      <c r="AF3224">
        <v>1</v>
      </c>
    </row>
    <row r="3225" spans="27:32" x14ac:dyDescent="0.3">
      <c r="AA3225" s="3">
        <v>17340.54</v>
      </c>
      <c r="AB3225">
        <v>1E-4</v>
      </c>
      <c r="AC3225">
        <v>8</v>
      </c>
      <c r="AD3225" s="5">
        <v>5.0258188013471239</v>
      </c>
      <c r="AE3225" s="5">
        <v>2.2080799576292223</v>
      </c>
      <c r="AF3225">
        <v>1</v>
      </c>
    </row>
    <row r="3226" spans="27:32" x14ac:dyDescent="0.3">
      <c r="AA3226" s="3">
        <v>-46321.452291296082</v>
      </c>
      <c r="AB3226">
        <v>1E-4</v>
      </c>
      <c r="AC3226">
        <v>9</v>
      </c>
      <c r="AD3226" s="5">
        <v>5.0585438229419468</v>
      </c>
      <c r="AE3226" s="5">
        <v>2.1575634346554584</v>
      </c>
      <c r="AF3226">
        <v>0</v>
      </c>
    </row>
    <row r="3227" spans="27:32" x14ac:dyDescent="0.3">
      <c r="AA3227" s="3">
        <v>40356.14</v>
      </c>
      <c r="AB3227">
        <v>1E-4</v>
      </c>
      <c r="AC3227">
        <v>7</v>
      </c>
      <c r="AD3227" s="5">
        <v>5.0488696181341775</v>
      </c>
      <c r="AE3227" s="5">
        <v>2.184128092508494</v>
      </c>
      <c r="AF3227">
        <v>1</v>
      </c>
    </row>
    <row r="3228" spans="27:32" x14ac:dyDescent="0.3">
      <c r="AA3228" s="3">
        <v>16854.05</v>
      </c>
      <c r="AB3228">
        <v>1E-4</v>
      </c>
      <c r="AC3228">
        <v>8</v>
      </c>
      <c r="AD3228" s="5">
        <v>4.9902603825906446</v>
      </c>
      <c r="AE3228" s="5">
        <v>2.2139625681413007</v>
      </c>
      <c r="AF3228">
        <v>1</v>
      </c>
    </row>
    <row r="3229" spans="27:32" x14ac:dyDescent="0.3">
      <c r="AA3229" s="3">
        <v>-23643.841186343983</v>
      </c>
      <c r="AB3229">
        <v>1E-4</v>
      </c>
      <c r="AC3229">
        <v>9</v>
      </c>
      <c r="AD3229" s="5">
        <v>4.8327427168523958</v>
      </c>
      <c r="AE3229" s="5">
        <v>2.1232076324460767</v>
      </c>
      <c r="AF3229">
        <v>0</v>
      </c>
    </row>
    <row r="3230" spans="27:32" x14ac:dyDescent="0.3">
      <c r="AA3230" s="3">
        <v>9546.19</v>
      </c>
      <c r="AB3230">
        <v>1E-4</v>
      </c>
      <c r="AC3230">
        <v>8</v>
      </c>
      <c r="AD3230" s="5">
        <v>5.0539426015978863</v>
      </c>
      <c r="AE3230" s="5">
        <v>2.2816665924222539</v>
      </c>
      <c r="AF3230">
        <v>1</v>
      </c>
    </row>
    <row r="3231" spans="27:32" x14ac:dyDescent="0.3">
      <c r="AA3231" s="3">
        <v>12615.54</v>
      </c>
      <c r="AB3231">
        <v>1E-4</v>
      </c>
      <c r="AC3231">
        <v>8</v>
      </c>
      <c r="AD3231" s="5">
        <v>5.0238293516415808</v>
      </c>
      <c r="AE3231" s="5">
        <v>2.1885935810330124</v>
      </c>
      <c r="AF3231">
        <v>1</v>
      </c>
    </row>
    <row r="3232" spans="27:32" x14ac:dyDescent="0.3">
      <c r="AA3232" s="3">
        <v>-9305.31</v>
      </c>
      <c r="AB3232">
        <v>1E-4</v>
      </c>
      <c r="AC3232">
        <v>9</v>
      </c>
      <c r="AD3232" s="5">
        <v>4.8952178250492606</v>
      </c>
      <c r="AE3232" s="5">
        <v>2.2077059502750096</v>
      </c>
      <c r="AF3232">
        <v>1</v>
      </c>
    </row>
    <row r="3233" spans="27:32" x14ac:dyDescent="0.3">
      <c r="AA3233" s="3">
        <v>14397.33</v>
      </c>
      <c r="AB3233">
        <v>1E-4</v>
      </c>
      <c r="AC3233">
        <v>8</v>
      </c>
      <c r="AD3233" s="5">
        <v>5.1735636009458839</v>
      </c>
      <c r="AE3233" s="5">
        <v>2.1908543209890294</v>
      </c>
      <c r="AF3233">
        <v>1</v>
      </c>
    </row>
    <row r="3234" spans="27:32" x14ac:dyDescent="0.3">
      <c r="AA3234" s="3">
        <v>27853.64</v>
      </c>
      <c r="AB3234">
        <v>1E-4</v>
      </c>
      <c r="AC3234">
        <v>8</v>
      </c>
      <c r="AD3234" s="5">
        <v>5.081985211424068</v>
      </c>
      <c r="AE3234" s="5">
        <v>2.2789238448944538</v>
      </c>
      <c r="AF3234">
        <v>1</v>
      </c>
    </row>
    <row r="3235" spans="27:32" x14ac:dyDescent="0.3">
      <c r="AA3235" s="3">
        <v>-9125.7800000000007</v>
      </c>
      <c r="AB3235">
        <v>1E-4</v>
      </c>
      <c r="AC3235">
        <v>9</v>
      </c>
      <c r="AD3235" s="5">
        <v>5.1114543750030235</v>
      </c>
      <c r="AE3235" s="5">
        <v>2.202216488754138</v>
      </c>
      <c r="AF3235">
        <v>1</v>
      </c>
    </row>
    <row r="3236" spans="27:32" x14ac:dyDescent="0.3">
      <c r="AA3236" s="3">
        <v>31429.01</v>
      </c>
      <c r="AB3236">
        <v>1E-4</v>
      </c>
      <c r="AC3236">
        <v>7</v>
      </c>
      <c r="AD3236" s="5">
        <v>5.0635446166988975</v>
      </c>
      <c r="AE3236" s="5">
        <v>2.2142810472075434</v>
      </c>
      <c r="AF3236">
        <v>1</v>
      </c>
    </row>
    <row r="3237" spans="27:32" x14ac:dyDescent="0.3">
      <c r="AA3237" s="3">
        <v>-5079.79</v>
      </c>
      <c r="AB3237">
        <v>1E-4</v>
      </c>
      <c r="AC3237">
        <v>9</v>
      </c>
      <c r="AD3237" s="5">
        <v>4.855496251628737</v>
      </c>
      <c r="AE3237" s="5">
        <v>2.243828811203664</v>
      </c>
      <c r="AF3237">
        <v>1</v>
      </c>
    </row>
    <row r="3238" spans="27:32" x14ac:dyDescent="0.3">
      <c r="AA3238" s="3">
        <v>-15124.68</v>
      </c>
      <c r="AB3238">
        <v>1E-4</v>
      </c>
      <c r="AC3238">
        <v>9</v>
      </c>
      <c r="AD3238" s="5">
        <v>4.9707327785724917</v>
      </c>
      <c r="AE3238" s="5">
        <v>2.2188976108018563</v>
      </c>
      <c r="AF3238">
        <v>1</v>
      </c>
    </row>
    <row r="3239" spans="27:32" x14ac:dyDescent="0.3">
      <c r="AA3239" s="3">
        <v>-8385.83</v>
      </c>
      <c r="AB3239">
        <v>1E-4</v>
      </c>
      <c r="AC3239">
        <v>9</v>
      </c>
      <c r="AD3239" s="5">
        <v>5.0648562115161626</v>
      </c>
      <c r="AE3239" s="5">
        <v>2.1538218182164166</v>
      </c>
      <c r="AF3239">
        <v>1</v>
      </c>
    </row>
    <row r="3240" spans="27:32" x14ac:dyDescent="0.3">
      <c r="AA3240" s="3">
        <v>-368.24</v>
      </c>
      <c r="AB3240">
        <v>1E-4</v>
      </c>
      <c r="AC3240">
        <v>9</v>
      </c>
      <c r="AD3240" s="5">
        <v>5.0343814541651248</v>
      </c>
      <c r="AE3240" s="5">
        <v>2.1855376040602872</v>
      </c>
      <c r="AF3240">
        <v>1</v>
      </c>
    </row>
    <row r="3241" spans="27:32" x14ac:dyDescent="0.3">
      <c r="AA3241" s="3">
        <v>22891.759999999998</v>
      </c>
      <c r="AB3241">
        <v>1E-4</v>
      </c>
      <c r="AC3241">
        <v>8</v>
      </c>
      <c r="AD3241" s="5">
        <v>5.1407851247416012</v>
      </c>
      <c r="AE3241" s="5">
        <v>2.2592365946705057</v>
      </c>
      <c r="AF3241">
        <v>1</v>
      </c>
    </row>
    <row r="3242" spans="27:32" x14ac:dyDescent="0.3">
      <c r="AA3242" s="3">
        <v>-5093.4727691490152</v>
      </c>
      <c r="AB3242">
        <v>1E-4</v>
      </c>
      <c r="AC3242">
        <v>8</v>
      </c>
      <c r="AD3242" s="5">
        <v>4.8257449061811917</v>
      </c>
      <c r="AE3242" s="5">
        <v>2.2227140542988812</v>
      </c>
      <c r="AF3242">
        <v>0</v>
      </c>
    </row>
    <row r="3243" spans="27:32" x14ac:dyDescent="0.3">
      <c r="AA3243" s="3">
        <v>38447.31</v>
      </c>
      <c r="AB3243">
        <v>1E-4</v>
      </c>
      <c r="AC3243">
        <v>7</v>
      </c>
      <c r="AD3243" s="5">
        <v>5.04196106097781</v>
      </c>
      <c r="AE3243" s="5">
        <v>2.1673389043152289</v>
      </c>
      <c r="AF3243">
        <v>1</v>
      </c>
    </row>
    <row r="3244" spans="27:32" x14ac:dyDescent="0.3">
      <c r="AA3244" s="3">
        <v>3234.06</v>
      </c>
      <c r="AB3244">
        <v>1E-4</v>
      </c>
      <c r="AC3244">
        <v>8</v>
      </c>
      <c r="AD3244" s="5">
        <v>4.9068112942894784</v>
      </c>
      <c r="AE3244" s="5">
        <v>2.2379229936155753</v>
      </c>
      <c r="AF3244">
        <v>1</v>
      </c>
    </row>
    <row r="3245" spans="27:32" x14ac:dyDescent="0.3">
      <c r="AA3245" s="3">
        <v>10706.47</v>
      </c>
      <c r="AB3245">
        <v>1E-4</v>
      </c>
      <c r="AC3245">
        <v>8</v>
      </c>
      <c r="AD3245" s="5">
        <v>5.0812094395364831</v>
      </c>
      <c r="AE3245" s="5">
        <v>2.1904306013367303</v>
      </c>
      <c r="AF3245">
        <v>1</v>
      </c>
    </row>
    <row r="3246" spans="27:32" x14ac:dyDescent="0.3">
      <c r="AA3246" s="3">
        <v>-14312.1</v>
      </c>
      <c r="AB3246">
        <v>1E-4</v>
      </c>
      <c r="AC3246">
        <v>9</v>
      </c>
      <c r="AD3246" s="5">
        <v>4.8616360647055705</v>
      </c>
      <c r="AE3246" s="5">
        <v>2.2000132590746553</v>
      </c>
      <c r="AF3246">
        <v>1</v>
      </c>
    </row>
    <row r="3247" spans="27:32" x14ac:dyDescent="0.3">
      <c r="AA3247" s="3">
        <v>24316.29</v>
      </c>
      <c r="AB3247">
        <v>1E-4</v>
      </c>
      <c r="AC3247">
        <v>8</v>
      </c>
      <c r="AD3247" s="5">
        <v>4.9992046658191622</v>
      </c>
      <c r="AE3247" s="5">
        <v>2.2989494771052326</v>
      </c>
      <c r="AF3247">
        <v>1</v>
      </c>
    </row>
    <row r="3248" spans="27:32" x14ac:dyDescent="0.3">
      <c r="AA3248" s="3">
        <v>41406.46</v>
      </c>
      <c r="AB3248">
        <v>1E-4</v>
      </c>
      <c r="AC3248">
        <v>7</v>
      </c>
      <c r="AD3248" s="5">
        <v>5.0723142627379696</v>
      </c>
      <c r="AE3248" s="5">
        <v>2.1771888413158624</v>
      </c>
      <c r="AF3248">
        <v>1</v>
      </c>
    </row>
    <row r="3249" spans="27:32" x14ac:dyDescent="0.3">
      <c r="AA3249" s="3">
        <v>22443.53</v>
      </c>
      <c r="AB3249">
        <v>1E-4</v>
      </c>
      <c r="AC3249">
        <v>8</v>
      </c>
      <c r="AD3249" s="5">
        <v>4.9485109554693931</v>
      </c>
      <c r="AE3249" s="5">
        <v>2.2196509070079453</v>
      </c>
      <c r="AF3249">
        <v>1</v>
      </c>
    </row>
    <row r="3250" spans="27:32" x14ac:dyDescent="0.3">
      <c r="AA3250" s="3">
        <v>3601.43</v>
      </c>
      <c r="AB3250">
        <v>1E-4</v>
      </c>
      <c r="AC3250">
        <v>8</v>
      </c>
      <c r="AD3250" s="5">
        <v>5.0763034135641378</v>
      </c>
      <c r="AE3250" s="5">
        <v>2.2660918311817961</v>
      </c>
      <c r="AF3250">
        <v>1</v>
      </c>
    </row>
    <row r="3251" spans="27:32" x14ac:dyDescent="0.3">
      <c r="AA3251" s="3">
        <v>21175.82</v>
      </c>
      <c r="AB3251">
        <v>1E-4</v>
      </c>
      <c r="AC3251">
        <v>8</v>
      </c>
      <c r="AD3251" s="5">
        <v>5.0534460697527503</v>
      </c>
      <c r="AE3251" s="5">
        <v>2.2479431259128577</v>
      </c>
      <c r="AF3251">
        <v>1</v>
      </c>
    </row>
    <row r="3252" spans="27:32" x14ac:dyDescent="0.3">
      <c r="AA3252" s="3">
        <v>26930.89</v>
      </c>
      <c r="AB3252">
        <v>1E-4</v>
      </c>
      <c r="AC3252">
        <v>8</v>
      </c>
      <c r="AD3252" s="5">
        <v>5.1477276254965343</v>
      </c>
      <c r="AE3252" s="5">
        <v>2.244018618362305</v>
      </c>
      <c r="AF3252">
        <v>1</v>
      </c>
    </row>
    <row r="3253" spans="27:32" x14ac:dyDescent="0.3">
      <c r="AA3253" s="3">
        <v>12394.1</v>
      </c>
      <c r="AB3253">
        <v>1E-4</v>
      </c>
      <c r="AC3253">
        <v>8</v>
      </c>
      <c r="AD3253" s="5">
        <v>4.9517575240324518</v>
      </c>
      <c r="AE3253" s="5">
        <v>2.2149981608053677</v>
      </c>
      <c r="AF3253">
        <v>1</v>
      </c>
    </row>
    <row r="3254" spans="27:32" x14ac:dyDescent="0.3">
      <c r="AA3254" s="3">
        <v>6212.28</v>
      </c>
      <c r="AB3254">
        <v>1E-4</v>
      </c>
      <c r="AC3254">
        <v>8</v>
      </c>
      <c r="AD3254" s="5">
        <v>4.964687184968505</v>
      </c>
      <c r="AE3254" s="5">
        <v>2.235880312873102</v>
      </c>
      <c r="AF3254">
        <v>1</v>
      </c>
    </row>
    <row r="3255" spans="27:32" x14ac:dyDescent="0.3">
      <c r="AA3255" s="3">
        <v>18675.46</v>
      </c>
      <c r="AB3255">
        <v>1E-4</v>
      </c>
      <c r="AC3255">
        <v>8</v>
      </c>
      <c r="AD3255" s="5">
        <v>5.0044706216648391</v>
      </c>
      <c r="AE3255" s="5">
        <v>2.2250634450510689</v>
      </c>
      <c r="AF3255">
        <v>1</v>
      </c>
    </row>
    <row r="3256" spans="27:32" x14ac:dyDescent="0.3">
      <c r="AA3256" s="3">
        <v>-9575.44</v>
      </c>
      <c r="AB3256">
        <v>1E-4</v>
      </c>
      <c r="AC3256">
        <v>9</v>
      </c>
      <c r="AD3256" s="5">
        <v>4.9000680142520148</v>
      </c>
      <c r="AE3256" s="5">
        <v>2.1828153414364291</v>
      </c>
      <c r="AF3256">
        <v>1</v>
      </c>
    </row>
    <row r="3257" spans="27:32" x14ac:dyDescent="0.3">
      <c r="AA3257" s="3">
        <v>-8949.2800000000007</v>
      </c>
      <c r="AB3257">
        <v>1E-4</v>
      </c>
      <c r="AC3257">
        <v>9</v>
      </c>
      <c r="AD3257" s="5">
        <v>5.0145636241993019</v>
      </c>
      <c r="AE3257" s="5">
        <v>2.263330964277388</v>
      </c>
      <c r="AF3257">
        <v>1</v>
      </c>
    </row>
    <row r="3258" spans="27:32" x14ac:dyDescent="0.3">
      <c r="AA3258" s="3">
        <v>42313.59</v>
      </c>
      <c r="AB3258">
        <v>1E-4</v>
      </c>
      <c r="AC3258">
        <v>7</v>
      </c>
      <c r="AD3258" s="5">
        <v>4.9795670344078715</v>
      </c>
      <c r="AE3258" s="5">
        <v>2.2129850850828618</v>
      </c>
      <c r="AF3258">
        <v>1</v>
      </c>
    </row>
    <row r="3259" spans="27:32" x14ac:dyDescent="0.3">
      <c r="AA3259" s="3">
        <v>-6576.95</v>
      </c>
      <c r="AB3259">
        <v>1E-4</v>
      </c>
      <c r="AC3259">
        <v>9</v>
      </c>
      <c r="AD3259" s="5">
        <v>4.9657789757257795</v>
      </c>
      <c r="AE3259" s="5">
        <v>2.3021613727466583</v>
      </c>
      <c r="AF3259">
        <v>1</v>
      </c>
    </row>
    <row r="3260" spans="27:32" x14ac:dyDescent="0.3">
      <c r="AA3260" s="3">
        <v>15780.67</v>
      </c>
      <c r="AB3260">
        <v>1E-4</v>
      </c>
      <c r="AC3260">
        <v>8</v>
      </c>
      <c r="AD3260" s="5">
        <v>5.0221113320533428</v>
      </c>
      <c r="AE3260" s="5">
        <v>2.205351810103986</v>
      </c>
      <c r="AF3260">
        <v>1</v>
      </c>
    </row>
    <row r="3261" spans="27:32" x14ac:dyDescent="0.3">
      <c r="AA3261" s="3">
        <v>19083.84</v>
      </c>
      <c r="AB3261">
        <v>1E-4</v>
      </c>
      <c r="AC3261">
        <v>8</v>
      </c>
      <c r="AD3261" s="5">
        <v>4.8347499797958875</v>
      </c>
      <c r="AE3261" s="5">
        <v>2.1372596522006022</v>
      </c>
      <c r="AF3261">
        <v>1</v>
      </c>
    </row>
    <row r="3262" spans="27:32" x14ac:dyDescent="0.3">
      <c r="AA3262" s="3">
        <v>24700.15</v>
      </c>
      <c r="AB3262">
        <v>1E-4</v>
      </c>
      <c r="AC3262">
        <v>8</v>
      </c>
      <c r="AD3262" s="5">
        <v>5.0242685986330509</v>
      </c>
      <c r="AE3262" s="5">
        <v>2.2363706906177625</v>
      </c>
      <c r="AF3262">
        <v>1</v>
      </c>
    </row>
    <row r="3263" spans="27:32" x14ac:dyDescent="0.3">
      <c r="AA3263" s="3">
        <v>-354.60944299832227</v>
      </c>
      <c r="AB3263">
        <v>1E-4</v>
      </c>
      <c r="AC3263">
        <v>8</v>
      </c>
      <c r="AD3263" s="5">
        <v>4.9838360511555164</v>
      </c>
      <c r="AE3263" s="5">
        <v>2.1775386019212766</v>
      </c>
      <c r="AF3263">
        <v>0</v>
      </c>
    </row>
    <row r="3264" spans="27:32" x14ac:dyDescent="0.3">
      <c r="AA3264" s="3">
        <v>34277.629999999997</v>
      </c>
      <c r="AB3264">
        <v>1E-4</v>
      </c>
      <c r="AC3264">
        <v>7</v>
      </c>
      <c r="AD3264" s="5">
        <v>5.1115456633337955</v>
      </c>
      <c r="AE3264" s="5">
        <v>2.2166823629915431</v>
      </c>
      <c r="AF3264">
        <v>1</v>
      </c>
    </row>
    <row r="3265" spans="27:32" x14ac:dyDescent="0.3">
      <c r="AA3265" s="3">
        <v>28744.62</v>
      </c>
      <c r="AB3265">
        <v>1E-4</v>
      </c>
      <c r="AC3265">
        <v>8</v>
      </c>
      <c r="AD3265" s="5">
        <v>4.9472747346874399</v>
      </c>
      <c r="AE3265" s="5">
        <v>2.0851207883211127</v>
      </c>
      <c r="AF3265">
        <v>1</v>
      </c>
    </row>
    <row r="3266" spans="27:32" x14ac:dyDescent="0.3">
      <c r="AA3266" s="3">
        <v>3946.1</v>
      </c>
      <c r="AB3266">
        <v>1E-4</v>
      </c>
      <c r="AC3266">
        <v>8</v>
      </c>
      <c r="AD3266" s="5">
        <v>5.0582307137475144</v>
      </c>
      <c r="AE3266" s="5">
        <v>2.2893235236841925</v>
      </c>
      <c r="AF3266">
        <v>1</v>
      </c>
    </row>
    <row r="3267" spans="27:32" x14ac:dyDescent="0.3">
      <c r="AA3267" s="3">
        <v>15658.99</v>
      </c>
      <c r="AB3267">
        <v>1E-4</v>
      </c>
      <c r="AC3267">
        <v>8</v>
      </c>
      <c r="AD3267" s="5">
        <v>5.0120844162632192</v>
      </c>
      <c r="AE3267" s="5">
        <v>2.1748151693857953</v>
      </c>
      <c r="AF3267">
        <v>1</v>
      </c>
    </row>
    <row r="3268" spans="27:32" x14ac:dyDescent="0.3">
      <c r="AA3268" s="3">
        <v>23215.599999999999</v>
      </c>
      <c r="AB3268">
        <v>1E-4</v>
      </c>
      <c r="AC3268">
        <v>8</v>
      </c>
      <c r="AD3268" s="5">
        <v>4.9696109091432463</v>
      </c>
      <c r="AE3268" s="5">
        <v>2.2035021346288386</v>
      </c>
      <c r="AF3268">
        <v>1</v>
      </c>
    </row>
    <row r="3269" spans="27:32" x14ac:dyDescent="0.3">
      <c r="AA3269" s="3">
        <v>-2819.75</v>
      </c>
      <c r="AB3269">
        <v>1E-4</v>
      </c>
      <c r="AC3269">
        <v>9</v>
      </c>
      <c r="AD3269" s="5">
        <v>4.9692599362129464</v>
      </c>
      <c r="AE3269" s="5">
        <v>2.2432799902055081</v>
      </c>
      <c r="AF3269">
        <v>1</v>
      </c>
    </row>
    <row r="3270" spans="27:32" x14ac:dyDescent="0.3">
      <c r="AA3270" s="3">
        <v>14698.8</v>
      </c>
      <c r="AB3270">
        <v>1E-4</v>
      </c>
      <c r="AC3270">
        <v>8</v>
      </c>
      <c r="AD3270" s="5">
        <v>5.1422850086108047</v>
      </c>
      <c r="AE3270" s="5">
        <v>2.1172716947923478</v>
      </c>
      <c r="AF3270">
        <v>1</v>
      </c>
    </row>
    <row r="3271" spans="27:32" x14ac:dyDescent="0.3">
      <c r="AA3271" s="3">
        <v>17633.66</v>
      </c>
      <c r="AB3271">
        <v>1E-4</v>
      </c>
      <c r="AC3271">
        <v>8</v>
      </c>
      <c r="AD3271" s="5">
        <v>4.9898156827513045</v>
      </c>
      <c r="AE3271" s="5">
        <v>2.155425545833427</v>
      </c>
      <c r="AF3271">
        <v>1</v>
      </c>
    </row>
    <row r="3272" spans="27:32" x14ac:dyDescent="0.3">
      <c r="AA3272" s="3">
        <v>35404.980000000003</v>
      </c>
      <c r="AB3272">
        <v>1E-4</v>
      </c>
      <c r="AC3272">
        <v>7</v>
      </c>
      <c r="AD3272" s="5">
        <v>5.1474585699219233</v>
      </c>
      <c r="AE3272" s="5">
        <v>2.1863735090596261</v>
      </c>
      <c r="AF3272">
        <v>1</v>
      </c>
    </row>
    <row r="3273" spans="27:32" x14ac:dyDescent="0.3">
      <c r="AA3273" s="3">
        <v>14577.28</v>
      </c>
      <c r="AB3273">
        <v>1E-4</v>
      </c>
      <c r="AC3273">
        <v>8</v>
      </c>
      <c r="AD3273" s="5">
        <v>5.0289549643671325</v>
      </c>
      <c r="AE3273" s="5">
        <v>2.301525036863787</v>
      </c>
      <c r="AF3273">
        <v>1</v>
      </c>
    </row>
    <row r="3274" spans="27:32" x14ac:dyDescent="0.3">
      <c r="AA3274" s="3">
        <v>17679.5</v>
      </c>
      <c r="AB3274">
        <v>1E-4</v>
      </c>
      <c r="AC3274">
        <v>8</v>
      </c>
      <c r="AD3274" s="5">
        <v>4.8923152474017195</v>
      </c>
      <c r="AE3274" s="5">
        <v>2.1766698287458861</v>
      </c>
      <c r="AF3274">
        <v>1</v>
      </c>
    </row>
    <row r="3275" spans="27:32" x14ac:dyDescent="0.3">
      <c r="AA3275" s="3">
        <v>2082.09</v>
      </c>
      <c r="AB3275">
        <v>1E-4</v>
      </c>
      <c r="AC3275">
        <v>8</v>
      </c>
      <c r="AD3275" s="5">
        <v>4.978700048063188</v>
      </c>
      <c r="AE3275" s="5">
        <v>2.2577355798397267</v>
      </c>
      <c r="AF3275">
        <v>1</v>
      </c>
    </row>
    <row r="3276" spans="27:32" x14ac:dyDescent="0.3">
      <c r="AA3276" s="3">
        <v>38568.410000000003</v>
      </c>
      <c r="AB3276">
        <v>1E-4</v>
      </c>
      <c r="AC3276">
        <v>7</v>
      </c>
      <c r="AD3276" s="5">
        <v>5.0522314038970482</v>
      </c>
      <c r="AE3276" s="5">
        <v>2.2160564570053576</v>
      </c>
      <c r="AF3276">
        <v>1</v>
      </c>
    </row>
    <row r="3277" spans="27:32" x14ac:dyDescent="0.3">
      <c r="AA3277" s="3">
        <v>37739.760000000002</v>
      </c>
      <c r="AB3277">
        <v>1E-4</v>
      </c>
      <c r="AC3277">
        <v>7</v>
      </c>
      <c r="AD3277" s="5">
        <v>4.9747863964002299</v>
      </c>
      <c r="AE3277" s="5">
        <v>2.1277298892818748</v>
      </c>
      <c r="AF3277">
        <v>1</v>
      </c>
    </row>
    <row r="3278" spans="27:32" x14ac:dyDescent="0.3">
      <c r="AA3278" s="3">
        <v>-8225.25</v>
      </c>
      <c r="AB3278">
        <v>1E-4</v>
      </c>
      <c r="AC3278">
        <v>9</v>
      </c>
      <c r="AD3278" s="5">
        <v>4.9415101232153251</v>
      </c>
      <c r="AE3278" s="5">
        <v>2.1831100824711851</v>
      </c>
      <c r="AF3278">
        <v>1</v>
      </c>
    </row>
    <row r="3279" spans="27:32" x14ac:dyDescent="0.3">
      <c r="AA3279" s="3">
        <v>16889.240000000002</v>
      </c>
      <c r="AB3279">
        <v>1E-4</v>
      </c>
      <c r="AC3279">
        <v>8</v>
      </c>
      <c r="AD3279" s="5">
        <v>5.0115294046521921</v>
      </c>
      <c r="AE3279" s="5">
        <v>2.1946121542454105</v>
      </c>
      <c r="AF3279">
        <v>1</v>
      </c>
    </row>
    <row r="3280" spans="27:32" x14ac:dyDescent="0.3">
      <c r="AA3280" s="3">
        <v>-2763.68</v>
      </c>
      <c r="AB3280">
        <v>1E-4</v>
      </c>
      <c r="AC3280">
        <v>9</v>
      </c>
      <c r="AD3280" s="5">
        <v>5.0537399395852916</v>
      </c>
      <c r="AE3280" s="5">
        <v>2.2087234912482718</v>
      </c>
      <c r="AF3280">
        <v>1</v>
      </c>
    </row>
    <row r="3281" spans="27:32" x14ac:dyDescent="0.3">
      <c r="AA3281" s="3">
        <v>24883.05</v>
      </c>
      <c r="AB3281">
        <v>1E-4</v>
      </c>
      <c r="AC3281">
        <v>8</v>
      </c>
      <c r="AD3281" s="5">
        <v>5.0243529055404945</v>
      </c>
      <c r="AE3281" s="5">
        <v>2.276473513784242</v>
      </c>
      <c r="AF3281">
        <v>1</v>
      </c>
    </row>
    <row r="3282" spans="27:32" x14ac:dyDescent="0.3">
      <c r="AA3282" s="3">
        <v>646.4</v>
      </c>
      <c r="AB3282">
        <v>1E-4</v>
      </c>
      <c r="AC3282">
        <v>8</v>
      </c>
      <c r="AD3282" s="5">
        <v>5.1055832190237043</v>
      </c>
      <c r="AE3282" s="5">
        <v>2.2341339528537709</v>
      </c>
      <c r="AF3282">
        <v>1</v>
      </c>
    </row>
    <row r="3283" spans="27:32" x14ac:dyDescent="0.3">
      <c r="AA3283" s="3">
        <v>34268.17</v>
      </c>
      <c r="AB3283">
        <v>1E-4</v>
      </c>
      <c r="AC3283">
        <v>7</v>
      </c>
      <c r="AD3283" s="5">
        <v>4.9820148276753091</v>
      </c>
      <c r="AE3283" s="5">
        <v>2.262943791515017</v>
      </c>
      <c r="AF3283">
        <v>1</v>
      </c>
    </row>
    <row r="3284" spans="27:32" x14ac:dyDescent="0.3">
      <c r="AA3284" s="3">
        <v>8681.65</v>
      </c>
      <c r="AB3284">
        <v>1E-4</v>
      </c>
      <c r="AC3284">
        <v>8</v>
      </c>
      <c r="AD3284" s="5">
        <v>4.9830379274578984</v>
      </c>
      <c r="AE3284" s="5">
        <v>2.2122155701133872</v>
      </c>
      <c r="AF3284">
        <v>1</v>
      </c>
    </row>
    <row r="3285" spans="27:32" x14ac:dyDescent="0.3">
      <c r="AA3285" s="3">
        <v>-12759.51</v>
      </c>
      <c r="AB3285">
        <v>1E-4</v>
      </c>
      <c r="AC3285">
        <v>9</v>
      </c>
      <c r="AD3285" s="5">
        <v>4.8887754954195008</v>
      </c>
      <c r="AE3285" s="5">
        <v>2.2641035793008029</v>
      </c>
      <c r="AF3285">
        <v>1</v>
      </c>
    </row>
    <row r="3286" spans="27:32" x14ac:dyDescent="0.3">
      <c r="AA3286" s="3">
        <v>19177.990000000002</v>
      </c>
      <c r="AB3286">
        <v>1E-4</v>
      </c>
      <c r="AC3286">
        <v>8</v>
      </c>
      <c r="AD3286" s="5">
        <v>4.9939408595155683</v>
      </c>
      <c r="AE3286" s="5">
        <v>2.1788999364615984</v>
      </c>
      <c r="AF3286">
        <v>1</v>
      </c>
    </row>
    <row r="3287" spans="27:32" x14ac:dyDescent="0.3">
      <c r="AA3287" s="3">
        <v>34852.71</v>
      </c>
      <c r="AB3287">
        <v>1E-4</v>
      </c>
      <c r="AC3287">
        <v>7</v>
      </c>
      <c r="AD3287" s="5">
        <v>5.0422862254395335</v>
      </c>
      <c r="AE3287" s="5">
        <v>2.2334127380493212</v>
      </c>
      <c r="AF3287">
        <v>1</v>
      </c>
    </row>
    <row r="3288" spans="27:32" x14ac:dyDescent="0.3">
      <c r="AA3288" s="3">
        <v>19545.75</v>
      </c>
      <c r="AB3288">
        <v>1E-4</v>
      </c>
      <c r="AC3288">
        <v>8</v>
      </c>
      <c r="AD3288" s="5">
        <v>5.0187519158468872</v>
      </c>
      <c r="AE3288" s="5">
        <v>2.2328565015070008</v>
      </c>
      <c r="AF3288">
        <v>1</v>
      </c>
    </row>
    <row r="3289" spans="27:32" x14ac:dyDescent="0.3">
      <c r="AA3289" s="3">
        <v>28835.14</v>
      </c>
      <c r="AB3289">
        <v>1E-4</v>
      </c>
      <c r="AC3289">
        <v>8</v>
      </c>
      <c r="AD3289" s="5">
        <v>4.9576917994550822</v>
      </c>
      <c r="AE3289" s="5">
        <v>2.1371336537085885</v>
      </c>
      <c r="AF3289">
        <v>1</v>
      </c>
    </row>
    <row r="3290" spans="27:32" x14ac:dyDescent="0.3">
      <c r="AA3290" s="3">
        <v>6325.4</v>
      </c>
      <c r="AB3290">
        <v>1E-4</v>
      </c>
      <c r="AC3290">
        <v>8</v>
      </c>
      <c r="AD3290" s="5">
        <v>5.0689505867151068</v>
      </c>
      <c r="AE3290" s="5">
        <v>2.1409459657105385</v>
      </c>
      <c r="AF3290">
        <v>1</v>
      </c>
    </row>
    <row r="3291" spans="27:32" x14ac:dyDescent="0.3">
      <c r="AA3291" s="3">
        <v>21635.42</v>
      </c>
      <c r="AB3291">
        <v>1E-4</v>
      </c>
      <c r="AC3291">
        <v>8</v>
      </c>
      <c r="AD3291" s="5">
        <v>4.9956055351865611</v>
      </c>
      <c r="AE3291" s="5">
        <v>2.1586922081135529</v>
      </c>
      <c r="AF3291">
        <v>1</v>
      </c>
    </row>
    <row r="3292" spans="27:32" x14ac:dyDescent="0.3">
      <c r="AA3292" s="3">
        <v>25656.87</v>
      </c>
      <c r="AB3292">
        <v>1E-4</v>
      </c>
      <c r="AC3292">
        <v>8</v>
      </c>
      <c r="AD3292" s="5">
        <v>4.9498530367549547</v>
      </c>
      <c r="AE3292" s="5">
        <v>2.1320988041105773</v>
      </c>
      <c r="AF3292">
        <v>1</v>
      </c>
    </row>
    <row r="3293" spans="27:32" x14ac:dyDescent="0.3">
      <c r="AA3293" s="3">
        <v>-2596.14</v>
      </c>
      <c r="AB3293">
        <v>1E-4</v>
      </c>
      <c r="AC3293">
        <v>9</v>
      </c>
      <c r="AD3293" s="5">
        <v>5.0967575927285713</v>
      </c>
      <c r="AE3293" s="5">
        <v>2.2375501642978501</v>
      </c>
      <c r="AF3293">
        <v>1</v>
      </c>
    </row>
    <row r="3294" spans="27:32" x14ac:dyDescent="0.3">
      <c r="AA3294" s="3">
        <v>-2113.56</v>
      </c>
      <c r="AB3294">
        <v>1E-4</v>
      </c>
      <c r="AC3294">
        <v>9</v>
      </c>
      <c r="AD3294" s="5">
        <v>4.9781859854399526</v>
      </c>
      <c r="AE3294" s="5">
        <v>2.2878273426187028</v>
      </c>
      <c r="AF3294">
        <v>1</v>
      </c>
    </row>
    <row r="3295" spans="27:32" x14ac:dyDescent="0.3">
      <c r="AA3295" s="3">
        <v>36795.300000000003</v>
      </c>
      <c r="AB3295">
        <v>1E-4</v>
      </c>
      <c r="AC3295">
        <v>7</v>
      </c>
      <c r="AD3295" s="5">
        <v>5.1199082188269287</v>
      </c>
      <c r="AE3295" s="5">
        <v>2.1833217484520158</v>
      </c>
      <c r="AF3295">
        <v>1</v>
      </c>
    </row>
    <row r="3296" spans="27:32" x14ac:dyDescent="0.3">
      <c r="AA3296" s="3">
        <v>19876.810000000001</v>
      </c>
      <c r="AB3296">
        <v>1E-4</v>
      </c>
      <c r="AC3296">
        <v>8</v>
      </c>
      <c r="AD3296" s="5">
        <v>5.0937592588093423</v>
      </c>
      <c r="AE3296" s="5">
        <v>2.2073734997312977</v>
      </c>
      <c r="AF3296">
        <v>1</v>
      </c>
    </row>
    <row r="3297" spans="27:32" x14ac:dyDescent="0.3">
      <c r="AA3297" s="3">
        <v>11063.22</v>
      </c>
      <c r="AB3297">
        <v>1E-4</v>
      </c>
      <c r="AC3297">
        <v>8</v>
      </c>
      <c r="AD3297" s="5">
        <v>5.0702537372490522</v>
      </c>
      <c r="AE3297" s="5">
        <v>2.2229028158792663</v>
      </c>
      <c r="AF3297">
        <v>1</v>
      </c>
    </row>
    <row r="3298" spans="27:32" x14ac:dyDescent="0.3">
      <c r="AA3298" s="3">
        <v>23678.65</v>
      </c>
      <c r="AB3298">
        <v>1E-4</v>
      </c>
      <c r="AC3298">
        <v>8</v>
      </c>
      <c r="AD3298" s="5">
        <v>4.860137265774493</v>
      </c>
      <c r="AE3298" s="5">
        <v>2.2040600494000078</v>
      </c>
      <c r="AF3298">
        <v>1</v>
      </c>
    </row>
    <row r="3299" spans="27:32" x14ac:dyDescent="0.3">
      <c r="AA3299" s="3">
        <v>66184.899999999994</v>
      </c>
      <c r="AB3299">
        <v>1E-4</v>
      </c>
      <c r="AC3299">
        <v>6</v>
      </c>
      <c r="AD3299" s="5">
        <v>5.1781153121682273</v>
      </c>
      <c r="AE3299" s="5">
        <v>2.1264454427171677</v>
      </c>
      <c r="AF3299">
        <v>1</v>
      </c>
    </row>
    <row r="3300" spans="27:32" x14ac:dyDescent="0.3">
      <c r="AA3300" s="3">
        <v>35589.75</v>
      </c>
      <c r="AB3300">
        <v>1E-4</v>
      </c>
      <c r="AC3300">
        <v>7</v>
      </c>
      <c r="AD3300" s="5">
        <v>4.9836865437791866</v>
      </c>
      <c r="AE3300" s="5">
        <v>2.156460005140191</v>
      </c>
      <c r="AF3300">
        <v>1</v>
      </c>
    </row>
    <row r="3301" spans="27:32" x14ac:dyDescent="0.3">
      <c r="AA3301" s="3">
        <v>17801.3</v>
      </c>
      <c r="AB3301">
        <v>1E-4</v>
      </c>
      <c r="AC3301">
        <v>8</v>
      </c>
      <c r="AD3301" s="5">
        <v>4.9530462686289383</v>
      </c>
      <c r="AE3301" s="5">
        <v>2.2218854148691327</v>
      </c>
      <c r="AF3301">
        <v>1</v>
      </c>
    </row>
    <row r="3302" spans="27:32" x14ac:dyDescent="0.3">
      <c r="AA3302" s="3">
        <v>2834.75</v>
      </c>
      <c r="AB3302">
        <v>1E-4</v>
      </c>
      <c r="AC3302">
        <v>8</v>
      </c>
      <c r="AD3302" s="5">
        <v>5.0433717120947179</v>
      </c>
      <c r="AE3302" s="5">
        <v>2.2494106877233566</v>
      </c>
      <c r="AF3302">
        <v>1</v>
      </c>
    </row>
    <row r="3303" spans="27:32" x14ac:dyDescent="0.3">
      <c r="AA3303" s="3">
        <v>-9836.7199999999993</v>
      </c>
      <c r="AB3303">
        <v>1E-4</v>
      </c>
      <c r="AC3303">
        <v>9</v>
      </c>
      <c r="AD3303" s="5">
        <v>4.9894906746674881</v>
      </c>
      <c r="AE3303" s="5">
        <v>2.2193016413435092</v>
      </c>
      <c r="AF3303">
        <v>1</v>
      </c>
    </row>
    <row r="3304" spans="27:32" x14ac:dyDescent="0.3">
      <c r="AA3304" s="3">
        <v>32417.7</v>
      </c>
      <c r="AB3304">
        <v>1E-4</v>
      </c>
      <c r="AC3304">
        <v>7</v>
      </c>
      <c r="AD3304" s="5">
        <v>5.1515972266792334</v>
      </c>
      <c r="AE3304" s="5">
        <v>2.218148997887921</v>
      </c>
      <c r="AF3304">
        <v>1</v>
      </c>
    </row>
    <row r="3305" spans="27:32" x14ac:dyDescent="0.3">
      <c r="AA3305" s="3">
        <v>-2718.06</v>
      </c>
      <c r="AB3305">
        <v>1E-4</v>
      </c>
      <c r="AC3305">
        <v>9</v>
      </c>
      <c r="AD3305" s="5">
        <v>4.8336498112334967</v>
      </c>
      <c r="AE3305" s="5">
        <v>2.1840269008433428</v>
      </c>
      <c r="AF3305">
        <v>1</v>
      </c>
    </row>
    <row r="3306" spans="27:32" x14ac:dyDescent="0.3">
      <c r="AA3306" s="3">
        <v>6207.92</v>
      </c>
      <c r="AB3306">
        <v>1E-4</v>
      </c>
      <c r="AC3306">
        <v>8</v>
      </c>
      <c r="AD3306" s="5">
        <v>5.0819577385711341</v>
      </c>
      <c r="AE3306" s="5">
        <v>2.2774981273406238</v>
      </c>
      <c r="AF3306">
        <v>1</v>
      </c>
    </row>
    <row r="3307" spans="27:32" x14ac:dyDescent="0.3">
      <c r="AA3307" s="3">
        <v>29498.15</v>
      </c>
      <c r="AB3307">
        <v>1E-4</v>
      </c>
      <c r="AC3307">
        <v>8</v>
      </c>
      <c r="AD3307" s="5">
        <v>4.9603464891103357</v>
      </c>
      <c r="AE3307" s="5">
        <v>2.1606337038491152</v>
      </c>
      <c r="AF3307">
        <v>1</v>
      </c>
    </row>
    <row r="3308" spans="27:32" x14ac:dyDescent="0.3">
      <c r="AA3308" s="3">
        <v>-10634.29</v>
      </c>
      <c r="AB3308">
        <v>1E-4</v>
      </c>
      <c r="AC3308">
        <v>9</v>
      </c>
      <c r="AD3308" s="5">
        <v>4.8743946308967994</v>
      </c>
      <c r="AE3308" s="5">
        <v>2.3026587288820051</v>
      </c>
      <c r="AF3308">
        <v>1</v>
      </c>
    </row>
    <row r="3309" spans="27:32" x14ac:dyDescent="0.3">
      <c r="AA3309" s="3">
        <v>14076.97</v>
      </c>
      <c r="AB3309">
        <v>1E-4</v>
      </c>
      <c r="AC3309">
        <v>8</v>
      </c>
      <c r="AD3309" s="5">
        <v>5.0227090920011994</v>
      </c>
      <c r="AE3309" s="5">
        <v>2.1742336221131073</v>
      </c>
      <c r="AF3309">
        <v>1</v>
      </c>
    </row>
    <row r="3310" spans="27:32" x14ac:dyDescent="0.3">
      <c r="AA3310" s="3">
        <v>-20300.45</v>
      </c>
      <c r="AB3310">
        <v>1E-4</v>
      </c>
      <c r="AC3310">
        <v>9</v>
      </c>
      <c r="AD3310" s="5">
        <v>4.9593530945784527</v>
      </c>
      <c r="AE3310" s="5">
        <v>2.1789806045389102</v>
      </c>
      <c r="AF3310">
        <v>1</v>
      </c>
    </row>
    <row r="3311" spans="27:32" x14ac:dyDescent="0.3">
      <c r="AA3311" s="3">
        <v>27152.3</v>
      </c>
      <c r="AB3311">
        <v>1E-4</v>
      </c>
      <c r="AC3311">
        <v>8</v>
      </c>
      <c r="AD3311" s="5">
        <v>5.0371938073605946</v>
      </c>
      <c r="AE3311" s="5">
        <v>2.1480457567630862</v>
      </c>
      <c r="AF3311">
        <v>1</v>
      </c>
    </row>
    <row r="3312" spans="27:32" x14ac:dyDescent="0.3">
      <c r="AA3312" s="3">
        <v>19770.14</v>
      </c>
      <c r="AB3312">
        <v>1E-4</v>
      </c>
      <c r="AC3312">
        <v>8</v>
      </c>
      <c r="AD3312" s="5">
        <v>5.0883380255763155</v>
      </c>
      <c r="AE3312" s="5">
        <v>2.2358749315339046</v>
      </c>
      <c r="AF3312">
        <v>1</v>
      </c>
    </row>
    <row r="3313" spans="27:32" x14ac:dyDescent="0.3">
      <c r="AA3313" s="3">
        <v>39500.26</v>
      </c>
      <c r="AB3313">
        <v>1E-4</v>
      </c>
      <c r="AC3313">
        <v>7</v>
      </c>
      <c r="AD3313" s="5">
        <v>5.1664273529990128</v>
      </c>
      <c r="AE3313" s="5">
        <v>2.220753526123266</v>
      </c>
      <c r="AF3313">
        <v>1</v>
      </c>
    </row>
    <row r="3314" spans="27:32" x14ac:dyDescent="0.3">
      <c r="AA3314" s="3">
        <v>14505.67</v>
      </c>
      <c r="AB3314">
        <v>1E-4</v>
      </c>
      <c r="AC3314">
        <v>8</v>
      </c>
      <c r="AD3314" s="5">
        <v>4.9838258578373207</v>
      </c>
      <c r="AE3314" s="5">
        <v>2.1577680819944014</v>
      </c>
      <c r="AF3314">
        <v>1</v>
      </c>
    </row>
    <row r="3315" spans="27:32" x14ac:dyDescent="0.3">
      <c r="AA3315" s="3">
        <v>-15090.1</v>
      </c>
      <c r="AB3315">
        <v>1E-4</v>
      </c>
      <c r="AC3315">
        <v>9</v>
      </c>
      <c r="AD3315" s="5">
        <v>5.0631015759694797</v>
      </c>
      <c r="AE3315" s="5">
        <v>2.2073960539021988</v>
      </c>
      <c r="AF3315">
        <v>1</v>
      </c>
    </row>
    <row r="3316" spans="27:32" x14ac:dyDescent="0.3">
      <c r="AA3316" s="3">
        <v>20562.330000000002</v>
      </c>
      <c r="AB3316">
        <v>1E-4</v>
      </c>
      <c r="AC3316">
        <v>8</v>
      </c>
      <c r="AD3316" s="5">
        <v>5.0631552111846831</v>
      </c>
      <c r="AE3316" s="5">
        <v>2.1821696204445611</v>
      </c>
      <c r="AF3316">
        <v>1</v>
      </c>
    </row>
    <row r="3317" spans="27:32" x14ac:dyDescent="0.3">
      <c r="AA3317" s="3">
        <v>51960.51</v>
      </c>
      <c r="AB3317">
        <v>1E-4</v>
      </c>
      <c r="AC3317">
        <v>6</v>
      </c>
      <c r="AD3317" s="5">
        <v>5.0214367983976977</v>
      </c>
      <c r="AE3317" s="5">
        <v>2.2207793242394822</v>
      </c>
      <c r="AF3317">
        <v>1</v>
      </c>
    </row>
    <row r="3318" spans="27:32" x14ac:dyDescent="0.3">
      <c r="AA3318" s="3">
        <v>43198.82</v>
      </c>
      <c r="AB3318">
        <v>1E-4</v>
      </c>
      <c r="AC3318">
        <v>7</v>
      </c>
      <c r="AD3318" s="5">
        <v>5.0820770916574771</v>
      </c>
      <c r="AE3318" s="5">
        <v>2.174942516217099</v>
      </c>
      <c r="AF3318">
        <v>1</v>
      </c>
    </row>
    <row r="3319" spans="27:32" x14ac:dyDescent="0.3">
      <c r="AA3319" s="3">
        <v>-2975.22</v>
      </c>
      <c r="AB3319">
        <v>1E-4</v>
      </c>
      <c r="AC3319">
        <v>9</v>
      </c>
      <c r="AD3319" s="5">
        <v>4.9756074483508783</v>
      </c>
      <c r="AE3319" s="5">
        <v>2.1647603872450421</v>
      </c>
      <c r="AF3319">
        <v>1</v>
      </c>
    </row>
    <row r="3320" spans="27:32" x14ac:dyDescent="0.3">
      <c r="AA3320" s="3">
        <v>20392.82</v>
      </c>
      <c r="AB3320">
        <v>1E-4</v>
      </c>
      <c r="AC3320">
        <v>8</v>
      </c>
      <c r="AD3320" s="5">
        <v>5.1784328293267494</v>
      </c>
      <c r="AE3320" s="5">
        <v>2.2042896630496158</v>
      </c>
      <c r="AF3320">
        <v>1</v>
      </c>
    </row>
    <row r="3321" spans="27:32" x14ac:dyDescent="0.3">
      <c r="AA3321" s="3">
        <v>13506.98</v>
      </c>
      <c r="AB3321">
        <v>1E-4</v>
      </c>
      <c r="AC3321">
        <v>8</v>
      </c>
      <c r="AD3321" s="5">
        <v>5.0116098622909186</v>
      </c>
      <c r="AE3321" s="5">
        <v>2.2439843820374517</v>
      </c>
      <c r="AF3321">
        <v>1</v>
      </c>
    </row>
    <row r="3322" spans="27:32" x14ac:dyDescent="0.3">
      <c r="AA3322" s="3">
        <v>-21607.09</v>
      </c>
      <c r="AB3322">
        <v>1E-4</v>
      </c>
      <c r="AC3322">
        <v>9</v>
      </c>
      <c r="AD3322" s="5">
        <v>4.9824406761868261</v>
      </c>
      <c r="AE3322" s="5">
        <v>2.1464908986237088</v>
      </c>
      <c r="AF3322">
        <v>1</v>
      </c>
    </row>
    <row r="3323" spans="27:32" x14ac:dyDescent="0.3">
      <c r="AA3323" s="3">
        <v>-11366.156291074685</v>
      </c>
      <c r="AB3323">
        <v>1E-4</v>
      </c>
      <c r="AC3323">
        <v>8</v>
      </c>
      <c r="AD3323" s="5">
        <v>5.0606629551382554</v>
      </c>
      <c r="AE3323" s="5">
        <v>2.1662058695456459</v>
      </c>
      <c r="AF3323">
        <v>0</v>
      </c>
    </row>
    <row r="3324" spans="27:32" x14ac:dyDescent="0.3">
      <c r="AA3324" s="3">
        <v>29956.76</v>
      </c>
      <c r="AB3324">
        <v>1E-4</v>
      </c>
      <c r="AC3324">
        <v>8</v>
      </c>
      <c r="AD3324" s="5">
        <v>4.9535918305826909</v>
      </c>
      <c r="AE3324" s="5">
        <v>2.0898023108817019</v>
      </c>
      <c r="AF3324">
        <v>1</v>
      </c>
    </row>
    <row r="3325" spans="27:32" x14ac:dyDescent="0.3">
      <c r="AA3325" s="3">
        <v>21990.71</v>
      </c>
      <c r="AB3325">
        <v>1E-4</v>
      </c>
      <c r="AC3325">
        <v>8</v>
      </c>
      <c r="AD3325" s="5">
        <v>4.9407292486092294</v>
      </c>
      <c r="AE3325" s="5">
        <v>2.1219680066215587</v>
      </c>
      <c r="AF3325">
        <v>1</v>
      </c>
    </row>
    <row r="3326" spans="27:32" x14ac:dyDescent="0.3">
      <c r="AA3326" s="3">
        <v>3318.1</v>
      </c>
      <c r="AB3326">
        <v>1E-4</v>
      </c>
      <c r="AC3326">
        <v>8</v>
      </c>
      <c r="AD3326" s="5">
        <v>5.0713779366815777</v>
      </c>
      <c r="AE3326" s="5">
        <v>2.2813913748405192</v>
      </c>
      <c r="AF3326">
        <v>1</v>
      </c>
    </row>
    <row r="3327" spans="27:32" x14ac:dyDescent="0.3">
      <c r="AA3327" s="3">
        <v>39728.589999999997</v>
      </c>
      <c r="AB3327">
        <v>1E-4</v>
      </c>
      <c r="AC3327">
        <v>7</v>
      </c>
      <c r="AD3327" s="5">
        <v>5.070954206780093</v>
      </c>
      <c r="AE3327" s="5">
        <v>2.2177945575303784</v>
      </c>
      <c r="AF3327">
        <v>1</v>
      </c>
    </row>
    <row r="3328" spans="27:32" x14ac:dyDescent="0.3">
      <c r="AA3328" s="3">
        <v>23342.59</v>
      </c>
      <c r="AB3328">
        <v>1E-4</v>
      </c>
      <c r="AC3328">
        <v>8</v>
      </c>
      <c r="AD3328" s="5">
        <v>5.0129436672924239</v>
      </c>
      <c r="AE3328" s="5">
        <v>2.1242013045362347</v>
      </c>
      <c r="AF3328">
        <v>1</v>
      </c>
    </row>
    <row r="3329" spans="27:32" x14ac:dyDescent="0.3">
      <c r="AA3329" s="3">
        <v>32695.11</v>
      </c>
      <c r="AB3329">
        <v>1E-4</v>
      </c>
      <c r="AC3329">
        <v>7</v>
      </c>
      <c r="AD3329" s="5">
        <v>5.0742858313892647</v>
      </c>
      <c r="AE3329" s="5">
        <v>2.2075386080372978</v>
      </c>
      <c r="AF3329">
        <v>1</v>
      </c>
    </row>
    <row r="3330" spans="27:32" x14ac:dyDescent="0.3">
      <c r="AA3330" s="3">
        <v>39299.42</v>
      </c>
      <c r="AB3330">
        <v>1E-4</v>
      </c>
      <c r="AC3330">
        <v>7</v>
      </c>
      <c r="AD3330" s="5">
        <v>4.9366936749359791</v>
      </c>
      <c r="AE3330" s="5">
        <v>2.180457531732336</v>
      </c>
      <c r="AF3330">
        <v>1</v>
      </c>
    </row>
    <row r="3331" spans="27:32" x14ac:dyDescent="0.3">
      <c r="AA3331" s="3">
        <v>24734.99</v>
      </c>
      <c r="AB3331">
        <v>1E-4</v>
      </c>
      <c r="AC3331">
        <v>7</v>
      </c>
      <c r="AD3331" s="5">
        <v>5.002635558929688</v>
      </c>
      <c r="AE3331" s="5">
        <v>2.1876216266482578</v>
      </c>
      <c r="AF3331">
        <v>1</v>
      </c>
    </row>
    <row r="3332" spans="27:32" x14ac:dyDescent="0.3">
      <c r="AA3332" s="3">
        <v>-37364.736179038387</v>
      </c>
      <c r="AB3332">
        <v>1E-4</v>
      </c>
      <c r="AC3332">
        <v>9</v>
      </c>
      <c r="AD3332" s="5">
        <v>5.0456512021658426</v>
      </c>
      <c r="AE3332" s="5">
        <v>2.2808281109667141</v>
      </c>
      <c r="AF3332">
        <v>0</v>
      </c>
    </row>
    <row r="3333" spans="27:32" x14ac:dyDescent="0.3">
      <c r="AA3333" s="3">
        <v>4928.1400000000003</v>
      </c>
      <c r="AB3333">
        <v>1E-4</v>
      </c>
      <c r="AC3333">
        <v>8</v>
      </c>
      <c r="AD3333" s="5">
        <v>4.817543160392411</v>
      </c>
      <c r="AE3333" s="5">
        <v>2.1704008487849702</v>
      </c>
      <c r="AF3333">
        <v>1</v>
      </c>
    </row>
    <row r="3334" spans="27:32" x14ac:dyDescent="0.3">
      <c r="AA3334" s="3">
        <v>14026.15</v>
      </c>
      <c r="AB3334">
        <v>1E-4</v>
      </c>
      <c r="AC3334">
        <v>8</v>
      </c>
      <c r="AD3334" s="5">
        <v>4.9691227914426817</v>
      </c>
      <c r="AE3334" s="5">
        <v>2.2283192532965344</v>
      </c>
      <c r="AF3334">
        <v>1</v>
      </c>
    </row>
    <row r="3335" spans="27:32" x14ac:dyDescent="0.3">
      <c r="AA3335" s="3">
        <v>54868.97</v>
      </c>
      <c r="AB3335">
        <v>1E-4</v>
      </c>
      <c r="AC3335">
        <v>6</v>
      </c>
      <c r="AD3335" s="5">
        <v>5.1486928951686952</v>
      </c>
      <c r="AE3335" s="5">
        <v>2.1931550993136359</v>
      </c>
      <c r="AF3335">
        <v>1</v>
      </c>
    </row>
    <row r="3336" spans="27:32" x14ac:dyDescent="0.3">
      <c r="AA3336" s="3">
        <v>11269.31</v>
      </c>
      <c r="AB3336">
        <v>1E-4</v>
      </c>
      <c r="AC3336">
        <v>8</v>
      </c>
      <c r="AD3336" s="5">
        <v>4.9970441640861356</v>
      </c>
      <c r="AE3336" s="5">
        <v>2.1669356761844747</v>
      </c>
      <c r="AF3336">
        <v>1</v>
      </c>
    </row>
    <row r="3337" spans="27:32" x14ac:dyDescent="0.3">
      <c r="AA3337" s="3">
        <v>35473.06</v>
      </c>
      <c r="AB3337">
        <v>1E-4</v>
      </c>
      <c r="AC3337">
        <v>7</v>
      </c>
      <c r="AD3337" s="5">
        <v>5.1752353198679772</v>
      </c>
      <c r="AE3337" s="5">
        <v>2.1898547331393052</v>
      </c>
      <c r="AF3337">
        <v>1</v>
      </c>
    </row>
    <row r="3338" spans="27:32" x14ac:dyDescent="0.3">
      <c r="AA3338" s="3">
        <v>12803.15</v>
      </c>
      <c r="AB3338">
        <v>1E-4</v>
      </c>
      <c r="AC3338">
        <v>8</v>
      </c>
      <c r="AD3338" s="5">
        <v>4.7032423805057499</v>
      </c>
      <c r="AE3338" s="5">
        <v>2.2330184868997325</v>
      </c>
      <c r="AF3338">
        <v>1</v>
      </c>
    </row>
    <row r="3339" spans="27:32" x14ac:dyDescent="0.3">
      <c r="AA3339" s="3">
        <v>33931.629999999997</v>
      </c>
      <c r="AB3339">
        <v>1E-4</v>
      </c>
      <c r="AC3339">
        <v>7</v>
      </c>
      <c r="AD3339" s="5">
        <v>5.1275177081524941</v>
      </c>
      <c r="AE3339" s="5">
        <v>2.1683845199812644</v>
      </c>
      <c r="AF3339">
        <v>1</v>
      </c>
    </row>
    <row r="3340" spans="27:32" x14ac:dyDescent="0.3">
      <c r="AA3340" s="3">
        <v>4149.3500000000004</v>
      </c>
      <c r="AB3340">
        <v>1E-4</v>
      </c>
      <c r="AC3340">
        <v>8</v>
      </c>
      <c r="AD3340" s="5">
        <v>4.9603972973402204</v>
      </c>
      <c r="AE3340" s="5">
        <v>2.1231951904765616</v>
      </c>
      <c r="AF3340">
        <v>1</v>
      </c>
    </row>
    <row r="3341" spans="27:32" x14ac:dyDescent="0.3">
      <c r="AA3341" s="3">
        <v>23585.53</v>
      </c>
      <c r="AB3341">
        <v>1E-4</v>
      </c>
      <c r="AC3341">
        <v>8</v>
      </c>
      <c r="AD3341" s="5">
        <v>5.0493778778687455</v>
      </c>
      <c r="AE3341" s="5">
        <v>2.2106975322659634</v>
      </c>
      <c r="AF3341">
        <v>1</v>
      </c>
    </row>
    <row r="3342" spans="27:32" x14ac:dyDescent="0.3">
      <c r="AA3342" s="3">
        <v>7621.41</v>
      </c>
      <c r="AB3342">
        <v>1E-4</v>
      </c>
      <c r="AC3342">
        <v>8</v>
      </c>
      <c r="AD3342" s="5">
        <v>4.914445472465216</v>
      </c>
      <c r="AE3342" s="5">
        <v>2.2486917421017791</v>
      </c>
      <c r="AF3342">
        <v>1</v>
      </c>
    </row>
    <row r="3343" spans="27:32" x14ac:dyDescent="0.3">
      <c r="AA3343" s="3">
        <v>-16671.509999999998</v>
      </c>
      <c r="AB3343">
        <v>1E-4</v>
      </c>
      <c r="AC3343">
        <v>9</v>
      </c>
      <c r="AD3343" s="5">
        <v>4.9435992850521151</v>
      </c>
      <c r="AE3343" s="5">
        <v>2.2919885428745856</v>
      </c>
      <c r="AF3343">
        <v>1</v>
      </c>
    </row>
    <row r="3344" spans="27:32" x14ac:dyDescent="0.3">
      <c r="AA3344" s="3">
        <v>8670.52</v>
      </c>
      <c r="AB3344">
        <v>1E-4</v>
      </c>
      <c r="AC3344">
        <v>8</v>
      </c>
      <c r="AD3344" s="5">
        <v>4.9559557607575195</v>
      </c>
      <c r="AE3344" s="5">
        <v>2.1030275829434211</v>
      </c>
      <c r="AF3344">
        <v>1</v>
      </c>
    </row>
    <row r="3345" spans="27:32" x14ac:dyDescent="0.3">
      <c r="AA3345" s="3">
        <v>8098.05</v>
      </c>
      <c r="AB3345">
        <v>1E-4</v>
      </c>
      <c r="AC3345">
        <v>8</v>
      </c>
      <c r="AD3345" s="5">
        <v>4.9651207056703388</v>
      </c>
      <c r="AE3345" s="5">
        <v>2.2236079511984523</v>
      </c>
      <c r="AF3345">
        <v>1</v>
      </c>
    </row>
    <row r="3346" spans="27:32" x14ac:dyDescent="0.3">
      <c r="AA3346" s="3">
        <v>25883.06</v>
      </c>
      <c r="AB3346">
        <v>1E-4</v>
      </c>
      <c r="AC3346">
        <v>8</v>
      </c>
      <c r="AD3346" s="5">
        <v>5.0804520375177802</v>
      </c>
      <c r="AE3346" s="5">
        <v>2.1913150563486958</v>
      </c>
      <c r="AF3346">
        <v>1</v>
      </c>
    </row>
    <row r="3347" spans="27:32" x14ac:dyDescent="0.3">
      <c r="AA3347" s="3">
        <v>20904.310000000001</v>
      </c>
      <c r="AB3347">
        <v>1E-4</v>
      </c>
      <c r="AC3347">
        <v>8</v>
      </c>
      <c r="AD3347" s="5">
        <v>5.0634375565066927</v>
      </c>
      <c r="AE3347" s="5">
        <v>2.2396767698380278</v>
      </c>
      <c r="AF3347">
        <v>1</v>
      </c>
    </row>
    <row r="3348" spans="27:32" x14ac:dyDescent="0.3">
      <c r="AA3348" s="3">
        <v>25943.8</v>
      </c>
      <c r="AB3348">
        <v>1E-4</v>
      </c>
      <c r="AC3348">
        <v>8</v>
      </c>
      <c r="AD3348" s="5">
        <v>4.9682035198460124</v>
      </c>
      <c r="AE3348" s="5">
        <v>2.1820477342866256</v>
      </c>
      <c r="AF3348">
        <v>1</v>
      </c>
    </row>
    <row r="3349" spans="27:32" x14ac:dyDescent="0.3">
      <c r="AA3349" s="3">
        <v>18477.46</v>
      </c>
      <c r="AB3349">
        <v>1E-4</v>
      </c>
      <c r="AC3349">
        <v>8</v>
      </c>
      <c r="AD3349" s="5">
        <v>4.9511880853354473</v>
      </c>
      <c r="AE3349" s="5">
        <v>2.0427373076563167</v>
      </c>
      <c r="AF3349">
        <v>1</v>
      </c>
    </row>
    <row r="3350" spans="27:32" x14ac:dyDescent="0.3">
      <c r="AA3350" s="3">
        <v>11216.45</v>
      </c>
      <c r="AB3350">
        <v>1E-4</v>
      </c>
      <c r="AC3350">
        <v>8</v>
      </c>
      <c r="AD3350" s="5">
        <v>5.0163352878942851</v>
      </c>
      <c r="AE3350" s="5">
        <v>2.1665516201900559</v>
      </c>
      <c r="AF3350">
        <v>1</v>
      </c>
    </row>
    <row r="3351" spans="27:32" x14ac:dyDescent="0.3">
      <c r="AA3351" s="3">
        <v>29319.42</v>
      </c>
      <c r="AB3351">
        <v>1E-4</v>
      </c>
      <c r="AC3351">
        <v>8</v>
      </c>
      <c r="AD3351" s="5">
        <v>5.0021502768523218</v>
      </c>
      <c r="AE3351" s="5">
        <v>2.1780514673315814</v>
      </c>
      <c r="AF3351">
        <v>1</v>
      </c>
    </row>
    <row r="3352" spans="27:32" x14ac:dyDescent="0.3">
      <c r="AA3352" s="3">
        <v>22980.81</v>
      </c>
      <c r="AB3352">
        <v>1E-4</v>
      </c>
      <c r="AC3352">
        <v>8</v>
      </c>
      <c r="AD3352" s="5">
        <v>5.0696776423466501</v>
      </c>
      <c r="AE3352" s="5">
        <v>2.2068699531493436</v>
      </c>
      <c r="AF3352">
        <v>1</v>
      </c>
    </row>
    <row r="3353" spans="27:32" x14ac:dyDescent="0.3">
      <c r="AA3353" s="3">
        <v>6572.19</v>
      </c>
      <c r="AB3353">
        <v>1E-4</v>
      </c>
      <c r="AC3353">
        <v>8</v>
      </c>
      <c r="AD3353" s="5">
        <v>5.1207517933910447</v>
      </c>
      <c r="AE3353" s="5">
        <v>2.2188318817246544</v>
      </c>
      <c r="AF3353">
        <v>1</v>
      </c>
    </row>
    <row r="3354" spans="27:32" x14ac:dyDescent="0.3">
      <c r="AA3354" s="3">
        <v>5697.72</v>
      </c>
      <c r="AB3354">
        <v>1E-4</v>
      </c>
      <c r="AC3354">
        <v>8</v>
      </c>
      <c r="AD3354" s="5">
        <v>5.0311094377339662</v>
      </c>
      <c r="AE3354" s="5">
        <v>2.1931557909562511</v>
      </c>
      <c r="AF3354">
        <v>1</v>
      </c>
    </row>
    <row r="3355" spans="27:32" x14ac:dyDescent="0.3">
      <c r="AA3355" s="3">
        <v>20440.03</v>
      </c>
      <c r="AB3355">
        <v>1E-4</v>
      </c>
      <c r="AC3355">
        <v>8</v>
      </c>
      <c r="AD3355" s="5">
        <v>5.0418692327862216</v>
      </c>
      <c r="AE3355" s="5">
        <v>2.3338241077762101</v>
      </c>
      <c r="AF3355">
        <v>1</v>
      </c>
    </row>
    <row r="3356" spans="27:32" x14ac:dyDescent="0.3">
      <c r="AA3356" s="3">
        <v>15995.04</v>
      </c>
      <c r="AB3356">
        <v>1E-4</v>
      </c>
      <c r="AC3356">
        <v>8</v>
      </c>
      <c r="AD3356" s="5">
        <v>4.953681751181783</v>
      </c>
      <c r="AE3356" s="5">
        <v>2.1479716689744239</v>
      </c>
      <c r="AF3356">
        <v>1</v>
      </c>
    </row>
    <row r="3357" spans="27:32" x14ac:dyDescent="0.3">
      <c r="AA3357" s="3">
        <v>27334.9</v>
      </c>
      <c r="AB3357">
        <v>1E-4</v>
      </c>
      <c r="AC3357">
        <v>8</v>
      </c>
      <c r="AD3357" s="5">
        <v>4.8805860898521765</v>
      </c>
      <c r="AE3357" s="5">
        <v>2.1399873387286563</v>
      </c>
      <c r="AF3357">
        <v>1</v>
      </c>
    </row>
    <row r="3358" spans="27:32" x14ac:dyDescent="0.3">
      <c r="AA3358" s="3">
        <v>-6864.71</v>
      </c>
      <c r="AB3358">
        <v>1E-4</v>
      </c>
      <c r="AC3358">
        <v>9</v>
      </c>
      <c r="AD3358" s="5">
        <v>5.0273289103538801</v>
      </c>
      <c r="AE3358" s="5">
        <v>2.222936888439031</v>
      </c>
      <c r="AF3358">
        <v>1</v>
      </c>
    </row>
    <row r="3359" spans="27:32" x14ac:dyDescent="0.3">
      <c r="AA3359" s="3">
        <v>36547.440000000002</v>
      </c>
      <c r="AB3359">
        <v>1E-4</v>
      </c>
      <c r="AC3359">
        <v>7</v>
      </c>
      <c r="AD3359" s="5">
        <v>4.9366365019154026</v>
      </c>
      <c r="AE3359" s="5">
        <v>2.2276115099253233</v>
      </c>
      <c r="AF3359">
        <v>1</v>
      </c>
    </row>
    <row r="3360" spans="27:32" x14ac:dyDescent="0.3">
      <c r="AA3360" s="3">
        <v>-95.05</v>
      </c>
      <c r="AB3360">
        <v>1E-4</v>
      </c>
      <c r="AC3360">
        <v>9</v>
      </c>
      <c r="AD3360" s="5">
        <v>5.0302039790499</v>
      </c>
      <c r="AE3360" s="5">
        <v>2.145214372585305</v>
      </c>
      <c r="AF3360">
        <v>1</v>
      </c>
    </row>
    <row r="3361" spans="27:32" x14ac:dyDescent="0.3">
      <c r="AA3361" s="3">
        <v>24405.05</v>
      </c>
      <c r="AB3361">
        <v>1E-4</v>
      </c>
      <c r="AC3361">
        <v>8</v>
      </c>
      <c r="AD3361" s="5">
        <v>5.23357825388194</v>
      </c>
      <c r="AE3361" s="5">
        <v>2.2334945749394355</v>
      </c>
      <c r="AF3361">
        <v>1</v>
      </c>
    </row>
    <row r="3362" spans="27:32" x14ac:dyDescent="0.3">
      <c r="AA3362" s="3">
        <v>-3790.38</v>
      </c>
      <c r="AB3362">
        <v>1E-4</v>
      </c>
      <c r="AC3362">
        <v>9</v>
      </c>
      <c r="AD3362" s="5">
        <v>4.8936588328471018</v>
      </c>
      <c r="AE3362" s="5">
        <v>2.2412586280708662</v>
      </c>
      <c r="AF3362">
        <v>1</v>
      </c>
    </row>
    <row r="3363" spans="27:32" x14ac:dyDescent="0.3">
      <c r="AA3363" s="3">
        <v>-6670.87</v>
      </c>
      <c r="AB3363">
        <v>1E-4</v>
      </c>
      <c r="AC3363">
        <v>9</v>
      </c>
      <c r="AD3363" s="5">
        <v>5.0476075943472027</v>
      </c>
      <c r="AE3363" s="5">
        <v>2.2502866660549081</v>
      </c>
      <c r="AF3363">
        <v>1</v>
      </c>
    </row>
    <row r="3364" spans="27:32" x14ac:dyDescent="0.3">
      <c r="AA3364" s="3">
        <v>15969.43</v>
      </c>
      <c r="AB3364">
        <v>1E-4</v>
      </c>
      <c r="AC3364">
        <v>8</v>
      </c>
      <c r="AD3364" s="5">
        <v>4.9641125166268125</v>
      </c>
      <c r="AE3364" s="5">
        <v>2.2165094977295841</v>
      </c>
      <c r="AF3364">
        <v>1</v>
      </c>
    </row>
    <row r="3365" spans="27:32" x14ac:dyDescent="0.3">
      <c r="AA3365" s="3">
        <v>22611.22</v>
      </c>
      <c r="AB3365">
        <v>1E-4</v>
      </c>
      <c r="AC3365">
        <v>8</v>
      </c>
      <c r="AD3365" s="5">
        <v>5.0659505606205926</v>
      </c>
      <c r="AE3365" s="5">
        <v>2.1936075441020311</v>
      </c>
      <c r="AF3365">
        <v>1</v>
      </c>
    </row>
    <row r="3366" spans="27:32" x14ac:dyDescent="0.3">
      <c r="AA3366" s="3">
        <v>-5485.16</v>
      </c>
      <c r="AB3366">
        <v>1E-4</v>
      </c>
      <c r="AC3366">
        <v>9</v>
      </c>
      <c r="AD3366" s="5">
        <v>4.8791126997569298</v>
      </c>
      <c r="AE3366" s="5">
        <v>2.2290183132611285</v>
      </c>
      <c r="AF3366">
        <v>1</v>
      </c>
    </row>
    <row r="3367" spans="27:32" x14ac:dyDescent="0.3">
      <c r="AA3367" s="3">
        <v>30920.11</v>
      </c>
      <c r="AB3367">
        <v>1E-4</v>
      </c>
      <c r="AC3367">
        <v>7</v>
      </c>
      <c r="AD3367" s="5">
        <v>4.8346888147559755</v>
      </c>
      <c r="AE3367" s="5">
        <v>2.1512529544083439</v>
      </c>
      <c r="AF3367">
        <v>1</v>
      </c>
    </row>
    <row r="3368" spans="27:32" x14ac:dyDescent="0.3">
      <c r="AA3368" s="3">
        <v>-6577.57</v>
      </c>
      <c r="AB3368">
        <v>1E-4</v>
      </c>
      <c r="AC3368">
        <v>9</v>
      </c>
      <c r="AD3368" s="5">
        <v>4.9917395463276986</v>
      </c>
      <c r="AE3368" s="5">
        <v>2.2102932839923652</v>
      </c>
      <c r="AF3368">
        <v>1</v>
      </c>
    </row>
    <row r="3369" spans="27:32" x14ac:dyDescent="0.3">
      <c r="AA3369" s="3">
        <v>7181.28</v>
      </c>
      <c r="AB3369">
        <v>1E-4</v>
      </c>
      <c r="AC3369">
        <v>8</v>
      </c>
      <c r="AD3369" s="5">
        <v>5.0428111297578351</v>
      </c>
      <c r="AE3369" s="5">
        <v>2.1592585895164618</v>
      </c>
      <c r="AF3369">
        <v>1</v>
      </c>
    </row>
    <row r="3370" spans="27:32" x14ac:dyDescent="0.3">
      <c r="AA3370" s="3">
        <v>37696.230000000003</v>
      </c>
      <c r="AB3370">
        <v>1E-4</v>
      </c>
      <c r="AC3370">
        <v>7</v>
      </c>
      <c r="AD3370" s="5">
        <v>5.0159405935379411</v>
      </c>
      <c r="AE3370" s="5">
        <v>2.2328959492778924</v>
      </c>
      <c r="AF3370">
        <v>1</v>
      </c>
    </row>
    <row r="3371" spans="27:32" x14ac:dyDescent="0.3">
      <c r="AA3371" s="3">
        <v>-18376.05</v>
      </c>
      <c r="AB3371">
        <v>1E-4</v>
      </c>
      <c r="AC3371">
        <v>9</v>
      </c>
      <c r="AD3371" s="5">
        <v>4.864894892142364</v>
      </c>
      <c r="AE3371" s="5">
        <v>2.2403582942733276</v>
      </c>
      <c r="AF3371">
        <v>1</v>
      </c>
    </row>
    <row r="3372" spans="27:32" x14ac:dyDescent="0.3">
      <c r="AA3372" s="3">
        <v>18071.89</v>
      </c>
      <c r="AB3372">
        <v>1E-4</v>
      </c>
      <c r="AC3372">
        <v>8</v>
      </c>
      <c r="AD3372" s="5">
        <v>5.1089569731858973</v>
      </c>
      <c r="AE3372" s="5">
        <v>2.2335911488944427</v>
      </c>
      <c r="AF3372">
        <v>1</v>
      </c>
    </row>
    <row r="3373" spans="27:32" x14ac:dyDescent="0.3">
      <c r="AA3373" s="3">
        <v>2924.5520590280976</v>
      </c>
      <c r="AB3373">
        <v>1E-4</v>
      </c>
      <c r="AC3373">
        <v>8</v>
      </c>
      <c r="AD3373" s="5">
        <v>5.053033214014695</v>
      </c>
      <c r="AE3373" s="5">
        <v>2.0784212993528093</v>
      </c>
      <c r="AF3373">
        <v>0</v>
      </c>
    </row>
    <row r="3374" spans="27:32" x14ac:dyDescent="0.3">
      <c r="AA3374" s="3">
        <v>-18171.05</v>
      </c>
      <c r="AB3374">
        <v>1E-4</v>
      </c>
      <c r="AC3374">
        <v>9</v>
      </c>
      <c r="AD3374" s="5">
        <v>4.7553420633210637</v>
      </c>
      <c r="AE3374" s="5">
        <v>2.2790569358124917</v>
      </c>
      <c r="AF3374">
        <v>1</v>
      </c>
    </row>
    <row r="3375" spans="27:32" x14ac:dyDescent="0.3">
      <c r="AA3375" s="3">
        <v>15024.01</v>
      </c>
      <c r="AB3375">
        <v>1E-4</v>
      </c>
      <c r="AC3375">
        <v>8</v>
      </c>
      <c r="AD3375" s="5">
        <v>4.8578752960825531</v>
      </c>
      <c r="AE3375" s="5">
        <v>2.1849279014373408</v>
      </c>
      <c r="AF3375">
        <v>1</v>
      </c>
    </row>
    <row r="3376" spans="27:32" x14ac:dyDescent="0.3">
      <c r="AA3376" s="3">
        <v>-16506.07</v>
      </c>
      <c r="AB3376">
        <v>1E-4</v>
      </c>
      <c r="AC3376">
        <v>9</v>
      </c>
      <c r="AD3376" s="5">
        <v>4.7861419045855573</v>
      </c>
      <c r="AE3376" s="5">
        <v>2.2376855602076851</v>
      </c>
      <c r="AF3376">
        <v>1</v>
      </c>
    </row>
    <row r="3377" spans="27:32" x14ac:dyDescent="0.3">
      <c r="AA3377" s="3">
        <v>12777.26</v>
      </c>
      <c r="AB3377">
        <v>1E-4</v>
      </c>
      <c r="AC3377">
        <v>8</v>
      </c>
      <c r="AD3377" s="5">
        <v>4.9794761690038545</v>
      </c>
      <c r="AE3377" s="5">
        <v>2.2204818431698508</v>
      </c>
      <c r="AF3377">
        <v>1</v>
      </c>
    </row>
    <row r="3378" spans="27:32" x14ac:dyDescent="0.3">
      <c r="AA3378" s="3">
        <v>19222.86</v>
      </c>
      <c r="AB3378">
        <v>1E-4</v>
      </c>
      <c r="AC3378">
        <v>8</v>
      </c>
      <c r="AD3378" s="5">
        <v>4.9848583083521261</v>
      </c>
      <c r="AE3378" s="5">
        <v>2.1646134092987523</v>
      </c>
      <c r="AF3378">
        <v>1</v>
      </c>
    </row>
    <row r="3379" spans="27:32" x14ac:dyDescent="0.3">
      <c r="AA3379" s="3">
        <v>-14575.05</v>
      </c>
      <c r="AB3379">
        <v>1E-4</v>
      </c>
      <c r="AC3379">
        <v>9</v>
      </c>
      <c r="AD3379" s="5">
        <v>4.8748907354451196</v>
      </c>
      <c r="AE3379" s="5">
        <v>2.133979425872004</v>
      </c>
      <c r="AF3379">
        <v>1</v>
      </c>
    </row>
    <row r="3380" spans="27:32" x14ac:dyDescent="0.3">
      <c r="AA3380" s="3">
        <v>7042.37</v>
      </c>
      <c r="AB3380">
        <v>1E-4</v>
      </c>
      <c r="AC3380">
        <v>8</v>
      </c>
      <c r="AD3380" s="5">
        <v>4.9177776988901698</v>
      </c>
      <c r="AE3380" s="5">
        <v>2.1329238852971724</v>
      </c>
      <c r="AF3380">
        <v>1</v>
      </c>
    </row>
    <row r="3381" spans="27:32" x14ac:dyDescent="0.3">
      <c r="AA3381" s="3">
        <v>1298.95</v>
      </c>
      <c r="AB3381">
        <v>1E-4</v>
      </c>
      <c r="AC3381">
        <v>8</v>
      </c>
      <c r="AD3381" s="5">
        <v>4.8312349466230682</v>
      </c>
      <c r="AE3381" s="5">
        <v>2.0890974317911835</v>
      </c>
      <c r="AF3381">
        <v>1</v>
      </c>
    </row>
    <row r="3382" spans="27:32" x14ac:dyDescent="0.3">
      <c r="AA3382" s="3">
        <v>14184.95</v>
      </c>
      <c r="AB3382">
        <v>1E-4</v>
      </c>
      <c r="AC3382">
        <v>8</v>
      </c>
      <c r="AD3382" s="5">
        <v>4.797034897902015</v>
      </c>
      <c r="AE3382" s="5">
        <v>2.180832554295618</v>
      </c>
      <c r="AF3382">
        <v>1</v>
      </c>
    </row>
    <row r="3383" spans="27:32" x14ac:dyDescent="0.3">
      <c r="AA3383" s="3">
        <v>4332.1000000000004</v>
      </c>
      <c r="AB3383">
        <v>1E-4</v>
      </c>
      <c r="AC3383">
        <v>8</v>
      </c>
      <c r="AD3383" s="5">
        <v>4.8389953862450383</v>
      </c>
      <c r="AE3383" s="5">
        <v>2.1980670453594633</v>
      </c>
      <c r="AF3383">
        <v>1</v>
      </c>
    </row>
    <row r="3384" spans="27:32" x14ac:dyDescent="0.3">
      <c r="AA3384" s="3">
        <v>6608.18</v>
      </c>
      <c r="AB3384">
        <v>1E-4</v>
      </c>
      <c r="AC3384">
        <v>8</v>
      </c>
      <c r="AD3384" s="5">
        <v>4.9948625057400236</v>
      </c>
      <c r="AE3384" s="5">
        <v>2.1742827658305206</v>
      </c>
      <c r="AF3384">
        <v>1</v>
      </c>
    </row>
    <row r="3385" spans="27:32" x14ac:dyDescent="0.3">
      <c r="AA3385" s="3">
        <v>-18009.490000000002</v>
      </c>
      <c r="AB3385">
        <v>1E-4</v>
      </c>
      <c r="AC3385">
        <v>9</v>
      </c>
      <c r="AD3385" s="5">
        <v>5.0158421275443725</v>
      </c>
      <c r="AE3385" s="5">
        <v>2.2644495996314369</v>
      </c>
      <c r="AF3385">
        <v>1</v>
      </c>
    </row>
    <row r="3386" spans="27:32" x14ac:dyDescent="0.3">
      <c r="AA3386" s="3">
        <v>7294.03</v>
      </c>
      <c r="AB3386">
        <v>1E-4</v>
      </c>
      <c r="AC3386">
        <v>8</v>
      </c>
      <c r="AD3386" s="5">
        <v>4.952160096549254</v>
      </c>
      <c r="AE3386" s="5">
        <v>2.1783672563442091</v>
      </c>
      <c r="AF3386">
        <v>1</v>
      </c>
    </row>
    <row r="3387" spans="27:32" x14ac:dyDescent="0.3">
      <c r="AA3387" s="3">
        <v>37783.25</v>
      </c>
      <c r="AB3387">
        <v>1E-4</v>
      </c>
      <c r="AC3387">
        <v>7</v>
      </c>
      <c r="AD3387" s="5">
        <v>5.0548386998304444</v>
      </c>
      <c r="AE3387" s="5">
        <v>2.2435340419796814</v>
      </c>
      <c r="AF3387">
        <v>1</v>
      </c>
    </row>
    <row r="3388" spans="27:32" x14ac:dyDescent="0.3">
      <c r="AA3388" s="3">
        <v>36934.639999999999</v>
      </c>
      <c r="AB3388">
        <v>1E-4</v>
      </c>
      <c r="AC3388">
        <v>7</v>
      </c>
      <c r="AD3388" s="5">
        <v>4.8265873504918337</v>
      </c>
      <c r="AE3388" s="5">
        <v>2.1724853653843748</v>
      </c>
      <c r="AF3388">
        <v>1</v>
      </c>
    </row>
    <row r="3389" spans="27:32" x14ac:dyDescent="0.3">
      <c r="AA3389" s="3">
        <v>12280.89</v>
      </c>
      <c r="AB3389">
        <v>1E-4</v>
      </c>
      <c r="AC3389">
        <v>8</v>
      </c>
      <c r="AD3389" s="5">
        <v>5.1738030773003141</v>
      </c>
      <c r="AE3389" s="5">
        <v>2.2085477814070278</v>
      </c>
      <c r="AF3389">
        <v>1</v>
      </c>
    </row>
    <row r="3390" spans="27:32" x14ac:dyDescent="0.3">
      <c r="AA3390" s="3">
        <v>38132.67</v>
      </c>
      <c r="AB3390">
        <v>1E-4</v>
      </c>
      <c r="AC3390">
        <v>7</v>
      </c>
      <c r="AD3390" s="5">
        <v>5.1169544699772684</v>
      </c>
      <c r="AE3390" s="5">
        <v>2.2603952103897225</v>
      </c>
      <c r="AF3390">
        <v>1</v>
      </c>
    </row>
    <row r="3391" spans="27:32" x14ac:dyDescent="0.3">
      <c r="AA3391" s="3">
        <v>43872.93</v>
      </c>
      <c r="AB3391">
        <v>1E-4</v>
      </c>
      <c r="AC3391">
        <v>7</v>
      </c>
      <c r="AD3391" s="5">
        <v>5.1156395971332307</v>
      </c>
      <c r="AE3391" s="5">
        <v>2.2204660464062855</v>
      </c>
      <c r="AF3391">
        <v>1</v>
      </c>
    </row>
    <row r="3392" spans="27:32" x14ac:dyDescent="0.3">
      <c r="AA3392" s="3">
        <v>11924.65</v>
      </c>
      <c r="AB3392">
        <v>1E-4</v>
      </c>
      <c r="AC3392">
        <v>8</v>
      </c>
      <c r="AD3392" s="5">
        <v>5.0263991580526906</v>
      </c>
      <c r="AE3392" s="5">
        <v>2.1708907094871073</v>
      </c>
      <c r="AF3392">
        <v>1</v>
      </c>
    </row>
    <row r="3393" spans="27:32" x14ac:dyDescent="0.3">
      <c r="AA3393" s="3">
        <v>8617.7000000000007</v>
      </c>
      <c r="AB3393">
        <v>1E-4</v>
      </c>
      <c r="AC3393">
        <v>8</v>
      </c>
      <c r="AD3393" s="5">
        <v>4.8999039725105771</v>
      </c>
      <c r="AE3393" s="5">
        <v>2.207319257082395</v>
      </c>
      <c r="AF3393">
        <v>1</v>
      </c>
    </row>
    <row r="3394" spans="27:32" x14ac:dyDescent="0.3">
      <c r="AA3394" s="3">
        <v>31678.94</v>
      </c>
      <c r="AB3394">
        <v>1E-4</v>
      </c>
      <c r="AC3394">
        <v>8</v>
      </c>
      <c r="AD3394" s="5">
        <v>5.2017266236888577</v>
      </c>
      <c r="AE3394" s="5">
        <v>2.2833335371188257</v>
      </c>
      <c r="AF3394">
        <v>1</v>
      </c>
    </row>
    <row r="3395" spans="27:32" x14ac:dyDescent="0.3">
      <c r="AA3395" s="3">
        <v>-1783.26</v>
      </c>
      <c r="AB3395">
        <v>1E-4</v>
      </c>
      <c r="AC3395">
        <v>9</v>
      </c>
      <c r="AD3395" s="5">
        <v>4.98304179018964</v>
      </c>
      <c r="AE3395" s="5">
        <v>2.1934593364856685</v>
      </c>
      <c r="AF3395">
        <v>1</v>
      </c>
    </row>
    <row r="3396" spans="27:32" x14ac:dyDescent="0.3">
      <c r="AA3396" s="3">
        <v>-7249.36</v>
      </c>
      <c r="AB3396">
        <v>1E-4</v>
      </c>
      <c r="AC3396">
        <v>9</v>
      </c>
      <c r="AD3396" s="5">
        <v>4.9805993926973082</v>
      </c>
      <c r="AE3396" s="5">
        <v>2.1202742961881573</v>
      </c>
      <c r="AF3396">
        <v>1</v>
      </c>
    </row>
    <row r="3397" spans="27:32" x14ac:dyDescent="0.3">
      <c r="AA3397" s="3">
        <v>11968.1</v>
      </c>
      <c r="AB3397">
        <v>1E-4</v>
      </c>
      <c r="AC3397">
        <v>8</v>
      </c>
      <c r="AD3397" s="5">
        <v>5.026208445748912</v>
      </c>
      <c r="AE3397" s="5">
        <v>2.1877432834308683</v>
      </c>
      <c r="AF3397">
        <v>1</v>
      </c>
    </row>
    <row r="3398" spans="27:32" x14ac:dyDescent="0.3">
      <c r="AA3398" s="3">
        <v>11960.38</v>
      </c>
      <c r="AB3398">
        <v>1E-4</v>
      </c>
      <c r="AC3398">
        <v>8</v>
      </c>
      <c r="AD3398" s="5">
        <v>4.8781607128105611</v>
      </c>
      <c r="AE3398" s="5">
        <v>2.1511566825135029</v>
      </c>
      <c r="AF3398">
        <v>1</v>
      </c>
    </row>
    <row r="3399" spans="27:32" x14ac:dyDescent="0.3">
      <c r="AA3399" s="3">
        <v>10882.33</v>
      </c>
      <c r="AB3399">
        <v>1E-4</v>
      </c>
      <c r="AC3399">
        <v>8</v>
      </c>
      <c r="AD3399" s="5">
        <v>5.0586701485819123</v>
      </c>
      <c r="AE3399" s="5">
        <v>2.1784589397369509</v>
      </c>
      <c r="AF3399">
        <v>1</v>
      </c>
    </row>
    <row r="3400" spans="27:32" x14ac:dyDescent="0.3">
      <c r="AA3400" s="3">
        <v>20916.18</v>
      </c>
      <c r="AB3400">
        <v>1E-4</v>
      </c>
      <c r="AC3400">
        <v>8</v>
      </c>
      <c r="AD3400" s="5">
        <v>4.9876220092313561</v>
      </c>
      <c r="AE3400" s="5">
        <v>2.2775345832255631</v>
      </c>
      <c r="AF3400">
        <v>1</v>
      </c>
    </row>
    <row r="3401" spans="27:32" x14ac:dyDescent="0.3">
      <c r="AA3401" s="3">
        <v>29678.73</v>
      </c>
      <c r="AB3401">
        <v>1E-4</v>
      </c>
      <c r="AC3401">
        <v>7</v>
      </c>
      <c r="AD3401" s="5">
        <v>5.0653865004693657</v>
      </c>
      <c r="AE3401" s="5">
        <v>2.2374987688993668</v>
      </c>
      <c r="AF3401">
        <v>1</v>
      </c>
    </row>
    <row r="3402" spans="27:32" x14ac:dyDescent="0.3">
      <c r="AA3402" s="3">
        <v>43312</v>
      </c>
      <c r="AB3402">
        <v>1E-4</v>
      </c>
      <c r="AC3402">
        <v>7</v>
      </c>
      <c r="AD3402" s="5">
        <v>5.0725674654649771</v>
      </c>
      <c r="AE3402" s="5">
        <v>2.245215092772828</v>
      </c>
      <c r="AF3402">
        <v>1</v>
      </c>
    </row>
    <row r="3403" spans="27:32" x14ac:dyDescent="0.3">
      <c r="AA3403" s="3">
        <v>3572.51</v>
      </c>
      <c r="AB3403">
        <v>1E-4</v>
      </c>
      <c r="AC3403">
        <v>8</v>
      </c>
      <c r="AD3403" s="5">
        <v>5.0263410274618909</v>
      </c>
      <c r="AE3403" s="5">
        <v>2.1691816987830062</v>
      </c>
      <c r="AF3403">
        <v>1</v>
      </c>
    </row>
    <row r="3404" spans="27:32" x14ac:dyDescent="0.3">
      <c r="AA3404" s="3">
        <v>27014.34</v>
      </c>
      <c r="AB3404">
        <v>1E-4</v>
      </c>
      <c r="AC3404">
        <v>8</v>
      </c>
      <c r="AD3404" s="5">
        <v>5.0369271176007402</v>
      </c>
      <c r="AE3404" s="5">
        <v>2.1310171747588922</v>
      </c>
      <c r="AF3404">
        <v>1</v>
      </c>
    </row>
    <row r="3405" spans="27:32" x14ac:dyDescent="0.3">
      <c r="AA3405" s="3">
        <v>28191.24</v>
      </c>
      <c r="AB3405">
        <v>1E-4</v>
      </c>
      <c r="AC3405">
        <v>8</v>
      </c>
      <c r="AD3405" s="5">
        <v>5.0199067871876561</v>
      </c>
      <c r="AE3405" s="5">
        <v>2.1404876775628745</v>
      </c>
      <c r="AF3405">
        <v>1</v>
      </c>
    </row>
    <row r="3406" spans="27:32" x14ac:dyDescent="0.3">
      <c r="AA3406" s="3">
        <v>21723.48</v>
      </c>
      <c r="AB3406">
        <v>1E-4</v>
      </c>
      <c r="AC3406">
        <v>8</v>
      </c>
      <c r="AD3406" s="5">
        <v>5.0189507644181282</v>
      </c>
      <c r="AE3406" s="5">
        <v>2.2656785819120273</v>
      </c>
      <c r="AF3406">
        <v>1</v>
      </c>
    </row>
    <row r="3407" spans="27:32" x14ac:dyDescent="0.3">
      <c r="AA3407" s="3">
        <v>-952.18</v>
      </c>
      <c r="AB3407">
        <v>1E-4</v>
      </c>
      <c r="AC3407">
        <v>9</v>
      </c>
      <c r="AD3407" s="5">
        <v>4.9478754656297248</v>
      </c>
      <c r="AE3407" s="5">
        <v>2.2092060968777054</v>
      </c>
      <c r="AF3407">
        <v>1</v>
      </c>
    </row>
    <row r="3408" spans="27:32" x14ac:dyDescent="0.3">
      <c r="AA3408" s="3">
        <v>-6472.55</v>
      </c>
      <c r="AB3408">
        <v>1E-4</v>
      </c>
      <c r="AC3408">
        <v>9</v>
      </c>
      <c r="AD3408" s="5">
        <v>5.0893753686031671</v>
      </c>
      <c r="AE3408" s="5">
        <v>2.1596149649786911</v>
      </c>
      <c r="AF3408">
        <v>1</v>
      </c>
    </row>
    <row r="3409" spans="27:32" x14ac:dyDescent="0.3">
      <c r="AA3409" s="3">
        <v>10328.57</v>
      </c>
      <c r="AB3409">
        <v>1E-4</v>
      </c>
      <c r="AC3409">
        <v>8</v>
      </c>
      <c r="AD3409" s="5">
        <v>5.0019919566341349</v>
      </c>
      <c r="AE3409" s="5">
        <v>2.2201511648730303</v>
      </c>
      <c r="AF3409">
        <v>1</v>
      </c>
    </row>
    <row r="3410" spans="27:32" x14ac:dyDescent="0.3">
      <c r="AA3410" s="3">
        <v>4724.22</v>
      </c>
      <c r="AB3410">
        <v>1E-4</v>
      </c>
      <c r="AC3410">
        <v>8</v>
      </c>
      <c r="AD3410" s="5">
        <v>5.0834549115490519</v>
      </c>
      <c r="AE3410" s="5">
        <v>2.2618084521972479</v>
      </c>
      <c r="AF3410">
        <v>1</v>
      </c>
    </row>
    <row r="3411" spans="27:32" x14ac:dyDescent="0.3">
      <c r="AA3411" s="3">
        <v>38631.599999999999</v>
      </c>
      <c r="AB3411">
        <v>1E-4</v>
      </c>
      <c r="AC3411">
        <v>7</v>
      </c>
      <c r="AD3411" s="5">
        <v>5.2081196178312092</v>
      </c>
      <c r="AE3411" s="5">
        <v>2.1627380289706877</v>
      </c>
      <c r="AF3411">
        <v>1</v>
      </c>
    </row>
    <row r="3412" spans="27:32" x14ac:dyDescent="0.3">
      <c r="AA3412" s="3">
        <v>26964.720000000001</v>
      </c>
      <c r="AB3412">
        <v>1E-4</v>
      </c>
      <c r="AC3412">
        <v>8</v>
      </c>
      <c r="AD3412" s="5">
        <v>5.0477663787380838</v>
      </c>
      <c r="AE3412" s="5">
        <v>2.2025501107353378</v>
      </c>
      <c r="AF3412">
        <v>1</v>
      </c>
    </row>
    <row r="3413" spans="27:32" x14ac:dyDescent="0.3">
      <c r="AA3413" s="3">
        <v>9556.2900000000009</v>
      </c>
      <c r="AB3413">
        <v>1E-4</v>
      </c>
      <c r="AC3413">
        <v>8</v>
      </c>
      <c r="AD3413" s="5">
        <v>5.0390570108082402</v>
      </c>
      <c r="AE3413" s="5">
        <v>2.1880926951096513</v>
      </c>
      <c r="AF3413">
        <v>1</v>
      </c>
    </row>
    <row r="3414" spans="27:32" x14ac:dyDescent="0.3">
      <c r="AA3414" s="3">
        <v>12648.18</v>
      </c>
      <c r="AB3414">
        <v>1E-4</v>
      </c>
      <c r="AC3414">
        <v>8</v>
      </c>
      <c r="AD3414" s="5">
        <v>5.1485802049354579</v>
      </c>
      <c r="AE3414" s="5">
        <v>2.2184218047761917</v>
      </c>
      <c r="AF3414">
        <v>1</v>
      </c>
    </row>
    <row r="3415" spans="27:32" x14ac:dyDescent="0.3">
      <c r="AA3415" s="3">
        <v>3958.45</v>
      </c>
      <c r="AB3415">
        <v>1E-4</v>
      </c>
      <c r="AC3415">
        <v>8</v>
      </c>
      <c r="AD3415" s="5">
        <v>4.9654151155376676</v>
      </c>
      <c r="AE3415" s="5">
        <v>2.2583067435443764</v>
      </c>
      <c r="AF3415">
        <v>1</v>
      </c>
    </row>
    <row r="3416" spans="27:32" x14ac:dyDescent="0.3">
      <c r="AA3416" s="3">
        <v>38378.83</v>
      </c>
      <c r="AB3416">
        <v>1E-4</v>
      </c>
      <c r="AC3416">
        <v>7</v>
      </c>
      <c r="AD3416" s="5">
        <v>5.039698575727436</v>
      </c>
      <c r="AE3416" s="5">
        <v>2.1012479260279759</v>
      </c>
      <c r="AF3416">
        <v>1</v>
      </c>
    </row>
    <row r="3417" spans="27:32" x14ac:dyDescent="0.3">
      <c r="AA3417" s="3">
        <v>24630.28</v>
      </c>
      <c r="AB3417">
        <v>1E-4</v>
      </c>
      <c r="AC3417">
        <v>8</v>
      </c>
      <c r="AD3417" s="5">
        <v>5.0199635823586792</v>
      </c>
      <c r="AE3417" s="5">
        <v>2.2291047371994601</v>
      </c>
      <c r="AF3417">
        <v>1</v>
      </c>
    </row>
    <row r="3418" spans="27:32" x14ac:dyDescent="0.3">
      <c r="AA3418" s="3">
        <v>-11834.907561485312</v>
      </c>
      <c r="AB3418">
        <v>1E-4</v>
      </c>
      <c r="AC3418">
        <v>8</v>
      </c>
      <c r="AD3418" s="5">
        <v>4.8226028276436246</v>
      </c>
      <c r="AE3418" s="5">
        <v>2.1809775410703716</v>
      </c>
      <c r="AF3418">
        <v>0</v>
      </c>
    </row>
    <row r="3419" spans="27:32" x14ac:dyDescent="0.3">
      <c r="AA3419" s="3">
        <v>14252.09</v>
      </c>
      <c r="AB3419">
        <v>1E-4</v>
      </c>
      <c r="AC3419">
        <v>8</v>
      </c>
      <c r="AD3419" s="5">
        <v>5.052299324500984</v>
      </c>
      <c r="AE3419" s="5">
        <v>2.2564964751572547</v>
      </c>
      <c r="AF3419">
        <v>1</v>
      </c>
    </row>
    <row r="3420" spans="27:32" x14ac:dyDescent="0.3">
      <c r="AA3420" s="3">
        <v>6740.5</v>
      </c>
      <c r="AB3420">
        <v>1E-4</v>
      </c>
      <c r="AC3420">
        <v>8</v>
      </c>
      <c r="AD3420" s="5">
        <v>4.9658196961728223</v>
      </c>
      <c r="AE3420" s="5">
        <v>2.1943969480436643</v>
      </c>
      <c r="AF3420">
        <v>1</v>
      </c>
    </row>
    <row r="3421" spans="27:32" x14ac:dyDescent="0.3">
      <c r="AA3421" s="3">
        <v>42796.82</v>
      </c>
      <c r="AB3421">
        <v>1E-4</v>
      </c>
      <c r="AC3421">
        <v>6</v>
      </c>
      <c r="AD3421" s="5">
        <v>5.106522153959272</v>
      </c>
      <c r="AE3421" s="5">
        <v>2.2048295974254133</v>
      </c>
      <c r="AF3421">
        <v>1</v>
      </c>
    </row>
    <row r="3422" spans="27:32" x14ac:dyDescent="0.3">
      <c r="AA3422" s="3">
        <v>7186.97</v>
      </c>
      <c r="AB3422">
        <v>1E-4</v>
      </c>
      <c r="AC3422">
        <v>8</v>
      </c>
      <c r="AD3422" s="5">
        <v>5.1451759921599898</v>
      </c>
      <c r="AE3422" s="5">
        <v>2.2462376032010876</v>
      </c>
      <c r="AF3422">
        <v>1</v>
      </c>
    </row>
    <row r="3423" spans="27:32" x14ac:dyDescent="0.3">
      <c r="AA3423" s="3">
        <v>-15255.2</v>
      </c>
      <c r="AB3423">
        <v>1E-4</v>
      </c>
      <c r="AC3423">
        <v>9</v>
      </c>
      <c r="AD3423" s="5">
        <v>4.979741301448958</v>
      </c>
      <c r="AE3423" s="5">
        <v>2.2869162008848094</v>
      </c>
      <c r="AF3423">
        <v>1</v>
      </c>
    </row>
    <row r="3424" spans="27:32" x14ac:dyDescent="0.3">
      <c r="AA3424" s="3">
        <v>26606.02</v>
      </c>
      <c r="AB3424">
        <v>1E-4</v>
      </c>
      <c r="AC3424">
        <v>8</v>
      </c>
      <c r="AD3424" s="5">
        <v>5.0747020055121608</v>
      </c>
      <c r="AE3424" s="5">
        <v>2.202369713479408</v>
      </c>
      <c r="AF3424">
        <v>1</v>
      </c>
    </row>
    <row r="3425" spans="27:32" x14ac:dyDescent="0.3">
      <c r="AA3425" s="3">
        <v>-12273.77</v>
      </c>
      <c r="AB3425">
        <v>1E-4</v>
      </c>
      <c r="AC3425">
        <v>9</v>
      </c>
      <c r="AD3425" s="5">
        <v>4.8608445525138766</v>
      </c>
      <c r="AE3425" s="5">
        <v>2.2661895785937141</v>
      </c>
      <c r="AF3425">
        <v>1</v>
      </c>
    </row>
    <row r="3426" spans="27:32" x14ac:dyDescent="0.3">
      <c r="AA3426" s="3">
        <v>-3236.66</v>
      </c>
      <c r="AB3426">
        <v>1E-4</v>
      </c>
      <c r="AC3426">
        <v>9</v>
      </c>
      <c r="AD3426" s="5">
        <v>5.0582065440929433</v>
      </c>
      <c r="AE3426" s="5">
        <v>2.1909575554005576</v>
      </c>
      <c r="AF3426">
        <v>1</v>
      </c>
    </row>
    <row r="3427" spans="27:32" x14ac:dyDescent="0.3">
      <c r="AA3427" s="3">
        <v>19607.34</v>
      </c>
      <c r="AB3427">
        <v>1E-4</v>
      </c>
      <c r="AC3427">
        <v>8</v>
      </c>
      <c r="AD3427" s="5">
        <v>4.9352187128928975</v>
      </c>
      <c r="AE3427" s="5">
        <v>2.165604477745418</v>
      </c>
      <c r="AF3427">
        <v>1</v>
      </c>
    </row>
    <row r="3428" spans="27:32" x14ac:dyDescent="0.3">
      <c r="AA3428" s="3">
        <v>27332.02</v>
      </c>
      <c r="AB3428">
        <v>1E-4</v>
      </c>
      <c r="AC3428">
        <v>8</v>
      </c>
      <c r="AD3428" s="5">
        <v>4.9751202563239145</v>
      </c>
      <c r="AE3428" s="5">
        <v>2.2380741044447423</v>
      </c>
      <c r="AF3428">
        <v>1</v>
      </c>
    </row>
    <row r="3429" spans="27:32" x14ac:dyDescent="0.3">
      <c r="AA3429" s="3">
        <v>42491.37</v>
      </c>
      <c r="AB3429">
        <v>1E-4</v>
      </c>
      <c r="AC3429">
        <v>7</v>
      </c>
      <c r="AD3429" s="5">
        <v>4.9185760343889253</v>
      </c>
      <c r="AE3429" s="5">
        <v>2.2106638098284588</v>
      </c>
      <c r="AF3429">
        <v>1</v>
      </c>
    </row>
    <row r="3430" spans="27:32" x14ac:dyDescent="0.3">
      <c r="AA3430" s="3">
        <v>-7904.82</v>
      </c>
      <c r="AB3430">
        <v>1E-4</v>
      </c>
      <c r="AC3430">
        <v>9</v>
      </c>
      <c r="AD3430" s="5">
        <v>4.8722355943274778</v>
      </c>
      <c r="AE3430" s="5">
        <v>2.2238708587227913</v>
      </c>
      <c r="AF3430">
        <v>1</v>
      </c>
    </row>
    <row r="3431" spans="27:32" x14ac:dyDescent="0.3">
      <c r="AA3431" s="3">
        <v>6254.04</v>
      </c>
      <c r="AB3431">
        <v>1E-4</v>
      </c>
      <c r="AC3431">
        <v>8</v>
      </c>
      <c r="AD3431" s="5">
        <v>5.021330828270421</v>
      </c>
      <c r="AE3431" s="5">
        <v>2.2282713838222219</v>
      </c>
      <c r="AF3431">
        <v>1</v>
      </c>
    </row>
    <row r="3432" spans="27:32" x14ac:dyDescent="0.3">
      <c r="AA3432" s="3">
        <v>-16168.12</v>
      </c>
      <c r="AB3432">
        <v>1E-4</v>
      </c>
      <c r="AC3432">
        <v>9</v>
      </c>
      <c r="AD3432" s="5">
        <v>4.8806604181904545</v>
      </c>
      <c r="AE3432" s="5">
        <v>2.2074830860655696</v>
      </c>
      <c r="AF3432">
        <v>1</v>
      </c>
    </row>
    <row r="3433" spans="27:32" x14ac:dyDescent="0.3">
      <c r="AA3433" s="3">
        <v>30723.03</v>
      </c>
      <c r="AB3433">
        <v>1E-4</v>
      </c>
      <c r="AC3433">
        <v>8</v>
      </c>
      <c r="AD3433" s="5">
        <v>5.1344508470789751</v>
      </c>
      <c r="AE3433" s="5">
        <v>2.214442147650511</v>
      </c>
      <c r="AF3433">
        <v>1</v>
      </c>
    </row>
    <row r="3434" spans="27:32" x14ac:dyDescent="0.3">
      <c r="AA3434" s="3">
        <v>25654.720000000001</v>
      </c>
      <c r="AB3434">
        <v>1E-4</v>
      </c>
      <c r="AC3434">
        <v>8</v>
      </c>
      <c r="AD3434" s="5">
        <v>5.1246153394815961</v>
      </c>
      <c r="AE3434" s="5">
        <v>2.2136368923011505</v>
      </c>
      <c r="AF3434">
        <v>1</v>
      </c>
    </row>
    <row r="3435" spans="27:32" x14ac:dyDescent="0.3">
      <c r="AA3435" s="3">
        <v>20735.16</v>
      </c>
      <c r="AB3435">
        <v>1E-4</v>
      </c>
      <c r="AC3435">
        <v>8</v>
      </c>
      <c r="AD3435" s="5">
        <v>5.1143504208109256</v>
      </c>
      <c r="AE3435" s="5">
        <v>2.0995095656849898</v>
      </c>
      <c r="AF3435">
        <v>1</v>
      </c>
    </row>
    <row r="3436" spans="27:32" x14ac:dyDescent="0.3">
      <c r="AA3436" s="3">
        <v>17246.810000000001</v>
      </c>
      <c r="AB3436">
        <v>1E-4</v>
      </c>
      <c r="AC3436">
        <v>8</v>
      </c>
      <c r="AD3436" s="5">
        <v>4.8641179252752336</v>
      </c>
      <c r="AE3436" s="5">
        <v>2.1376351388652539</v>
      </c>
      <c r="AF3436">
        <v>1</v>
      </c>
    </row>
    <row r="3437" spans="27:32" x14ac:dyDescent="0.3">
      <c r="AA3437" s="3">
        <v>6661.85</v>
      </c>
      <c r="AB3437">
        <v>1E-4</v>
      </c>
      <c r="AC3437">
        <v>8</v>
      </c>
      <c r="AD3437" s="5">
        <v>4.9810359372442399</v>
      </c>
      <c r="AE3437" s="5">
        <v>2.1074758978591879</v>
      </c>
      <c r="AF3437">
        <v>1</v>
      </c>
    </row>
    <row r="3438" spans="27:32" x14ac:dyDescent="0.3">
      <c r="AA3438" s="3">
        <v>34526.01</v>
      </c>
      <c r="AB3438">
        <v>1E-4</v>
      </c>
      <c r="AC3438">
        <v>7</v>
      </c>
      <c r="AD3438" s="5">
        <v>5.049423609122603</v>
      </c>
      <c r="AE3438" s="5">
        <v>2.1760873832137766</v>
      </c>
      <c r="AF3438">
        <v>1</v>
      </c>
    </row>
    <row r="3439" spans="27:32" x14ac:dyDescent="0.3">
      <c r="AA3439" s="3">
        <v>10703.48</v>
      </c>
      <c r="AB3439">
        <v>1E-4</v>
      </c>
      <c r="AC3439">
        <v>8</v>
      </c>
      <c r="AD3439" s="5">
        <v>5.0226581068804048</v>
      </c>
      <c r="AE3439" s="5">
        <v>2.2341124324671631</v>
      </c>
      <c r="AF3439">
        <v>1</v>
      </c>
    </row>
    <row r="3440" spans="27:32" x14ac:dyDescent="0.3">
      <c r="AA3440" s="3">
        <v>-4789.62</v>
      </c>
      <c r="AB3440">
        <v>1E-4</v>
      </c>
      <c r="AC3440">
        <v>9</v>
      </c>
      <c r="AD3440" s="5">
        <v>4.76470912752864</v>
      </c>
      <c r="AE3440" s="5">
        <v>2.2582708554318551</v>
      </c>
      <c r="AF3440">
        <v>1</v>
      </c>
    </row>
    <row r="3441" spans="27:32" x14ac:dyDescent="0.3">
      <c r="AA3441" s="3">
        <v>-452.9</v>
      </c>
      <c r="AB3441">
        <v>1E-4</v>
      </c>
      <c r="AC3441">
        <v>9</v>
      </c>
      <c r="AD3441" s="5">
        <v>5.0646145728605649</v>
      </c>
      <c r="AE3441" s="5">
        <v>2.2507296955130309</v>
      </c>
      <c r="AF3441">
        <v>1</v>
      </c>
    </row>
    <row r="3442" spans="27:32" x14ac:dyDescent="0.3">
      <c r="AA3442" s="3">
        <v>-869.05</v>
      </c>
      <c r="AB3442">
        <v>1E-4</v>
      </c>
      <c r="AC3442">
        <v>9</v>
      </c>
      <c r="AD3442" s="5">
        <v>4.723056443439984</v>
      </c>
      <c r="AE3442" s="5">
        <v>2.2393218270720627</v>
      </c>
      <c r="AF3442">
        <v>1</v>
      </c>
    </row>
    <row r="3443" spans="27:32" x14ac:dyDescent="0.3">
      <c r="AA3443" s="3">
        <v>2469.79</v>
      </c>
      <c r="AB3443">
        <v>1E-4</v>
      </c>
      <c r="AC3443">
        <v>8</v>
      </c>
      <c r="AD3443" s="5">
        <v>4.9969438593887228</v>
      </c>
      <c r="AE3443" s="5">
        <v>2.2473994174819532</v>
      </c>
      <c r="AF3443">
        <v>1</v>
      </c>
    </row>
    <row r="3444" spans="27:32" x14ac:dyDescent="0.3">
      <c r="AA3444" s="3">
        <v>22183.62</v>
      </c>
      <c r="AB3444">
        <v>1E-4</v>
      </c>
      <c r="AC3444">
        <v>8</v>
      </c>
      <c r="AD3444" s="5">
        <v>5.1120561693527113</v>
      </c>
      <c r="AE3444" s="5">
        <v>2.1338938145771364</v>
      </c>
      <c r="AF3444">
        <v>1</v>
      </c>
    </row>
    <row r="3445" spans="27:32" x14ac:dyDescent="0.3">
      <c r="AA3445" s="3">
        <v>-2774.15</v>
      </c>
      <c r="AB3445">
        <v>1E-4</v>
      </c>
      <c r="AC3445">
        <v>9</v>
      </c>
      <c r="AD3445" s="5">
        <v>4.9533425860085663</v>
      </c>
      <c r="AE3445" s="5">
        <v>2.2149247283499882</v>
      </c>
      <c r="AF3445">
        <v>1</v>
      </c>
    </row>
    <row r="3446" spans="27:32" x14ac:dyDescent="0.3">
      <c r="AA3446" s="3">
        <v>17167.560000000001</v>
      </c>
      <c r="AB3446">
        <v>1E-4</v>
      </c>
      <c r="AC3446">
        <v>8</v>
      </c>
      <c r="AD3446" s="5">
        <v>5.0598245462285529</v>
      </c>
      <c r="AE3446" s="5">
        <v>2.230645621641155</v>
      </c>
      <c r="AF3446">
        <v>1</v>
      </c>
    </row>
    <row r="3447" spans="27:32" x14ac:dyDescent="0.3">
      <c r="AA3447" s="3">
        <v>20248.05</v>
      </c>
      <c r="AB3447">
        <v>1E-4</v>
      </c>
      <c r="AC3447">
        <v>8</v>
      </c>
      <c r="AD3447" s="5">
        <v>5.2326657792366813</v>
      </c>
      <c r="AE3447" s="5">
        <v>2.2282910211497264</v>
      </c>
      <c r="AF3447">
        <v>1</v>
      </c>
    </row>
    <row r="3448" spans="27:32" x14ac:dyDescent="0.3">
      <c r="AA3448" s="3">
        <v>23362.33</v>
      </c>
      <c r="AB3448">
        <v>1E-4</v>
      </c>
      <c r="AC3448">
        <v>8</v>
      </c>
      <c r="AD3448" s="5">
        <v>5.0039081486977848</v>
      </c>
      <c r="AE3448" s="5">
        <v>2.2004728088799261</v>
      </c>
      <c r="AF3448">
        <v>1</v>
      </c>
    </row>
    <row r="3449" spans="27:32" x14ac:dyDescent="0.3">
      <c r="AA3449" s="3">
        <v>9718.6200000000008</v>
      </c>
      <c r="AB3449">
        <v>1E-4</v>
      </c>
      <c r="AC3449">
        <v>8</v>
      </c>
      <c r="AD3449" s="5">
        <v>4.8664806920094659</v>
      </c>
      <c r="AE3449" s="5">
        <v>2.2525594970500364</v>
      </c>
      <c r="AF3449">
        <v>1</v>
      </c>
    </row>
    <row r="3450" spans="27:32" x14ac:dyDescent="0.3">
      <c r="AA3450" s="3">
        <v>40074.519999999997</v>
      </c>
      <c r="AB3450">
        <v>1E-4</v>
      </c>
      <c r="AC3450">
        <v>7</v>
      </c>
      <c r="AD3450" s="5">
        <v>5.1082880027423743</v>
      </c>
      <c r="AE3450" s="5">
        <v>2.1438490241216077</v>
      </c>
      <c r="AF3450">
        <v>1</v>
      </c>
    </row>
    <row r="3451" spans="27:32" x14ac:dyDescent="0.3">
      <c r="AA3451" s="3">
        <v>25343.39</v>
      </c>
      <c r="AB3451">
        <v>1E-4</v>
      </c>
      <c r="AC3451">
        <v>8</v>
      </c>
      <c r="AD3451" s="5">
        <v>5.104232272855012</v>
      </c>
      <c r="AE3451" s="5">
        <v>2.243310505014112</v>
      </c>
      <c r="AF3451">
        <v>1</v>
      </c>
    </row>
    <row r="3452" spans="27:32" x14ac:dyDescent="0.3">
      <c r="AA3452" s="3">
        <v>-18562.439999999999</v>
      </c>
      <c r="AB3452">
        <v>1E-4</v>
      </c>
      <c r="AC3452">
        <v>9</v>
      </c>
      <c r="AD3452" s="5">
        <v>5.0350974508342006</v>
      </c>
      <c r="AE3452" s="5">
        <v>2.2128060157312905</v>
      </c>
      <c r="AF3452">
        <v>1</v>
      </c>
    </row>
    <row r="3453" spans="27:32" x14ac:dyDescent="0.3">
      <c r="AA3453" s="3">
        <v>15588.49</v>
      </c>
      <c r="AB3453">
        <v>1E-4</v>
      </c>
      <c r="AC3453">
        <v>8</v>
      </c>
      <c r="AD3453" s="5">
        <v>4.9720952217413563</v>
      </c>
      <c r="AE3453" s="5">
        <v>2.1321710224775452</v>
      </c>
      <c r="AF3453">
        <v>1</v>
      </c>
    </row>
    <row r="3454" spans="27:32" x14ac:dyDescent="0.3">
      <c r="AA3454" s="3">
        <v>9509.26</v>
      </c>
      <c r="AB3454">
        <v>1E-4</v>
      </c>
      <c r="AC3454">
        <v>8</v>
      </c>
      <c r="AD3454" s="5">
        <v>4.8989894284704167</v>
      </c>
      <c r="AE3454" s="5">
        <v>2.1156894290007724</v>
      </c>
      <c r="AF3454">
        <v>1</v>
      </c>
    </row>
    <row r="3455" spans="27:32" x14ac:dyDescent="0.3">
      <c r="AA3455" s="3">
        <v>21076.77</v>
      </c>
      <c r="AB3455">
        <v>1E-4</v>
      </c>
      <c r="AC3455">
        <v>8</v>
      </c>
      <c r="AD3455" s="5">
        <v>5.0092957805545506</v>
      </c>
      <c r="AE3455" s="5">
        <v>2.2376840794433499</v>
      </c>
      <c r="AF3455">
        <v>1</v>
      </c>
    </row>
    <row r="3456" spans="27:32" x14ac:dyDescent="0.3">
      <c r="AA3456" s="3">
        <v>-12671.51</v>
      </c>
      <c r="AB3456">
        <v>1E-4</v>
      </c>
      <c r="AC3456">
        <v>9</v>
      </c>
      <c r="AD3456" s="5">
        <v>4.9738808807668384</v>
      </c>
      <c r="AE3456" s="5">
        <v>2.2819437247132761</v>
      </c>
      <c r="AF3456">
        <v>1</v>
      </c>
    </row>
    <row r="3457" spans="27:32" x14ac:dyDescent="0.3">
      <c r="AA3457" s="3">
        <v>33561.879999999997</v>
      </c>
      <c r="AB3457">
        <v>1E-4</v>
      </c>
      <c r="AC3457">
        <v>7</v>
      </c>
      <c r="AD3457" s="5">
        <v>4.9574460250423176</v>
      </c>
      <c r="AE3457" s="5">
        <v>2.2713112786004084</v>
      </c>
      <c r="AF3457">
        <v>1</v>
      </c>
    </row>
    <row r="3458" spans="27:32" x14ac:dyDescent="0.3">
      <c r="AA3458" s="3">
        <v>22780.47</v>
      </c>
      <c r="AB3458">
        <v>1E-4</v>
      </c>
      <c r="AC3458">
        <v>8</v>
      </c>
      <c r="AD3458" s="5">
        <v>5.1047066651834738</v>
      </c>
      <c r="AE3458" s="5">
        <v>2.2208208298789751</v>
      </c>
      <c r="AF3458">
        <v>1</v>
      </c>
    </row>
    <row r="3459" spans="27:32" x14ac:dyDescent="0.3">
      <c r="AA3459" s="3">
        <v>32813.56</v>
      </c>
      <c r="AB3459">
        <v>1E-4</v>
      </c>
      <c r="AC3459">
        <v>8</v>
      </c>
      <c r="AD3459" s="5">
        <v>5.1591935134059757</v>
      </c>
      <c r="AE3459" s="5">
        <v>2.1597393476579567</v>
      </c>
      <c r="AF3459">
        <v>1</v>
      </c>
    </row>
    <row r="3460" spans="27:32" x14ac:dyDescent="0.3">
      <c r="AA3460" s="3">
        <v>3186.73</v>
      </c>
      <c r="AB3460">
        <v>1E-4</v>
      </c>
      <c r="AC3460">
        <v>8</v>
      </c>
      <c r="AD3460" s="5">
        <v>5.0055966565760315</v>
      </c>
      <c r="AE3460" s="5">
        <v>2.2129629756660454</v>
      </c>
      <c r="AF3460">
        <v>1</v>
      </c>
    </row>
    <row r="3461" spans="27:32" x14ac:dyDescent="0.3">
      <c r="AA3461" s="3">
        <v>15380.74</v>
      </c>
      <c r="AB3461">
        <v>1E-4</v>
      </c>
      <c r="AC3461">
        <v>8</v>
      </c>
      <c r="AD3461" s="5">
        <v>5.0411512013652313</v>
      </c>
      <c r="AE3461" s="5">
        <v>2.2336444726021574</v>
      </c>
      <c r="AF3461">
        <v>1</v>
      </c>
    </row>
    <row r="3462" spans="27:32" x14ac:dyDescent="0.3">
      <c r="AA3462" s="3">
        <v>50810.2</v>
      </c>
      <c r="AB3462">
        <v>1E-4</v>
      </c>
      <c r="AC3462">
        <v>6</v>
      </c>
      <c r="AD3462" s="5">
        <v>5.0324020935499325</v>
      </c>
      <c r="AE3462" s="5">
        <v>2.2072272990970232</v>
      </c>
      <c r="AF3462">
        <v>1</v>
      </c>
    </row>
    <row r="3463" spans="27:32" x14ac:dyDescent="0.3">
      <c r="AA3463" s="3">
        <v>-20553.265955244817</v>
      </c>
      <c r="AB3463">
        <v>1E-4</v>
      </c>
      <c r="AC3463">
        <v>9</v>
      </c>
      <c r="AD3463" s="5">
        <v>4.9667051043324371</v>
      </c>
      <c r="AE3463" s="5">
        <v>2.239218416291231</v>
      </c>
      <c r="AF3463">
        <v>0</v>
      </c>
    </row>
    <row r="3464" spans="27:32" x14ac:dyDescent="0.3">
      <c r="AA3464" s="3">
        <v>33010.86</v>
      </c>
      <c r="AB3464">
        <v>1E-4</v>
      </c>
      <c r="AC3464">
        <v>7</v>
      </c>
      <c r="AD3464" s="5">
        <v>5.2443799475886408</v>
      </c>
      <c r="AE3464" s="5">
        <v>2.2062077392059458</v>
      </c>
      <c r="AF3464">
        <v>1</v>
      </c>
    </row>
    <row r="3465" spans="27:32" x14ac:dyDescent="0.3">
      <c r="AA3465" s="3">
        <v>11850.27</v>
      </c>
      <c r="AB3465">
        <v>1E-4</v>
      </c>
      <c r="AC3465">
        <v>8</v>
      </c>
      <c r="AD3465" s="5">
        <v>4.9988838153215376</v>
      </c>
      <c r="AE3465" s="5">
        <v>2.2591858779570462</v>
      </c>
      <c r="AF3465">
        <v>1</v>
      </c>
    </row>
    <row r="3466" spans="27:32" x14ac:dyDescent="0.3">
      <c r="AA3466" s="3">
        <v>1079.42</v>
      </c>
      <c r="AB3466">
        <v>1E-4</v>
      </c>
      <c r="AC3466">
        <v>8</v>
      </c>
      <c r="AD3466" s="5">
        <v>4.9267306300751121</v>
      </c>
      <c r="AE3466" s="5">
        <v>2.218257600998546</v>
      </c>
      <c r="AF3466">
        <v>1</v>
      </c>
    </row>
    <row r="3467" spans="27:32" x14ac:dyDescent="0.3">
      <c r="AA3467" s="3">
        <v>9819.34</v>
      </c>
      <c r="AB3467">
        <v>1E-4</v>
      </c>
      <c r="AC3467">
        <v>8</v>
      </c>
      <c r="AD3467" s="5">
        <v>4.952331690649947</v>
      </c>
      <c r="AE3467" s="5">
        <v>2.1778833909414392</v>
      </c>
      <c r="AF3467">
        <v>1</v>
      </c>
    </row>
    <row r="3468" spans="27:32" x14ac:dyDescent="0.3">
      <c r="AA3468" s="3">
        <v>24195.22</v>
      </c>
      <c r="AB3468">
        <v>1E-4</v>
      </c>
      <c r="AC3468">
        <v>8</v>
      </c>
      <c r="AD3468" s="5">
        <v>4.9911081830878992</v>
      </c>
      <c r="AE3468" s="5">
        <v>2.1931010125606942</v>
      </c>
      <c r="AF3468">
        <v>1</v>
      </c>
    </row>
    <row r="3469" spans="27:32" x14ac:dyDescent="0.3">
      <c r="AA3469" s="3">
        <v>-6007.44</v>
      </c>
      <c r="AB3469">
        <v>1E-4</v>
      </c>
      <c r="AC3469">
        <v>9</v>
      </c>
      <c r="AD3469" s="5">
        <v>4.9504372074175391</v>
      </c>
      <c r="AE3469" s="5">
        <v>2.340348035549114</v>
      </c>
      <c r="AF3469">
        <v>1</v>
      </c>
    </row>
    <row r="3470" spans="27:32" x14ac:dyDescent="0.3">
      <c r="AA3470" s="3">
        <v>37957.54</v>
      </c>
      <c r="AB3470">
        <v>1E-4</v>
      </c>
      <c r="AC3470">
        <v>7</v>
      </c>
      <c r="AD3470" s="5">
        <v>5.0154267218645643</v>
      </c>
      <c r="AE3470" s="5">
        <v>2.1207449695062421</v>
      </c>
      <c r="AF3470">
        <v>1</v>
      </c>
    </row>
    <row r="3471" spans="27:32" x14ac:dyDescent="0.3">
      <c r="AA3471" s="3">
        <v>24355.54</v>
      </c>
      <c r="AB3471">
        <v>1E-4</v>
      </c>
      <c r="AC3471">
        <v>8</v>
      </c>
      <c r="AD3471" s="5">
        <v>4.961121130612808</v>
      </c>
      <c r="AE3471" s="5">
        <v>2.2213768497266417</v>
      </c>
      <c r="AF3471">
        <v>1</v>
      </c>
    </row>
    <row r="3472" spans="27:32" x14ac:dyDescent="0.3">
      <c r="AA3472" s="3">
        <v>10923.22</v>
      </c>
      <c r="AB3472">
        <v>1E-4</v>
      </c>
      <c r="AC3472">
        <v>8</v>
      </c>
      <c r="AD3472" s="5">
        <v>5.0085675630979773</v>
      </c>
      <c r="AE3472" s="5">
        <v>2.1691637662895569</v>
      </c>
      <c r="AF3472">
        <v>1</v>
      </c>
    </row>
    <row r="3473" spans="27:32" x14ac:dyDescent="0.3">
      <c r="AA3473" s="3">
        <v>13875.66</v>
      </c>
      <c r="AB3473">
        <v>1E-4</v>
      </c>
      <c r="AC3473">
        <v>8</v>
      </c>
      <c r="AD3473" s="5">
        <v>5.0931111913441098</v>
      </c>
      <c r="AE3473" s="5">
        <v>2.2352728666640593</v>
      </c>
      <c r="AF3473">
        <v>1</v>
      </c>
    </row>
    <row r="3474" spans="27:32" x14ac:dyDescent="0.3">
      <c r="AA3474" s="3">
        <v>-1581.39</v>
      </c>
      <c r="AB3474">
        <v>1E-4</v>
      </c>
      <c r="AC3474">
        <v>9</v>
      </c>
      <c r="AD3474" s="5">
        <v>5.0539153136136115</v>
      </c>
      <c r="AE3474" s="5">
        <v>2.2241281693463688</v>
      </c>
      <c r="AF3474">
        <v>1</v>
      </c>
    </row>
    <row r="3475" spans="27:32" x14ac:dyDescent="0.3">
      <c r="AA3475" s="3">
        <v>42256.19</v>
      </c>
      <c r="AB3475">
        <v>1E-4</v>
      </c>
      <c r="AC3475">
        <v>7</v>
      </c>
      <c r="AD3475" s="5">
        <v>5.0494571552327763</v>
      </c>
      <c r="AE3475" s="5">
        <v>2.1324181697051472</v>
      </c>
      <c r="AF3475">
        <v>1</v>
      </c>
    </row>
    <row r="3476" spans="27:32" x14ac:dyDescent="0.3">
      <c r="AA3476" s="3">
        <v>36582.99</v>
      </c>
      <c r="AB3476">
        <v>1E-4</v>
      </c>
      <c r="AC3476">
        <v>7</v>
      </c>
      <c r="AD3476" s="5">
        <v>5.0443983003167245</v>
      </c>
      <c r="AE3476" s="5">
        <v>2.2151184422667183</v>
      </c>
      <c r="AF3476">
        <v>1</v>
      </c>
    </row>
    <row r="3477" spans="27:32" x14ac:dyDescent="0.3">
      <c r="AA3477" s="3">
        <v>-14287.86</v>
      </c>
      <c r="AB3477">
        <v>1E-4</v>
      </c>
      <c r="AC3477">
        <v>9</v>
      </c>
      <c r="AD3477" s="5">
        <v>4.9623398474355245</v>
      </c>
      <c r="AE3477" s="5">
        <v>2.2232710156946931</v>
      </c>
      <c r="AF3477">
        <v>1</v>
      </c>
    </row>
    <row r="3478" spans="27:32" x14ac:dyDescent="0.3">
      <c r="AA3478" s="3">
        <v>8584.26</v>
      </c>
      <c r="AB3478">
        <v>1E-4</v>
      </c>
      <c r="AC3478">
        <v>8</v>
      </c>
      <c r="AD3478" s="5">
        <v>5.0575688699653814</v>
      </c>
      <c r="AE3478" s="5">
        <v>2.1784589404445369</v>
      </c>
      <c r="AF3478">
        <v>1</v>
      </c>
    </row>
    <row r="3479" spans="27:32" x14ac:dyDescent="0.3">
      <c r="AA3479" s="3">
        <v>26618.04</v>
      </c>
      <c r="AB3479">
        <v>1E-4</v>
      </c>
      <c r="AC3479">
        <v>8</v>
      </c>
      <c r="AD3479" s="5">
        <v>5.0286531154737846</v>
      </c>
      <c r="AE3479" s="5">
        <v>2.2053221163608003</v>
      </c>
      <c r="AF3479">
        <v>1</v>
      </c>
    </row>
    <row r="3480" spans="27:32" x14ac:dyDescent="0.3">
      <c r="AA3480" s="3">
        <v>15043.14</v>
      </c>
      <c r="AB3480">
        <v>1E-4</v>
      </c>
      <c r="AC3480">
        <v>8</v>
      </c>
      <c r="AD3480" s="5">
        <v>4.9855608092931787</v>
      </c>
      <c r="AE3480" s="5">
        <v>2.0959536575424775</v>
      </c>
      <c r="AF3480">
        <v>1</v>
      </c>
    </row>
    <row r="3481" spans="27:32" x14ac:dyDescent="0.3">
      <c r="AA3481" s="3">
        <v>6022.92</v>
      </c>
      <c r="AB3481">
        <v>1E-4</v>
      </c>
      <c r="AC3481">
        <v>8</v>
      </c>
      <c r="AD3481" s="5">
        <v>5.02356060630499</v>
      </c>
      <c r="AE3481" s="5">
        <v>2.2002159757763495</v>
      </c>
      <c r="AF3481">
        <v>1</v>
      </c>
    </row>
    <row r="3482" spans="27:32" x14ac:dyDescent="0.3">
      <c r="AA3482" s="3">
        <v>-23809.09</v>
      </c>
      <c r="AB3482">
        <v>1E-4</v>
      </c>
      <c r="AC3482">
        <v>9</v>
      </c>
      <c r="AD3482" s="5">
        <v>4.9645545821635482</v>
      </c>
      <c r="AE3482" s="5">
        <v>2.1373474436905404</v>
      </c>
      <c r="AF3482">
        <v>1</v>
      </c>
    </row>
    <row r="3483" spans="27:32" x14ac:dyDescent="0.3">
      <c r="AA3483" s="3">
        <v>17596.830000000002</v>
      </c>
      <c r="AB3483">
        <v>1E-4</v>
      </c>
      <c r="AC3483">
        <v>8</v>
      </c>
      <c r="AD3483" s="5">
        <v>4.9612565928871977</v>
      </c>
      <c r="AE3483" s="5">
        <v>2.1102813827836959</v>
      </c>
      <c r="AF3483">
        <v>1</v>
      </c>
    </row>
    <row r="3484" spans="27:32" x14ac:dyDescent="0.3">
      <c r="AA3484" s="3">
        <v>-6203.15</v>
      </c>
      <c r="AB3484">
        <v>1E-4</v>
      </c>
      <c r="AC3484">
        <v>9</v>
      </c>
      <c r="AD3484" s="5">
        <v>4.9671814268297627</v>
      </c>
      <c r="AE3484" s="5">
        <v>2.2585927882090497</v>
      </c>
      <c r="AF3484">
        <v>1</v>
      </c>
    </row>
    <row r="3485" spans="27:32" x14ac:dyDescent="0.3">
      <c r="AA3485" s="3">
        <v>16582.240000000002</v>
      </c>
      <c r="AB3485">
        <v>1E-4</v>
      </c>
      <c r="AC3485">
        <v>8</v>
      </c>
      <c r="AD3485" s="5">
        <v>5.0766305757391255</v>
      </c>
      <c r="AE3485" s="5">
        <v>2.1802367505719733</v>
      </c>
      <c r="AF3485">
        <v>1</v>
      </c>
    </row>
    <row r="3486" spans="27:32" x14ac:dyDescent="0.3">
      <c r="AA3486" s="3">
        <v>20826.96</v>
      </c>
      <c r="AB3486">
        <v>1E-4</v>
      </c>
      <c r="AC3486">
        <v>8</v>
      </c>
      <c r="AD3486" s="5">
        <v>5.031234640251804</v>
      </c>
      <c r="AE3486" s="5">
        <v>2.1152194284119457</v>
      </c>
      <c r="AF3486">
        <v>1</v>
      </c>
    </row>
    <row r="3487" spans="27:32" x14ac:dyDescent="0.3">
      <c r="AA3487" s="3">
        <v>32675.19</v>
      </c>
      <c r="AB3487">
        <v>1E-4</v>
      </c>
      <c r="AC3487">
        <v>7</v>
      </c>
      <c r="AD3487" s="5">
        <v>5.0821235836024039</v>
      </c>
      <c r="AE3487" s="5">
        <v>2.2009141362677571</v>
      </c>
      <c r="AF3487">
        <v>1</v>
      </c>
    </row>
    <row r="3488" spans="27:32" x14ac:dyDescent="0.3">
      <c r="AA3488" s="3">
        <v>10688.71</v>
      </c>
      <c r="AB3488">
        <v>1E-4</v>
      </c>
      <c r="AC3488">
        <v>8</v>
      </c>
      <c r="AD3488" s="5">
        <v>5.0903811508776089</v>
      </c>
      <c r="AE3488" s="5">
        <v>2.1394038681942815</v>
      </c>
      <c r="AF3488">
        <v>1</v>
      </c>
    </row>
    <row r="3489" spans="27:32" x14ac:dyDescent="0.3">
      <c r="AA3489" s="3">
        <v>-1737.59</v>
      </c>
      <c r="AB3489">
        <v>1E-4</v>
      </c>
      <c r="AC3489">
        <v>9</v>
      </c>
      <c r="AD3489" s="5">
        <v>5.0068730987471604</v>
      </c>
      <c r="AE3489" s="5">
        <v>2.281018920623576</v>
      </c>
      <c r="AF3489">
        <v>1</v>
      </c>
    </row>
    <row r="3490" spans="27:32" x14ac:dyDescent="0.3">
      <c r="AA3490" s="3">
        <v>9433.1</v>
      </c>
      <c r="AB3490">
        <v>1E-4</v>
      </c>
      <c r="AC3490">
        <v>8</v>
      </c>
      <c r="AD3490" s="5">
        <v>5.32710202549264</v>
      </c>
      <c r="AE3490" s="5">
        <v>2.2191971566435584</v>
      </c>
      <c r="AF3490">
        <v>1</v>
      </c>
    </row>
    <row r="3491" spans="27:32" x14ac:dyDescent="0.3">
      <c r="AA3491" s="3">
        <v>40888.550000000003</v>
      </c>
      <c r="AB3491">
        <v>1E-4</v>
      </c>
      <c r="AC3491">
        <v>7</v>
      </c>
      <c r="AD3491" s="5">
        <v>4.8722283475614523</v>
      </c>
      <c r="AE3491" s="5">
        <v>2.1742432137221002</v>
      </c>
      <c r="AF3491">
        <v>1</v>
      </c>
    </row>
    <row r="3492" spans="27:32" x14ac:dyDescent="0.3">
      <c r="AA3492" s="3">
        <v>22904.45</v>
      </c>
      <c r="AB3492">
        <v>1E-4</v>
      </c>
      <c r="AC3492">
        <v>8</v>
      </c>
      <c r="AD3492" s="5">
        <v>4.9944996336748337</v>
      </c>
      <c r="AE3492" s="5">
        <v>2.2100908832030979</v>
      </c>
      <c r="AF3492">
        <v>1</v>
      </c>
    </row>
    <row r="3493" spans="27:32" x14ac:dyDescent="0.3">
      <c r="AA3493" s="3">
        <v>27955.759999999998</v>
      </c>
      <c r="AB3493">
        <v>1E-4</v>
      </c>
      <c r="AC3493">
        <v>8</v>
      </c>
      <c r="AD3493" s="5">
        <v>5.0799016985569931</v>
      </c>
      <c r="AE3493" s="5">
        <v>2.2709253450877873</v>
      </c>
      <c r="AF3493">
        <v>1</v>
      </c>
    </row>
    <row r="3494" spans="27:32" x14ac:dyDescent="0.3">
      <c r="AA3494" s="3">
        <v>1584.67</v>
      </c>
      <c r="AB3494">
        <v>1E-4</v>
      </c>
      <c r="AC3494">
        <v>8</v>
      </c>
      <c r="AD3494" s="5">
        <v>5.0913678219913958</v>
      </c>
      <c r="AE3494" s="5">
        <v>2.2220427177197095</v>
      </c>
      <c r="AF3494">
        <v>1</v>
      </c>
    </row>
    <row r="3495" spans="27:32" x14ac:dyDescent="0.3">
      <c r="AA3495" s="3">
        <v>21985.05</v>
      </c>
      <c r="AB3495">
        <v>1E-4</v>
      </c>
      <c r="AC3495">
        <v>8</v>
      </c>
      <c r="AD3495" s="5">
        <v>4.9916518525818203</v>
      </c>
      <c r="AE3495" s="5">
        <v>2.1845834642430888</v>
      </c>
      <c r="AF3495">
        <v>1</v>
      </c>
    </row>
    <row r="3496" spans="27:32" x14ac:dyDescent="0.3">
      <c r="AA3496" s="3">
        <v>23335.64</v>
      </c>
      <c r="AB3496">
        <v>1E-4</v>
      </c>
      <c r="AC3496">
        <v>8</v>
      </c>
      <c r="AD3496" s="5">
        <v>4.9348995030463021</v>
      </c>
      <c r="AE3496" s="5">
        <v>2.1082672669278839</v>
      </c>
      <c r="AF3496">
        <v>1</v>
      </c>
    </row>
    <row r="3497" spans="27:32" x14ac:dyDescent="0.3">
      <c r="AA3497" s="3">
        <v>4128.53</v>
      </c>
      <c r="AB3497">
        <v>1E-4</v>
      </c>
      <c r="AC3497">
        <v>8</v>
      </c>
      <c r="AD3497" s="5">
        <v>5.1099687395260744</v>
      </c>
      <c r="AE3497" s="5">
        <v>2.2269472016852077</v>
      </c>
      <c r="AF3497">
        <v>1</v>
      </c>
    </row>
    <row r="3498" spans="27:32" x14ac:dyDescent="0.3">
      <c r="AA3498" s="3">
        <v>47407.98</v>
      </c>
      <c r="AB3498">
        <v>1E-4</v>
      </c>
      <c r="AC3498">
        <v>6</v>
      </c>
      <c r="AD3498" s="5">
        <v>4.9298814368173183</v>
      </c>
      <c r="AE3498" s="5">
        <v>2.134497499186101</v>
      </c>
      <c r="AF3498">
        <v>1</v>
      </c>
    </row>
    <row r="3499" spans="27:32" x14ac:dyDescent="0.3">
      <c r="AA3499" s="3">
        <v>43568</v>
      </c>
      <c r="AB3499">
        <v>1E-4</v>
      </c>
      <c r="AC3499">
        <v>7</v>
      </c>
      <c r="AD3499" s="5">
        <v>5.0635611472452151</v>
      </c>
      <c r="AE3499" s="5">
        <v>2.1320511307129717</v>
      </c>
      <c r="AF3499">
        <v>1</v>
      </c>
    </row>
    <row r="3500" spans="27:32" x14ac:dyDescent="0.3">
      <c r="AA3500" s="3">
        <v>7108.61</v>
      </c>
      <c r="AB3500">
        <v>1E-4</v>
      </c>
      <c r="AC3500">
        <v>8</v>
      </c>
      <c r="AD3500" s="5">
        <v>4.9595264408149431</v>
      </c>
      <c r="AE3500" s="5">
        <v>2.2510078435258616</v>
      </c>
      <c r="AF3500">
        <v>1</v>
      </c>
    </row>
    <row r="3501" spans="27:32" x14ac:dyDescent="0.3">
      <c r="AA3501" s="3">
        <v>11349.07</v>
      </c>
      <c r="AB3501">
        <v>1E-4</v>
      </c>
      <c r="AC3501">
        <v>8</v>
      </c>
      <c r="AD3501" s="5">
        <v>4.9890731240182014</v>
      </c>
      <c r="AE3501" s="5">
        <v>2.2187423787054339</v>
      </c>
      <c r="AF3501">
        <v>1</v>
      </c>
    </row>
    <row r="3502" spans="27:32" x14ac:dyDescent="0.3">
      <c r="AA3502" s="3">
        <v>13789.8</v>
      </c>
      <c r="AB3502">
        <v>1E-4</v>
      </c>
      <c r="AC3502">
        <v>8</v>
      </c>
      <c r="AD3502" s="5">
        <v>4.914216865033012</v>
      </c>
      <c r="AE3502" s="5">
        <v>2.2531062521443155</v>
      </c>
      <c r="AF3502">
        <v>1</v>
      </c>
    </row>
    <row r="3503" spans="27:32" x14ac:dyDescent="0.3">
      <c r="AA3503" s="3">
        <v>14836.36</v>
      </c>
      <c r="AB3503">
        <v>1E-4</v>
      </c>
      <c r="AC3503">
        <v>8</v>
      </c>
      <c r="AD3503" s="5">
        <v>5.0671098341969172</v>
      </c>
      <c r="AE3503" s="5">
        <v>2.2231995256758501</v>
      </c>
      <c r="AF3503">
        <v>1</v>
      </c>
    </row>
    <row r="3504" spans="27:32" x14ac:dyDescent="0.3">
      <c r="AA3504" s="3">
        <v>10568.91</v>
      </c>
      <c r="AB3504">
        <v>1E-4</v>
      </c>
      <c r="AC3504">
        <v>8</v>
      </c>
      <c r="AD3504" s="5">
        <v>5.1692036195450148</v>
      </c>
      <c r="AE3504" s="5">
        <v>2.2022201315780068</v>
      </c>
      <c r="AF3504">
        <v>1</v>
      </c>
    </row>
    <row r="3505" spans="27:32" x14ac:dyDescent="0.3">
      <c r="AA3505" s="3">
        <v>24398.01</v>
      </c>
      <c r="AB3505">
        <v>1E-4</v>
      </c>
      <c r="AC3505">
        <v>8</v>
      </c>
      <c r="AD3505" s="5">
        <v>5.1024842417767964</v>
      </c>
      <c r="AE3505" s="5">
        <v>2.1057537656375778</v>
      </c>
      <c r="AF3505">
        <v>1</v>
      </c>
    </row>
    <row r="3506" spans="27:32" x14ac:dyDescent="0.3">
      <c r="AA3506" s="3">
        <v>19266.79</v>
      </c>
      <c r="AB3506">
        <v>1E-4</v>
      </c>
      <c r="AC3506">
        <v>8</v>
      </c>
      <c r="AD3506" s="5">
        <v>5.0233788307217928</v>
      </c>
      <c r="AE3506" s="5">
        <v>2.2013245122367926</v>
      </c>
      <c r="AF3506">
        <v>1</v>
      </c>
    </row>
    <row r="3507" spans="27:32" x14ac:dyDescent="0.3">
      <c r="AA3507" s="3">
        <v>3673.0286783354331</v>
      </c>
      <c r="AB3507">
        <v>1E-4</v>
      </c>
      <c r="AC3507">
        <v>8</v>
      </c>
      <c r="AD3507" s="5">
        <v>5.0305425893877533</v>
      </c>
      <c r="AE3507" s="5">
        <v>2.2451837390134473</v>
      </c>
      <c r="AF3507">
        <v>0</v>
      </c>
    </row>
    <row r="3508" spans="27:32" x14ac:dyDescent="0.3">
      <c r="AA3508" s="3">
        <v>13211.58</v>
      </c>
      <c r="AB3508">
        <v>1E-4</v>
      </c>
      <c r="AC3508">
        <v>8</v>
      </c>
      <c r="AD3508" s="5">
        <v>4.9117297520105891</v>
      </c>
      <c r="AE3508" s="5">
        <v>2.1372774458789334</v>
      </c>
      <c r="AF3508">
        <v>1</v>
      </c>
    </row>
    <row r="3509" spans="27:32" x14ac:dyDescent="0.3">
      <c r="AA3509" s="3">
        <v>21121.23</v>
      </c>
      <c r="AB3509">
        <v>1E-4</v>
      </c>
      <c r="AC3509">
        <v>8</v>
      </c>
      <c r="AD3509" s="5">
        <v>4.9261867148153096</v>
      </c>
      <c r="AE3509" s="5">
        <v>2.1794392300007441</v>
      </c>
      <c r="AF3509">
        <v>1</v>
      </c>
    </row>
    <row r="3510" spans="27:32" x14ac:dyDescent="0.3">
      <c r="AA3510" s="3">
        <v>4882.1899999999996</v>
      </c>
      <c r="AB3510">
        <v>1E-4</v>
      </c>
      <c r="AC3510">
        <v>8</v>
      </c>
      <c r="AD3510" s="5">
        <v>5.014629750443274</v>
      </c>
      <c r="AE3510" s="5">
        <v>2.093605280280137</v>
      </c>
      <c r="AF3510">
        <v>1</v>
      </c>
    </row>
    <row r="3511" spans="27:32" x14ac:dyDescent="0.3">
      <c r="AA3511" s="3">
        <v>27941.58</v>
      </c>
      <c r="AB3511">
        <v>1E-4</v>
      </c>
      <c r="AC3511">
        <v>8</v>
      </c>
      <c r="AD3511" s="5">
        <v>4.9024637892847363</v>
      </c>
      <c r="AE3511" s="5">
        <v>2.1767439543396487</v>
      </c>
      <c r="AF3511">
        <v>1</v>
      </c>
    </row>
    <row r="3512" spans="27:32" x14ac:dyDescent="0.3">
      <c r="AA3512" s="3">
        <v>26970.37</v>
      </c>
      <c r="AB3512">
        <v>1E-4</v>
      </c>
      <c r="AC3512">
        <v>8</v>
      </c>
      <c r="AD3512" s="5">
        <v>5.0215461641916548</v>
      </c>
      <c r="AE3512" s="5">
        <v>2.1521682043707888</v>
      </c>
      <c r="AF3512">
        <v>1</v>
      </c>
    </row>
    <row r="3513" spans="27:32" x14ac:dyDescent="0.3">
      <c r="AA3513" s="3">
        <v>27961.15</v>
      </c>
      <c r="AB3513">
        <v>1E-4</v>
      </c>
      <c r="AC3513">
        <v>8</v>
      </c>
      <c r="AD3513" s="5">
        <v>4.8856616392110288</v>
      </c>
      <c r="AE3513" s="5">
        <v>2.1985682951390095</v>
      </c>
      <c r="AF3513">
        <v>1</v>
      </c>
    </row>
    <row r="3514" spans="27:32" x14ac:dyDescent="0.3">
      <c r="AA3514" s="3">
        <v>22172.03</v>
      </c>
      <c r="AB3514">
        <v>1E-4</v>
      </c>
      <c r="AC3514">
        <v>8</v>
      </c>
      <c r="AD3514" s="5">
        <v>4.9740807927821962</v>
      </c>
      <c r="AE3514" s="5">
        <v>2.156763299776653</v>
      </c>
      <c r="AF3514">
        <v>1</v>
      </c>
    </row>
    <row r="3515" spans="27:32" x14ac:dyDescent="0.3">
      <c r="AA3515" s="3">
        <v>5432.3</v>
      </c>
      <c r="AB3515">
        <v>1E-4</v>
      </c>
      <c r="AC3515">
        <v>8</v>
      </c>
      <c r="AD3515" s="5">
        <v>5.1013393662802482</v>
      </c>
      <c r="AE3515" s="5">
        <v>2.2057467704682976</v>
      </c>
      <c r="AF3515">
        <v>1</v>
      </c>
    </row>
    <row r="3516" spans="27:32" x14ac:dyDescent="0.3">
      <c r="AA3516" s="3">
        <v>17860.8</v>
      </c>
      <c r="AB3516">
        <v>1E-4</v>
      </c>
      <c r="AC3516">
        <v>8</v>
      </c>
      <c r="AD3516" s="5">
        <v>4.9973317444944154</v>
      </c>
      <c r="AE3516" s="5">
        <v>2.2366211503354552</v>
      </c>
      <c r="AF3516">
        <v>1</v>
      </c>
    </row>
    <row r="3517" spans="27:32" x14ac:dyDescent="0.3">
      <c r="AA3517" s="3">
        <v>9945.98</v>
      </c>
      <c r="AB3517">
        <v>1E-4</v>
      </c>
      <c r="AC3517">
        <v>8</v>
      </c>
      <c r="AD3517" s="5">
        <v>4.9452800191278161</v>
      </c>
      <c r="AE3517" s="5">
        <v>2.2372922510788813</v>
      </c>
      <c r="AF3517">
        <v>1</v>
      </c>
    </row>
    <row r="3518" spans="27:32" x14ac:dyDescent="0.3">
      <c r="AA3518" s="3">
        <v>-61.53</v>
      </c>
      <c r="AB3518">
        <v>1E-4</v>
      </c>
      <c r="AC3518">
        <v>9</v>
      </c>
      <c r="AD3518" s="5">
        <v>5.0357261492827092</v>
      </c>
      <c r="AE3518" s="5">
        <v>2.2527509516948339</v>
      </c>
      <c r="AF3518">
        <v>1</v>
      </c>
    </row>
    <row r="3519" spans="27:32" x14ac:dyDescent="0.3">
      <c r="AA3519" s="3">
        <v>5759.29</v>
      </c>
      <c r="AB3519">
        <v>1E-4</v>
      </c>
      <c r="AC3519">
        <v>8</v>
      </c>
      <c r="AD3519" s="5">
        <v>4.975262979706347</v>
      </c>
      <c r="AE3519" s="5">
        <v>2.2175228379545415</v>
      </c>
      <c r="AF3519">
        <v>1</v>
      </c>
    </row>
    <row r="3520" spans="27:32" x14ac:dyDescent="0.3">
      <c r="AA3520" s="3">
        <v>37820.03</v>
      </c>
      <c r="AB3520">
        <v>1E-4</v>
      </c>
      <c r="AC3520">
        <v>7</v>
      </c>
      <c r="AD3520" s="5">
        <v>5.10657987045371</v>
      </c>
      <c r="AE3520" s="5">
        <v>2.1350899250557673</v>
      </c>
      <c r="AF3520">
        <v>1</v>
      </c>
    </row>
    <row r="3521" spans="27:32" x14ac:dyDescent="0.3">
      <c r="AA3521" s="3">
        <v>6852.27</v>
      </c>
      <c r="AB3521">
        <v>1E-4</v>
      </c>
      <c r="AC3521">
        <v>8</v>
      </c>
      <c r="AD3521" s="5">
        <v>4.9410781370483923</v>
      </c>
      <c r="AE3521" s="5">
        <v>2.247818610555028</v>
      </c>
      <c r="AF3521">
        <v>1</v>
      </c>
    </row>
    <row r="3522" spans="27:32" x14ac:dyDescent="0.3">
      <c r="AA3522" s="3">
        <v>14032.92</v>
      </c>
      <c r="AB3522">
        <v>1E-4</v>
      </c>
      <c r="AC3522">
        <v>8</v>
      </c>
      <c r="AD3522" s="5">
        <v>5.0892283667749316</v>
      </c>
      <c r="AE3522" s="5">
        <v>2.2868243821215808</v>
      </c>
      <c r="AF3522">
        <v>1</v>
      </c>
    </row>
    <row r="3523" spans="27:32" x14ac:dyDescent="0.3">
      <c r="AA3523" s="3">
        <v>28636.31</v>
      </c>
      <c r="AB3523">
        <v>1E-4</v>
      </c>
      <c r="AC3523">
        <v>8</v>
      </c>
      <c r="AD3523" s="5">
        <v>5.120316994864595</v>
      </c>
      <c r="AE3523" s="5">
        <v>2.3041944418719171</v>
      </c>
      <c r="AF3523">
        <v>1</v>
      </c>
    </row>
    <row r="3524" spans="27:32" x14ac:dyDescent="0.3">
      <c r="AA3524" s="3">
        <v>-30203.806260838595</v>
      </c>
      <c r="AB3524">
        <v>1E-4</v>
      </c>
      <c r="AC3524">
        <v>9</v>
      </c>
      <c r="AD3524" s="5">
        <v>4.8609718147206138</v>
      </c>
      <c r="AE3524" s="5">
        <v>2.1303523119014636</v>
      </c>
      <c r="AF3524">
        <v>0</v>
      </c>
    </row>
    <row r="3525" spans="27:32" x14ac:dyDescent="0.3">
      <c r="AA3525" s="3">
        <v>-2510.6999999999998</v>
      </c>
      <c r="AB3525">
        <v>1E-4</v>
      </c>
      <c r="AC3525">
        <v>9</v>
      </c>
      <c r="AD3525" s="5">
        <v>4.7652309573893108</v>
      </c>
      <c r="AE3525" s="5">
        <v>2.1707726585074152</v>
      </c>
      <c r="AF3525">
        <v>1</v>
      </c>
    </row>
    <row r="3526" spans="27:32" x14ac:dyDescent="0.3">
      <c r="AA3526" s="3">
        <v>-7039.3</v>
      </c>
      <c r="AB3526">
        <v>1E-4</v>
      </c>
      <c r="AC3526">
        <v>9</v>
      </c>
      <c r="AD3526" s="5">
        <v>4.9887771353639554</v>
      </c>
      <c r="AE3526" s="5">
        <v>2.1733823544258222</v>
      </c>
      <c r="AF3526">
        <v>1</v>
      </c>
    </row>
    <row r="3527" spans="27:32" x14ac:dyDescent="0.3">
      <c r="AA3527" s="3">
        <v>8526.02</v>
      </c>
      <c r="AB3527">
        <v>1E-4</v>
      </c>
      <c r="AC3527">
        <v>8</v>
      </c>
      <c r="AD3527" s="5">
        <v>4.9198301113315175</v>
      </c>
      <c r="AE3527" s="5">
        <v>2.1876735104685299</v>
      </c>
      <c r="AF3527">
        <v>1</v>
      </c>
    </row>
    <row r="3528" spans="27:32" x14ac:dyDescent="0.3">
      <c r="AA3528" s="3">
        <v>18154.650000000001</v>
      </c>
      <c r="AB3528">
        <v>1E-4</v>
      </c>
      <c r="AC3528">
        <v>8</v>
      </c>
      <c r="AD3528" s="5">
        <v>4.9749118103803509</v>
      </c>
      <c r="AE3528" s="5">
        <v>2.1538629146642001</v>
      </c>
      <c r="AF3528">
        <v>1</v>
      </c>
    </row>
    <row r="3529" spans="27:32" x14ac:dyDescent="0.3">
      <c r="AA3529" s="3">
        <v>-6600.89</v>
      </c>
      <c r="AB3529">
        <v>1E-4</v>
      </c>
      <c r="AC3529">
        <v>9</v>
      </c>
      <c r="AD3529" s="5">
        <v>5.2029106070187368</v>
      </c>
      <c r="AE3529" s="5">
        <v>2.3173278524482446</v>
      </c>
      <c r="AF3529">
        <v>1</v>
      </c>
    </row>
    <row r="3530" spans="27:32" x14ac:dyDescent="0.3">
      <c r="AA3530" s="3">
        <v>20329.64</v>
      </c>
      <c r="AB3530">
        <v>1E-4</v>
      </c>
      <c r="AC3530">
        <v>8</v>
      </c>
      <c r="AD3530" s="5">
        <v>4.9616132493199485</v>
      </c>
      <c r="AE3530" s="5">
        <v>2.2657341350872402</v>
      </c>
      <c r="AF3530">
        <v>1</v>
      </c>
    </row>
    <row r="3531" spans="27:32" x14ac:dyDescent="0.3">
      <c r="AA3531" s="3">
        <v>35953.01</v>
      </c>
      <c r="AB3531">
        <v>1E-4</v>
      </c>
      <c r="AC3531">
        <v>7</v>
      </c>
      <c r="AD3531" s="5">
        <v>5.0195548797866865</v>
      </c>
      <c r="AE3531" s="5">
        <v>2.1886061592507247</v>
      </c>
      <c r="AF3531">
        <v>1</v>
      </c>
    </row>
    <row r="3532" spans="27:32" x14ac:dyDescent="0.3">
      <c r="AA3532" s="3">
        <v>-3843.74</v>
      </c>
      <c r="AB3532">
        <v>1E-4</v>
      </c>
      <c r="AC3532">
        <v>9</v>
      </c>
      <c r="AD3532" s="5">
        <v>4.8781885929952757</v>
      </c>
      <c r="AE3532" s="5">
        <v>2.1707713073172923</v>
      </c>
      <c r="AF3532">
        <v>1</v>
      </c>
    </row>
    <row r="3533" spans="27:32" x14ac:dyDescent="0.3">
      <c r="AA3533" s="3">
        <v>16899.349999999999</v>
      </c>
      <c r="AB3533">
        <v>1E-4</v>
      </c>
      <c r="AC3533">
        <v>8</v>
      </c>
      <c r="AD3533" s="5">
        <v>5.1319619248453776</v>
      </c>
      <c r="AE3533" s="5">
        <v>2.1181484355055189</v>
      </c>
      <c r="AF3533">
        <v>1</v>
      </c>
    </row>
    <row r="3534" spans="27:32" x14ac:dyDescent="0.3">
      <c r="AA3534" s="3">
        <v>17815.64</v>
      </c>
      <c r="AB3534">
        <v>1E-4</v>
      </c>
      <c r="AC3534">
        <v>8</v>
      </c>
      <c r="AD3534" s="5">
        <v>4.9324905852792913</v>
      </c>
      <c r="AE3534" s="5">
        <v>2.1613625832770773</v>
      </c>
      <c r="AF3534">
        <v>1</v>
      </c>
    </row>
    <row r="3535" spans="27:32" x14ac:dyDescent="0.3">
      <c r="AA3535" s="3">
        <v>-3226.24</v>
      </c>
      <c r="AB3535">
        <v>1E-4</v>
      </c>
      <c r="AC3535">
        <v>9</v>
      </c>
      <c r="AD3535" s="5">
        <v>5.0796640938164117</v>
      </c>
      <c r="AE3535" s="5">
        <v>2.1469911645167157</v>
      </c>
      <c r="AF3535">
        <v>1</v>
      </c>
    </row>
    <row r="3536" spans="27:32" x14ac:dyDescent="0.3">
      <c r="AA3536" s="3">
        <v>-24621.77</v>
      </c>
      <c r="AB3536">
        <v>1E-4</v>
      </c>
      <c r="AC3536">
        <v>9</v>
      </c>
      <c r="AD3536" s="5">
        <v>4.8505566347918441</v>
      </c>
      <c r="AE3536" s="5">
        <v>2.2017781051074676</v>
      </c>
      <c r="AF3536">
        <v>1</v>
      </c>
    </row>
    <row r="3537" spans="27:32" x14ac:dyDescent="0.3">
      <c r="AA3537" s="3">
        <v>-6175.98</v>
      </c>
      <c r="AB3537">
        <v>1E-4</v>
      </c>
      <c r="AC3537">
        <v>9</v>
      </c>
      <c r="AD3537" s="5">
        <v>5.0127181069909179</v>
      </c>
      <c r="AE3537" s="5">
        <v>2.2104919053922272</v>
      </c>
      <c r="AF3537">
        <v>1</v>
      </c>
    </row>
    <row r="3538" spans="27:32" x14ac:dyDescent="0.3">
      <c r="AA3538" s="3">
        <v>-18857.669999999998</v>
      </c>
      <c r="AB3538">
        <v>1E-4</v>
      </c>
      <c r="AC3538">
        <v>9</v>
      </c>
      <c r="AD3538" s="5">
        <v>5.0806411427056268</v>
      </c>
      <c r="AE3538" s="5">
        <v>2.2588889356645665</v>
      </c>
      <c r="AF3538">
        <v>1</v>
      </c>
    </row>
    <row r="3539" spans="27:32" x14ac:dyDescent="0.3">
      <c r="AA3539" s="3">
        <v>22593.64</v>
      </c>
      <c r="AB3539">
        <v>1E-4</v>
      </c>
      <c r="AC3539">
        <v>8</v>
      </c>
      <c r="AD3539" s="5">
        <v>5.1161356770134869</v>
      </c>
      <c r="AE3539" s="5">
        <v>2.2592489351326175</v>
      </c>
      <c r="AF3539">
        <v>1</v>
      </c>
    </row>
    <row r="3540" spans="27:32" x14ac:dyDescent="0.3">
      <c r="AA3540" s="3">
        <v>20373.16</v>
      </c>
      <c r="AB3540">
        <v>1E-4</v>
      </c>
      <c r="AC3540">
        <v>8</v>
      </c>
      <c r="AD3540" s="5">
        <v>5.0414194394904488</v>
      </c>
      <c r="AE3540" s="5">
        <v>2.2286918213009113</v>
      </c>
      <c r="AF3540">
        <v>1</v>
      </c>
    </row>
    <row r="3541" spans="27:32" x14ac:dyDescent="0.3">
      <c r="AA3541" s="3">
        <v>-36691.78</v>
      </c>
      <c r="AB3541">
        <v>1E-4</v>
      </c>
      <c r="AC3541">
        <v>9</v>
      </c>
      <c r="AD3541" s="5">
        <v>4.9503743691050426</v>
      </c>
      <c r="AE3541" s="5">
        <v>2.2925558345480983</v>
      </c>
      <c r="AF3541">
        <v>1</v>
      </c>
    </row>
    <row r="3542" spans="27:32" x14ac:dyDescent="0.3">
      <c r="AA3542" s="3">
        <v>14007.16</v>
      </c>
      <c r="AB3542">
        <v>1E-4</v>
      </c>
      <c r="AC3542">
        <v>8</v>
      </c>
      <c r="AD3542" s="5">
        <v>4.9941960659740019</v>
      </c>
      <c r="AE3542" s="5">
        <v>2.2526884602903721</v>
      </c>
      <c r="AF3542">
        <v>1</v>
      </c>
    </row>
    <row r="3543" spans="27:32" x14ac:dyDescent="0.3">
      <c r="AA3543" s="3">
        <v>8862.75</v>
      </c>
      <c r="AB3543">
        <v>1E-4</v>
      </c>
      <c r="AC3543">
        <v>8</v>
      </c>
      <c r="AD3543" s="5">
        <v>5.1294396815999752</v>
      </c>
      <c r="AE3543" s="5">
        <v>2.2058948971910035</v>
      </c>
      <c r="AF3543">
        <v>1</v>
      </c>
    </row>
    <row r="3544" spans="27:32" x14ac:dyDescent="0.3">
      <c r="AA3544" s="3">
        <v>16623.939999999999</v>
      </c>
      <c r="AB3544">
        <v>1E-4</v>
      </c>
      <c r="AC3544">
        <v>8</v>
      </c>
      <c r="AD3544" s="5">
        <v>4.9423596354261532</v>
      </c>
      <c r="AE3544" s="5">
        <v>2.1986237692775514</v>
      </c>
      <c r="AF3544">
        <v>1</v>
      </c>
    </row>
    <row r="3545" spans="27:32" x14ac:dyDescent="0.3">
      <c r="AA3545" s="3">
        <v>-3054.97</v>
      </c>
      <c r="AB3545">
        <v>1E-4</v>
      </c>
      <c r="AC3545">
        <v>9</v>
      </c>
      <c r="AD3545" s="5">
        <v>4.98622885307313</v>
      </c>
      <c r="AE3545" s="5">
        <v>2.1885048892334091</v>
      </c>
      <c r="AF3545">
        <v>1</v>
      </c>
    </row>
    <row r="3546" spans="27:32" x14ac:dyDescent="0.3">
      <c r="AA3546" s="3">
        <v>-8519.44</v>
      </c>
      <c r="AB3546">
        <v>1E-4</v>
      </c>
      <c r="AC3546">
        <v>9</v>
      </c>
      <c r="AD3546" s="5">
        <v>4.9671648269776894</v>
      </c>
      <c r="AE3546" s="5">
        <v>2.2975703994043566</v>
      </c>
      <c r="AF3546">
        <v>1</v>
      </c>
    </row>
    <row r="3547" spans="27:32" x14ac:dyDescent="0.3">
      <c r="AA3547" s="3">
        <v>25515.95</v>
      </c>
      <c r="AB3547">
        <v>1E-4</v>
      </c>
      <c r="AC3547">
        <v>8</v>
      </c>
      <c r="AD3547" s="5">
        <v>4.9777125125209434</v>
      </c>
      <c r="AE3547" s="5">
        <v>2.1662840809445134</v>
      </c>
      <c r="AF3547">
        <v>1</v>
      </c>
    </row>
    <row r="3548" spans="27:32" x14ac:dyDescent="0.3">
      <c r="AA3548" s="3">
        <v>22927.29</v>
      </c>
      <c r="AB3548">
        <v>1E-4</v>
      </c>
      <c r="AC3548">
        <v>8</v>
      </c>
      <c r="AD3548" s="5">
        <v>5.0845438434531713</v>
      </c>
      <c r="AE3548" s="5">
        <v>2.2018065980983508</v>
      </c>
      <c r="AF3548">
        <v>1</v>
      </c>
    </row>
    <row r="3549" spans="27:32" x14ac:dyDescent="0.3">
      <c r="AA3549" s="3">
        <v>7512.21</v>
      </c>
      <c r="AB3549">
        <v>1E-4</v>
      </c>
      <c r="AC3549">
        <v>8</v>
      </c>
      <c r="AD3549" s="5">
        <v>5.0184159781127891</v>
      </c>
      <c r="AE3549" s="5">
        <v>2.1406704259650065</v>
      </c>
      <c r="AF3549">
        <v>1</v>
      </c>
    </row>
    <row r="3550" spans="27:32" x14ac:dyDescent="0.3">
      <c r="AA3550" s="3">
        <v>20793.47</v>
      </c>
      <c r="AB3550">
        <v>1E-4</v>
      </c>
      <c r="AC3550">
        <v>8</v>
      </c>
      <c r="AD3550" s="5">
        <v>5.0232467315554876</v>
      </c>
      <c r="AE3550" s="5">
        <v>2.0769685922547341</v>
      </c>
      <c r="AF3550">
        <v>1</v>
      </c>
    </row>
    <row r="3551" spans="27:32" x14ac:dyDescent="0.3">
      <c r="AA3551" s="3">
        <v>14538.2</v>
      </c>
      <c r="AB3551">
        <v>1E-4</v>
      </c>
      <c r="AC3551">
        <v>8</v>
      </c>
      <c r="AD3551" s="5">
        <v>4.8624183259964298</v>
      </c>
      <c r="AE3551" s="5">
        <v>2.2096142152297835</v>
      </c>
      <c r="AF3551">
        <v>1</v>
      </c>
    </row>
    <row r="3552" spans="27:32" x14ac:dyDescent="0.3">
      <c r="AA3552" s="3">
        <v>31854.62</v>
      </c>
      <c r="AB3552">
        <v>1E-4</v>
      </c>
      <c r="AC3552">
        <v>8</v>
      </c>
      <c r="AD3552" s="5">
        <v>5.0666930705678244</v>
      </c>
      <c r="AE3552" s="5">
        <v>2.1286267332849946</v>
      </c>
      <c r="AF3552">
        <v>1</v>
      </c>
    </row>
    <row r="3553" spans="27:32" x14ac:dyDescent="0.3">
      <c r="AA3553" s="3">
        <v>23353.84</v>
      </c>
      <c r="AB3553">
        <v>1E-4</v>
      </c>
      <c r="AC3553">
        <v>8</v>
      </c>
      <c r="AD3553" s="5">
        <v>5.0701513430330039</v>
      </c>
      <c r="AE3553" s="5">
        <v>2.1532144932792048</v>
      </c>
      <c r="AF3553">
        <v>1</v>
      </c>
    </row>
    <row r="3554" spans="27:32" x14ac:dyDescent="0.3">
      <c r="AA3554" s="3">
        <v>17082.830000000002</v>
      </c>
      <c r="AB3554">
        <v>1E-4</v>
      </c>
      <c r="AC3554">
        <v>8</v>
      </c>
      <c r="AD3554" s="5">
        <v>5.1106775341150188</v>
      </c>
      <c r="AE3554" s="5">
        <v>2.2702393173892466</v>
      </c>
      <c r="AF3554">
        <v>1</v>
      </c>
    </row>
    <row r="3555" spans="27:32" x14ac:dyDescent="0.3">
      <c r="AA3555" s="3">
        <v>32765.67</v>
      </c>
      <c r="AB3555">
        <v>1E-4</v>
      </c>
      <c r="AC3555">
        <v>7</v>
      </c>
      <c r="AD3555" s="5">
        <v>5.0737510366210685</v>
      </c>
      <c r="AE3555" s="5">
        <v>2.2426194660776213</v>
      </c>
      <c r="AF3555">
        <v>1</v>
      </c>
    </row>
    <row r="3556" spans="27:32" x14ac:dyDescent="0.3">
      <c r="AA3556" s="3">
        <v>44558.03</v>
      </c>
      <c r="AB3556">
        <v>1E-4</v>
      </c>
      <c r="AC3556">
        <v>7</v>
      </c>
      <c r="AD3556" s="5">
        <v>4.9718096466862862</v>
      </c>
      <c r="AE3556" s="5">
        <v>2.2115280167632121</v>
      </c>
      <c r="AF3556">
        <v>1</v>
      </c>
    </row>
    <row r="3557" spans="27:32" x14ac:dyDescent="0.3">
      <c r="AA3557" s="3">
        <v>29260.25</v>
      </c>
      <c r="AB3557">
        <v>1E-4</v>
      </c>
      <c r="AC3557">
        <v>7</v>
      </c>
      <c r="AD3557" s="5">
        <v>5.0229025332953183</v>
      </c>
      <c r="AE3557" s="5">
        <v>2.2184053520020379</v>
      </c>
      <c r="AF3557">
        <v>1</v>
      </c>
    </row>
    <row r="3558" spans="27:32" x14ac:dyDescent="0.3">
      <c r="AA3558" s="3">
        <v>21196.71</v>
      </c>
      <c r="AB3558">
        <v>1E-4</v>
      </c>
      <c r="AC3558">
        <v>8</v>
      </c>
      <c r="AD3558" s="5">
        <v>5.2153322671422142</v>
      </c>
      <c r="AE3558" s="5">
        <v>2.2176683186756643</v>
      </c>
      <c r="AF3558">
        <v>1</v>
      </c>
    </row>
    <row r="3559" spans="27:32" x14ac:dyDescent="0.3">
      <c r="AA3559" s="3">
        <v>17494.330000000002</v>
      </c>
      <c r="AB3559">
        <v>1E-4</v>
      </c>
      <c r="AC3559">
        <v>8</v>
      </c>
      <c r="AD3559" s="5">
        <v>5.0494117769674292</v>
      </c>
      <c r="AE3559" s="5">
        <v>2.2219471299430076</v>
      </c>
      <c r="AF3559">
        <v>1</v>
      </c>
    </row>
    <row r="3560" spans="27:32" x14ac:dyDescent="0.3">
      <c r="AA3560" s="3">
        <v>-8884.51</v>
      </c>
      <c r="AB3560">
        <v>1E-4</v>
      </c>
      <c r="AC3560">
        <v>9</v>
      </c>
      <c r="AD3560" s="5">
        <v>4.8225088387979884</v>
      </c>
      <c r="AE3560" s="5">
        <v>2.2497793914161672</v>
      </c>
      <c r="AF3560">
        <v>1</v>
      </c>
    </row>
    <row r="3561" spans="27:32" x14ac:dyDescent="0.3">
      <c r="AA3561" s="3">
        <v>476.98254328827716</v>
      </c>
      <c r="AB3561">
        <v>1E-4</v>
      </c>
      <c r="AC3561">
        <v>8</v>
      </c>
      <c r="AD3561" s="5">
        <v>5.0236178593715417</v>
      </c>
      <c r="AE3561" s="5">
        <v>2.2311480307079301</v>
      </c>
      <c r="AF3561">
        <v>0</v>
      </c>
    </row>
    <row r="3562" spans="27:32" x14ac:dyDescent="0.3">
      <c r="AA3562" s="3">
        <v>42302.54</v>
      </c>
      <c r="AB3562">
        <v>1E-4</v>
      </c>
      <c r="AC3562">
        <v>7</v>
      </c>
      <c r="AD3562" s="5">
        <v>4.9501691275731758</v>
      </c>
      <c r="AE3562" s="5">
        <v>2.2390539578628683</v>
      </c>
      <c r="AF3562">
        <v>1</v>
      </c>
    </row>
    <row r="3563" spans="27:32" x14ac:dyDescent="0.3">
      <c r="AA3563" s="3">
        <v>5617.2</v>
      </c>
      <c r="AB3563">
        <v>1E-4</v>
      </c>
      <c r="AC3563">
        <v>8</v>
      </c>
      <c r="AD3563" s="5">
        <v>5.1538312308120213</v>
      </c>
      <c r="AE3563" s="5">
        <v>2.1981619522001967</v>
      </c>
      <c r="AF3563">
        <v>1</v>
      </c>
    </row>
    <row r="3564" spans="27:32" x14ac:dyDescent="0.3">
      <c r="AA3564" s="3">
        <v>30223.11</v>
      </c>
      <c r="AB3564">
        <v>1E-4</v>
      </c>
      <c r="AC3564">
        <v>8</v>
      </c>
      <c r="AD3564" s="5">
        <v>5.0119262372682467</v>
      </c>
      <c r="AE3564" s="5">
        <v>2.1717652293781802</v>
      </c>
      <c r="AF3564">
        <v>1</v>
      </c>
    </row>
    <row r="3565" spans="27:32" x14ac:dyDescent="0.3">
      <c r="AA3565" s="3">
        <v>1499.8</v>
      </c>
      <c r="AB3565">
        <v>1E-4</v>
      </c>
      <c r="AC3565">
        <v>8</v>
      </c>
      <c r="AD3565" s="5">
        <v>5.0046492579553092</v>
      </c>
      <c r="AE3565" s="5">
        <v>2.2880990933968235</v>
      </c>
      <c r="AF3565">
        <v>1</v>
      </c>
    </row>
    <row r="3566" spans="27:32" x14ac:dyDescent="0.3">
      <c r="AA3566" s="3">
        <v>4542.95</v>
      </c>
      <c r="AB3566">
        <v>1E-4</v>
      </c>
      <c r="AC3566">
        <v>8</v>
      </c>
      <c r="AD3566" s="5">
        <v>5.1299857978295709</v>
      </c>
      <c r="AE3566" s="5">
        <v>2.1989072905956548</v>
      </c>
      <c r="AF3566">
        <v>1</v>
      </c>
    </row>
    <row r="3567" spans="27:32" x14ac:dyDescent="0.3">
      <c r="AA3567" s="3">
        <v>14523.6</v>
      </c>
      <c r="AB3567">
        <v>1E-4</v>
      </c>
      <c r="AC3567">
        <v>8</v>
      </c>
      <c r="AD3567" s="5">
        <v>4.9460733287289536</v>
      </c>
      <c r="AE3567" s="5">
        <v>2.2305126044494532</v>
      </c>
      <c r="AF3567">
        <v>1</v>
      </c>
    </row>
    <row r="3568" spans="27:32" x14ac:dyDescent="0.3">
      <c r="AA3568" s="3">
        <v>19349.740000000002</v>
      </c>
      <c r="AB3568">
        <v>1E-4</v>
      </c>
      <c r="AC3568">
        <v>8</v>
      </c>
      <c r="AD3568" s="5">
        <v>4.9485089892654335</v>
      </c>
      <c r="AE3568" s="5">
        <v>2.2025938242987846</v>
      </c>
      <c r="AF3568">
        <v>1</v>
      </c>
    </row>
    <row r="3569" spans="27:32" x14ac:dyDescent="0.3">
      <c r="AA3569" s="3">
        <v>21977.83</v>
      </c>
      <c r="AB3569">
        <v>1E-4</v>
      </c>
      <c r="AC3569">
        <v>8</v>
      </c>
      <c r="AD3569" s="5">
        <v>5.0494756767209461</v>
      </c>
      <c r="AE3569" s="5">
        <v>2.1577669846820493</v>
      </c>
      <c r="AF3569">
        <v>1</v>
      </c>
    </row>
    <row r="3570" spans="27:32" x14ac:dyDescent="0.3">
      <c r="AA3570" s="3">
        <v>19434.59</v>
      </c>
      <c r="AB3570">
        <v>1E-4</v>
      </c>
      <c r="AC3570">
        <v>8</v>
      </c>
      <c r="AD3570" s="5">
        <v>4.9689317329726173</v>
      </c>
      <c r="AE3570" s="5">
        <v>2.245709194434498</v>
      </c>
      <c r="AF3570">
        <v>1</v>
      </c>
    </row>
    <row r="3571" spans="27:32" x14ac:dyDescent="0.3">
      <c r="AA3571" s="3">
        <v>28556.75</v>
      </c>
      <c r="AB3571">
        <v>1E-4</v>
      </c>
      <c r="AC3571">
        <v>8</v>
      </c>
      <c r="AD3571" s="5">
        <v>4.9464096857353379</v>
      </c>
      <c r="AE3571" s="5">
        <v>2.163127179697891</v>
      </c>
      <c r="AF3571">
        <v>1</v>
      </c>
    </row>
    <row r="3572" spans="27:32" x14ac:dyDescent="0.3">
      <c r="AA3572" s="3">
        <v>-8080.66</v>
      </c>
      <c r="AB3572">
        <v>1E-4</v>
      </c>
      <c r="AC3572">
        <v>9</v>
      </c>
      <c r="AD3572" s="5">
        <v>5.1486492768247389</v>
      </c>
      <c r="AE3572" s="5">
        <v>2.1968186092093327</v>
      </c>
      <c r="AF3572">
        <v>1</v>
      </c>
    </row>
    <row r="3573" spans="27:32" x14ac:dyDescent="0.3">
      <c r="AA3573" s="3">
        <v>4314.3500000000004</v>
      </c>
      <c r="AB3573">
        <v>1E-4</v>
      </c>
      <c r="AC3573">
        <v>8</v>
      </c>
      <c r="AD3573" s="5">
        <v>5.0418862575665804</v>
      </c>
      <c r="AE3573" s="5">
        <v>2.2633557032082763</v>
      </c>
      <c r="AF3573">
        <v>1</v>
      </c>
    </row>
    <row r="3574" spans="27:32" x14ac:dyDescent="0.3">
      <c r="AA3574" s="3">
        <v>25875.22</v>
      </c>
      <c r="AB3574">
        <v>1E-4</v>
      </c>
      <c r="AC3574">
        <v>8</v>
      </c>
      <c r="AD3574" s="5">
        <v>5.1539947494023322</v>
      </c>
      <c r="AE3574" s="5">
        <v>2.1983966200272689</v>
      </c>
      <c r="AF3574">
        <v>1</v>
      </c>
    </row>
    <row r="3575" spans="27:32" x14ac:dyDescent="0.3">
      <c r="AA3575" s="3">
        <v>-1659.39</v>
      </c>
      <c r="AB3575">
        <v>1E-4</v>
      </c>
      <c r="AC3575">
        <v>9</v>
      </c>
      <c r="AD3575" s="5">
        <v>4.9307666549492168</v>
      </c>
      <c r="AE3575" s="5">
        <v>2.1614437757906986</v>
      </c>
      <c r="AF3575">
        <v>1</v>
      </c>
    </row>
    <row r="3576" spans="27:32" x14ac:dyDescent="0.3">
      <c r="AA3576" s="3">
        <v>19244.490000000002</v>
      </c>
      <c r="AB3576">
        <v>1E-4</v>
      </c>
      <c r="AC3576">
        <v>8</v>
      </c>
      <c r="AD3576" s="5">
        <v>4.8931086331626092</v>
      </c>
      <c r="AE3576" s="5">
        <v>2.1815080515815719</v>
      </c>
      <c r="AF3576">
        <v>1</v>
      </c>
    </row>
    <row r="3577" spans="27:32" x14ac:dyDescent="0.3">
      <c r="AA3577" s="3">
        <v>12923.88</v>
      </c>
      <c r="AB3577">
        <v>1E-4</v>
      </c>
      <c r="AC3577">
        <v>8</v>
      </c>
      <c r="AD3577" s="5">
        <v>5.0178434725980177</v>
      </c>
      <c r="AE3577" s="5">
        <v>2.2542556329250907</v>
      </c>
      <c r="AF3577">
        <v>1</v>
      </c>
    </row>
    <row r="3578" spans="27:32" x14ac:dyDescent="0.3">
      <c r="AA3578" s="3">
        <v>38498.11</v>
      </c>
      <c r="AB3578">
        <v>1E-4</v>
      </c>
      <c r="AC3578">
        <v>7</v>
      </c>
      <c r="AD3578" s="5">
        <v>4.9963573695218617</v>
      </c>
      <c r="AE3578" s="5">
        <v>2.2443798257310839</v>
      </c>
      <c r="AF3578">
        <v>1</v>
      </c>
    </row>
    <row r="3579" spans="27:32" x14ac:dyDescent="0.3">
      <c r="AA3579" s="3">
        <v>9327.3306651910352</v>
      </c>
      <c r="AB3579">
        <v>1E-4</v>
      </c>
      <c r="AC3579">
        <v>8</v>
      </c>
      <c r="AD3579" s="5">
        <v>5.0787870845646435</v>
      </c>
      <c r="AE3579" s="5">
        <v>2.2186246011611512</v>
      </c>
      <c r="AF3579">
        <v>0</v>
      </c>
    </row>
    <row r="3580" spans="27:32" x14ac:dyDescent="0.3">
      <c r="AA3580" s="3">
        <v>58318.64</v>
      </c>
      <c r="AB3580">
        <v>1E-4</v>
      </c>
      <c r="AC3580">
        <v>6</v>
      </c>
      <c r="AD3580" s="5">
        <v>5.2690806387202018</v>
      </c>
      <c r="AE3580" s="5">
        <v>2.1112923197703091</v>
      </c>
      <c r="AF3580">
        <v>1</v>
      </c>
    </row>
    <row r="3581" spans="27:32" x14ac:dyDescent="0.3">
      <c r="AA3581" s="3">
        <v>5944.62</v>
      </c>
      <c r="AB3581">
        <v>1E-4</v>
      </c>
      <c r="AC3581">
        <v>8</v>
      </c>
      <c r="AD3581" s="5">
        <v>5.1162450162385422</v>
      </c>
      <c r="AE3581" s="5">
        <v>2.157538953820989</v>
      </c>
      <c r="AF3581">
        <v>1</v>
      </c>
    </row>
    <row r="3582" spans="27:32" x14ac:dyDescent="0.3">
      <c r="AA3582" s="3">
        <v>-1855.41</v>
      </c>
      <c r="AB3582">
        <v>1E-4</v>
      </c>
      <c r="AC3582">
        <v>9</v>
      </c>
      <c r="AD3582" s="5">
        <v>4.9494181241952395</v>
      </c>
      <c r="AE3582" s="5">
        <v>2.2668031738572081</v>
      </c>
      <c r="AF3582">
        <v>1</v>
      </c>
    </row>
    <row r="3583" spans="27:32" x14ac:dyDescent="0.3">
      <c r="AA3583" s="3">
        <v>9137.07</v>
      </c>
      <c r="AB3583">
        <v>1E-4</v>
      </c>
      <c r="AC3583">
        <v>8</v>
      </c>
      <c r="AD3583" s="5">
        <v>4.8927644101643519</v>
      </c>
      <c r="AE3583" s="5">
        <v>2.2285462321979326</v>
      </c>
      <c r="AF3583">
        <v>1</v>
      </c>
    </row>
    <row r="3584" spans="27:32" x14ac:dyDescent="0.3">
      <c r="AA3584" s="3">
        <v>9186.11</v>
      </c>
      <c r="AB3584">
        <v>1E-4</v>
      </c>
      <c r="AC3584">
        <v>8</v>
      </c>
      <c r="AD3584" s="5">
        <v>4.8339353664825602</v>
      </c>
      <c r="AE3584" s="5">
        <v>2.2786997616298117</v>
      </c>
      <c r="AF3584">
        <v>1</v>
      </c>
    </row>
    <row r="3585" spans="27:32" x14ac:dyDescent="0.3">
      <c r="AA3585" s="3">
        <v>37241.47</v>
      </c>
      <c r="AB3585">
        <v>1E-4</v>
      </c>
      <c r="AC3585">
        <v>7</v>
      </c>
      <c r="AD3585" s="5">
        <v>5.0851292479433434</v>
      </c>
      <c r="AE3585" s="5">
        <v>2.254833681583015</v>
      </c>
      <c r="AF3585">
        <v>1</v>
      </c>
    </row>
    <row r="3586" spans="27:32" x14ac:dyDescent="0.3">
      <c r="AA3586" s="3">
        <v>6115.6</v>
      </c>
      <c r="AB3586">
        <v>1E-4</v>
      </c>
      <c r="AC3586">
        <v>8</v>
      </c>
      <c r="AD3586" s="5">
        <v>4.9261261254764044</v>
      </c>
      <c r="AE3586" s="5">
        <v>2.3071155784480624</v>
      </c>
      <c r="AF3586">
        <v>1</v>
      </c>
    </row>
    <row r="3587" spans="27:32" x14ac:dyDescent="0.3">
      <c r="AA3587" s="3">
        <v>17353.900000000001</v>
      </c>
      <c r="AB3587">
        <v>1E-4</v>
      </c>
      <c r="AC3587">
        <v>8</v>
      </c>
      <c r="AD3587" s="5">
        <v>4.9099501268357333</v>
      </c>
      <c r="AE3587" s="5">
        <v>2.2151574558408225</v>
      </c>
      <c r="AF3587">
        <v>1</v>
      </c>
    </row>
    <row r="3588" spans="27:32" x14ac:dyDescent="0.3">
      <c r="AA3588" s="3">
        <v>-14383.82</v>
      </c>
      <c r="AB3588">
        <v>1E-4</v>
      </c>
      <c r="AC3588">
        <v>9</v>
      </c>
      <c r="AD3588" s="5">
        <v>4.9568204632330453</v>
      </c>
      <c r="AE3588" s="5">
        <v>2.2330343520844953</v>
      </c>
      <c r="AF3588">
        <v>1</v>
      </c>
    </row>
    <row r="3589" spans="27:32" x14ac:dyDescent="0.3">
      <c r="AA3589" s="3">
        <v>3531.24</v>
      </c>
      <c r="AB3589">
        <v>1E-4</v>
      </c>
      <c r="AC3589">
        <v>8</v>
      </c>
      <c r="AD3589" s="5">
        <v>5.0662497930441255</v>
      </c>
      <c r="AE3589" s="5">
        <v>2.2848023927581238</v>
      </c>
      <c r="AF3589">
        <v>1</v>
      </c>
    </row>
    <row r="3590" spans="27:32" x14ac:dyDescent="0.3">
      <c r="AA3590" s="3">
        <v>23257.040000000001</v>
      </c>
      <c r="AB3590">
        <v>1E-4</v>
      </c>
      <c r="AC3590">
        <v>8</v>
      </c>
      <c r="AD3590" s="5">
        <v>4.8882585989508218</v>
      </c>
      <c r="AE3590" s="5">
        <v>2.3088704117373937</v>
      </c>
      <c r="AF3590">
        <v>1</v>
      </c>
    </row>
    <row r="3591" spans="27:32" x14ac:dyDescent="0.3">
      <c r="AA3591" s="3">
        <v>20402.189999999999</v>
      </c>
      <c r="AB3591">
        <v>1E-4</v>
      </c>
      <c r="AC3591">
        <v>8</v>
      </c>
      <c r="AD3591" s="5">
        <v>5.0627298144870725</v>
      </c>
      <c r="AE3591" s="5">
        <v>2.2399325857529502</v>
      </c>
      <c r="AF3591">
        <v>1</v>
      </c>
    </row>
    <row r="3592" spans="27:32" x14ac:dyDescent="0.3">
      <c r="AA3592" s="3">
        <v>32586.53</v>
      </c>
      <c r="AB3592">
        <v>1E-4</v>
      </c>
      <c r="AC3592">
        <v>7</v>
      </c>
      <c r="AD3592" s="5">
        <v>5.0199977213365292</v>
      </c>
      <c r="AE3592" s="5">
        <v>2.2907345595185205</v>
      </c>
      <c r="AF3592">
        <v>1</v>
      </c>
    </row>
    <row r="3593" spans="27:32" x14ac:dyDescent="0.3">
      <c r="AA3593" s="3">
        <v>-420.81</v>
      </c>
      <c r="AB3593">
        <v>1E-4</v>
      </c>
      <c r="AC3593">
        <v>9</v>
      </c>
      <c r="AD3593" s="5">
        <v>4.9523717533273262</v>
      </c>
      <c r="AE3593" s="5">
        <v>2.2146788831698787</v>
      </c>
      <c r="AF3593">
        <v>1</v>
      </c>
    </row>
    <row r="3594" spans="27:32" x14ac:dyDescent="0.3">
      <c r="AA3594" s="3">
        <v>28867.17</v>
      </c>
      <c r="AB3594">
        <v>1E-4</v>
      </c>
      <c r="AC3594">
        <v>8</v>
      </c>
      <c r="AD3594" s="5">
        <v>4.9872777750506607</v>
      </c>
      <c r="AE3594" s="5">
        <v>2.1315391319630308</v>
      </c>
      <c r="AF3594">
        <v>1</v>
      </c>
    </row>
    <row r="3595" spans="27:32" x14ac:dyDescent="0.3">
      <c r="AA3595" s="3">
        <v>-5474.86</v>
      </c>
      <c r="AB3595">
        <v>1E-4</v>
      </c>
      <c r="AC3595">
        <v>9</v>
      </c>
      <c r="AD3595" s="5">
        <v>4.8135405830663061</v>
      </c>
      <c r="AE3595" s="5">
        <v>2.2762670399992362</v>
      </c>
      <c r="AF3595">
        <v>1</v>
      </c>
    </row>
    <row r="3596" spans="27:32" x14ac:dyDescent="0.3">
      <c r="AA3596" s="3">
        <v>-3172.45</v>
      </c>
      <c r="AB3596">
        <v>1E-4</v>
      </c>
      <c r="AC3596">
        <v>9</v>
      </c>
      <c r="AD3596" s="5">
        <v>4.9451935934411635</v>
      </c>
      <c r="AE3596" s="5">
        <v>2.2404362706862613</v>
      </c>
      <c r="AF3596">
        <v>1</v>
      </c>
    </row>
    <row r="3597" spans="27:32" x14ac:dyDescent="0.3">
      <c r="AA3597" s="3">
        <v>20959.54</v>
      </c>
      <c r="AB3597">
        <v>1E-4</v>
      </c>
      <c r="AC3597">
        <v>8</v>
      </c>
      <c r="AD3597" s="5">
        <v>5.0304331674809664</v>
      </c>
      <c r="AE3597" s="5">
        <v>2.1893187661592091</v>
      </c>
      <c r="AF3597">
        <v>1</v>
      </c>
    </row>
    <row r="3598" spans="27:32" x14ac:dyDescent="0.3">
      <c r="AA3598" s="3">
        <v>-8918.7199999999993</v>
      </c>
      <c r="AB3598">
        <v>1E-4</v>
      </c>
      <c r="AC3598">
        <v>9</v>
      </c>
      <c r="AD3598" s="5">
        <v>5.0287038148731584</v>
      </c>
      <c r="AE3598" s="5">
        <v>2.1913092838010955</v>
      </c>
      <c r="AF3598">
        <v>1</v>
      </c>
    </row>
    <row r="3599" spans="27:32" x14ac:dyDescent="0.3">
      <c r="AA3599" s="3">
        <v>254.59</v>
      </c>
      <c r="AB3599">
        <v>1E-4</v>
      </c>
      <c r="AC3599">
        <v>8</v>
      </c>
      <c r="AD3599" s="5">
        <v>5.0110161327159739</v>
      </c>
      <c r="AE3599" s="5">
        <v>2.1948235750477361</v>
      </c>
      <c r="AF3599">
        <v>1</v>
      </c>
    </row>
    <row r="3600" spans="27:32" x14ac:dyDescent="0.3">
      <c r="AA3600" s="3">
        <v>21634.46</v>
      </c>
      <c r="AB3600">
        <v>1E-4</v>
      </c>
      <c r="AC3600">
        <v>8</v>
      </c>
      <c r="AD3600" s="5">
        <v>4.9497886616390998</v>
      </c>
      <c r="AE3600" s="5">
        <v>2.1755586059078973</v>
      </c>
      <c r="AF3600">
        <v>1</v>
      </c>
    </row>
    <row r="3601" spans="27:32" x14ac:dyDescent="0.3">
      <c r="AA3601" s="3">
        <v>10861.43</v>
      </c>
      <c r="AB3601">
        <v>1E-4</v>
      </c>
      <c r="AC3601">
        <v>8</v>
      </c>
      <c r="AD3601" s="5">
        <v>4.8907333006916369</v>
      </c>
      <c r="AE3601" s="5">
        <v>2.1620386091603447</v>
      </c>
      <c r="AF3601">
        <v>1</v>
      </c>
    </row>
    <row r="3602" spans="27:32" x14ac:dyDescent="0.3">
      <c r="AA3602" s="3">
        <v>2943.32</v>
      </c>
      <c r="AB3602">
        <v>1E-4</v>
      </c>
      <c r="AC3602">
        <v>8</v>
      </c>
      <c r="AD3602" s="5">
        <v>5.070635314566859</v>
      </c>
      <c r="AE3602" s="5">
        <v>2.2245729393153244</v>
      </c>
      <c r="AF3602">
        <v>1</v>
      </c>
    </row>
    <row r="3603" spans="27:32" x14ac:dyDescent="0.3">
      <c r="AA3603" s="3">
        <v>5931.02</v>
      </c>
      <c r="AB3603">
        <v>1E-4</v>
      </c>
      <c r="AC3603">
        <v>8</v>
      </c>
      <c r="AD3603" s="5">
        <v>4.9776863259932291</v>
      </c>
      <c r="AE3603" s="5">
        <v>2.2312246931299167</v>
      </c>
      <c r="AF3603">
        <v>1</v>
      </c>
    </row>
    <row r="3604" spans="27:32" x14ac:dyDescent="0.3">
      <c r="AA3604" s="3">
        <v>10020.14</v>
      </c>
      <c r="AB3604">
        <v>1E-4</v>
      </c>
      <c r="AC3604">
        <v>8</v>
      </c>
      <c r="AD3604" s="5">
        <v>5.0280339497133237</v>
      </c>
      <c r="AE3604" s="5">
        <v>2.189656325670374</v>
      </c>
      <c r="AF3604">
        <v>1</v>
      </c>
    </row>
    <row r="3605" spans="27:32" x14ac:dyDescent="0.3">
      <c r="AA3605" s="3">
        <v>5052.25</v>
      </c>
      <c r="AB3605">
        <v>1E-4</v>
      </c>
      <c r="AC3605">
        <v>8</v>
      </c>
      <c r="AD3605" s="5">
        <v>4.9726459333533821</v>
      </c>
      <c r="AE3605" s="5">
        <v>2.294814947904408</v>
      </c>
      <c r="AF3605">
        <v>1</v>
      </c>
    </row>
    <row r="3606" spans="27:32" x14ac:dyDescent="0.3">
      <c r="AA3606" s="3">
        <v>-4696.76</v>
      </c>
      <c r="AB3606">
        <v>1E-4</v>
      </c>
      <c r="AC3606">
        <v>9</v>
      </c>
      <c r="AD3606" s="5">
        <v>5.1093302908464082</v>
      </c>
      <c r="AE3606" s="5">
        <v>2.1764084922184659</v>
      </c>
      <c r="AF3606">
        <v>1</v>
      </c>
    </row>
    <row r="3607" spans="27:32" x14ac:dyDescent="0.3">
      <c r="AA3607" s="3">
        <v>24041.47</v>
      </c>
      <c r="AB3607">
        <v>1E-4</v>
      </c>
      <c r="AC3607">
        <v>8</v>
      </c>
      <c r="AD3607" s="5">
        <v>5.0346506392672534</v>
      </c>
      <c r="AE3607" s="5">
        <v>2.1845090724503806</v>
      </c>
      <c r="AF3607">
        <v>1</v>
      </c>
    </row>
    <row r="3608" spans="27:32" x14ac:dyDescent="0.3">
      <c r="AA3608" s="3">
        <v>-6598.24</v>
      </c>
      <c r="AB3608">
        <v>1E-4</v>
      </c>
      <c r="AC3608">
        <v>9</v>
      </c>
      <c r="AD3608" s="5">
        <v>4.9489348917581042</v>
      </c>
      <c r="AE3608" s="5">
        <v>2.2385355417284822</v>
      </c>
      <c r="AF3608">
        <v>1</v>
      </c>
    </row>
    <row r="3609" spans="27:32" x14ac:dyDescent="0.3">
      <c r="AA3609" s="3">
        <v>2520.34</v>
      </c>
      <c r="AB3609">
        <v>1E-4</v>
      </c>
      <c r="AC3609">
        <v>8</v>
      </c>
      <c r="AD3609" s="5">
        <v>4.9704234551150659</v>
      </c>
      <c r="AE3609" s="5">
        <v>2.1462319890742827</v>
      </c>
      <c r="AF3609">
        <v>1</v>
      </c>
    </row>
    <row r="3610" spans="27:32" x14ac:dyDescent="0.3">
      <c r="AA3610" s="3">
        <v>24100.240000000002</v>
      </c>
      <c r="AB3610">
        <v>1E-4</v>
      </c>
      <c r="AC3610">
        <v>8</v>
      </c>
      <c r="AD3610" s="5">
        <v>4.9700977495831884</v>
      </c>
      <c r="AE3610" s="5">
        <v>2.1601291510135954</v>
      </c>
      <c r="AF3610">
        <v>1</v>
      </c>
    </row>
    <row r="3611" spans="27:32" x14ac:dyDescent="0.3">
      <c r="AA3611" s="3">
        <v>17818.97</v>
      </c>
      <c r="AB3611">
        <v>1E-4</v>
      </c>
      <c r="AC3611">
        <v>8</v>
      </c>
      <c r="AD3611" s="5">
        <v>5.1460598091306942</v>
      </c>
      <c r="AE3611" s="5">
        <v>2.2105281835993806</v>
      </c>
      <c r="AF3611">
        <v>1</v>
      </c>
    </row>
    <row r="3612" spans="27:32" x14ac:dyDescent="0.3">
      <c r="AA3612" s="3">
        <v>-3393.81</v>
      </c>
      <c r="AB3612">
        <v>1E-4</v>
      </c>
      <c r="AC3612">
        <v>9</v>
      </c>
      <c r="AD3612" s="5">
        <v>4.9280908085477844</v>
      </c>
      <c r="AE3612" s="5">
        <v>2.1573395670419351</v>
      </c>
      <c r="AF3612">
        <v>1</v>
      </c>
    </row>
    <row r="3613" spans="27:32" x14ac:dyDescent="0.3">
      <c r="AA3613" s="3">
        <v>17104.830000000002</v>
      </c>
      <c r="AB3613">
        <v>1E-4</v>
      </c>
      <c r="AC3613">
        <v>8</v>
      </c>
      <c r="AD3613" s="5">
        <v>5.0876408008127978</v>
      </c>
      <c r="AE3613" s="5">
        <v>2.1766051837723892</v>
      </c>
      <c r="AF3613">
        <v>1</v>
      </c>
    </row>
    <row r="3614" spans="27:32" x14ac:dyDescent="0.3">
      <c r="AA3614" s="3">
        <v>18996.89</v>
      </c>
      <c r="AB3614">
        <v>1E-4</v>
      </c>
      <c r="AC3614">
        <v>8</v>
      </c>
      <c r="AD3614" s="5">
        <v>4.9917991521942735</v>
      </c>
      <c r="AE3614" s="5">
        <v>2.2553422409815553</v>
      </c>
      <c r="AF3614">
        <v>1</v>
      </c>
    </row>
    <row r="3615" spans="27:32" x14ac:dyDescent="0.3">
      <c r="AA3615" s="3">
        <v>43218.84</v>
      </c>
      <c r="AB3615">
        <v>1E-4</v>
      </c>
      <c r="AC3615">
        <v>7</v>
      </c>
      <c r="AD3615" s="5">
        <v>4.9653442021655207</v>
      </c>
      <c r="AE3615" s="5">
        <v>2.194830921976489</v>
      </c>
      <c r="AF3615">
        <v>1</v>
      </c>
    </row>
    <row r="3616" spans="27:32" x14ac:dyDescent="0.3">
      <c r="AA3616" s="3">
        <v>-4029.81</v>
      </c>
      <c r="AB3616">
        <v>1E-4</v>
      </c>
      <c r="AC3616">
        <v>9</v>
      </c>
      <c r="AD3616" s="5">
        <v>5.0781838567361577</v>
      </c>
      <c r="AE3616" s="5">
        <v>2.230851387653586</v>
      </c>
      <c r="AF3616">
        <v>1</v>
      </c>
    </row>
    <row r="3617" spans="27:32" x14ac:dyDescent="0.3">
      <c r="AA3617" s="3">
        <v>7552.17</v>
      </c>
      <c r="AB3617">
        <v>1E-4</v>
      </c>
      <c r="AC3617">
        <v>8</v>
      </c>
      <c r="AD3617" s="5">
        <v>4.965676122723333</v>
      </c>
      <c r="AE3617" s="5">
        <v>2.2481857714186946</v>
      </c>
      <c r="AF3617">
        <v>1</v>
      </c>
    </row>
    <row r="3618" spans="27:32" x14ac:dyDescent="0.3">
      <c r="AA3618" s="3">
        <v>25555.040000000001</v>
      </c>
      <c r="AB3618">
        <v>1E-4</v>
      </c>
      <c r="AC3618">
        <v>8</v>
      </c>
      <c r="AD3618" s="5">
        <v>4.9755985241018532</v>
      </c>
      <c r="AE3618" s="5">
        <v>2.1787467263646145</v>
      </c>
      <c r="AF3618">
        <v>1</v>
      </c>
    </row>
    <row r="3619" spans="27:32" x14ac:dyDescent="0.3">
      <c r="AA3619" s="3">
        <v>6840.7</v>
      </c>
      <c r="AB3619">
        <v>1E-4</v>
      </c>
      <c r="AC3619">
        <v>8</v>
      </c>
      <c r="AD3619" s="5">
        <v>5.014274255408</v>
      </c>
      <c r="AE3619" s="5">
        <v>2.2212648065917797</v>
      </c>
      <c r="AF3619">
        <v>1</v>
      </c>
    </row>
    <row r="3620" spans="27:32" x14ac:dyDescent="0.3">
      <c r="AA3620" s="3">
        <v>9823.3799999999992</v>
      </c>
      <c r="AB3620">
        <v>1E-4</v>
      </c>
      <c r="AC3620">
        <v>8</v>
      </c>
      <c r="AD3620" s="5">
        <v>4.986518064710407</v>
      </c>
      <c r="AE3620" s="5">
        <v>2.1511724926814648</v>
      </c>
      <c r="AF3620">
        <v>1</v>
      </c>
    </row>
    <row r="3621" spans="27:32" x14ac:dyDescent="0.3">
      <c r="AA3621" s="3">
        <v>756.68</v>
      </c>
      <c r="AB3621">
        <v>1E-4</v>
      </c>
      <c r="AC3621">
        <v>8</v>
      </c>
      <c r="AD3621" s="5">
        <v>5.1054795199598226</v>
      </c>
      <c r="AE3621" s="5">
        <v>2.1660480863842437</v>
      </c>
      <c r="AF3621">
        <v>1</v>
      </c>
    </row>
    <row r="3622" spans="27:32" x14ac:dyDescent="0.3">
      <c r="AA3622" s="3">
        <v>13714.55</v>
      </c>
      <c r="AB3622">
        <v>1E-4</v>
      </c>
      <c r="AC3622">
        <v>8</v>
      </c>
      <c r="AD3622" s="5">
        <v>5.0824477538056607</v>
      </c>
      <c r="AE3622" s="5">
        <v>2.2520555377707336</v>
      </c>
      <c r="AF3622">
        <v>1</v>
      </c>
    </row>
    <row r="3623" spans="27:32" x14ac:dyDescent="0.3">
      <c r="AA3623" s="3">
        <v>-270.64</v>
      </c>
      <c r="AB3623">
        <v>1E-4</v>
      </c>
      <c r="AC3623">
        <v>9</v>
      </c>
      <c r="AD3623" s="5">
        <v>5.0329657120894593</v>
      </c>
      <c r="AE3623" s="5">
        <v>2.1829053123883844</v>
      </c>
      <c r="AF3623">
        <v>1</v>
      </c>
    </row>
    <row r="3624" spans="27:32" x14ac:dyDescent="0.3">
      <c r="AA3624" s="3">
        <v>9776.6</v>
      </c>
      <c r="AB3624">
        <v>1E-4</v>
      </c>
      <c r="AC3624">
        <v>8</v>
      </c>
      <c r="AD3624" s="5">
        <v>5.043938456045205</v>
      </c>
      <c r="AE3624" s="5">
        <v>2.2084960102157676</v>
      </c>
      <c r="AF3624">
        <v>1</v>
      </c>
    </row>
    <row r="3625" spans="27:32" x14ac:dyDescent="0.3">
      <c r="AA3625" s="3">
        <v>-39259.566112566201</v>
      </c>
      <c r="AB3625">
        <v>1E-4</v>
      </c>
      <c r="AC3625">
        <v>9</v>
      </c>
      <c r="AD3625" s="5">
        <v>5.0474517754483141</v>
      </c>
      <c r="AE3625" s="5">
        <v>2.2108052314901645</v>
      </c>
      <c r="AF3625">
        <v>0</v>
      </c>
    </row>
    <row r="3626" spans="27:32" x14ac:dyDescent="0.3">
      <c r="AA3626" s="3">
        <v>34015.620000000003</v>
      </c>
      <c r="AB3626">
        <v>1E-4</v>
      </c>
      <c r="AC3626">
        <v>7</v>
      </c>
      <c r="AD3626" s="5">
        <v>4.9428367444846151</v>
      </c>
      <c r="AE3626" s="5">
        <v>2.2667309229721697</v>
      </c>
      <c r="AF3626">
        <v>1</v>
      </c>
    </row>
    <row r="3627" spans="27:32" x14ac:dyDescent="0.3">
      <c r="AA3627" s="3">
        <v>15983.41</v>
      </c>
      <c r="AB3627">
        <v>1E-4</v>
      </c>
      <c r="AC3627">
        <v>8</v>
      </c>
      <c r="AD3627" s="5">
        <v>5.1539906027378342</v>
      </c>
      <c r="AE3627" s="5">
        <v>2.2027655738586147</v>
      </c>
      <c r="AF3627">
        <v>1</v>
      </c>
    </row>
    <row r="3628" spans="27:32" x14ac:dyDescent="0.3">
      <c r="AA3628" s="3">
        <v>1458.45</v>
      </c>
      <c r="AB3628">
        <v>1E-4</v>
      </c>
      <c r="AC3628">
        <v>8</v>
      </c>
      <c r="AD3628" s="5">
        <v>4.96024775093972</v>
      </c>
      <c r="AE3628" s="5">
        <v>2.1898545134876657</v>
      </c>
      <c r="AF3628">
        <v>1</v>
      </c>
    </row>
    <row r="3629" spans="27:32" x14ac:dyDescent="0.3">
      <c r="AA3629" s="3">
        <v>-18175.14</v>
      </c>
      <c r="AB3629">
        <v>1E-4</v>
      </c>
      <c r="AC3629">
        <v>9</v>
      </c>
      <c r="AD3629" s="5">
        <v>4.8628889915872033</v>
      </c>
      <c r="AE3629" s="5">
        <v>2.1999980413838327</v>
      </c>
      <c r="AF3629">
        <v>1</v>
      </c>
    </row>
    <row r="3630" spans="27:32" x14ac:dyDescent="0.3">
      <c r="AA3630" s="3">
        <v>41908.769999999997</v>
      </c>
      <c r="AB3630">
        <v>1E-4</v>
      </c>
      <c r="AC3630">
        <v>7</v>
      </c>
      <c r="AD3630" s="5">
        <v>4.9167319542925361</v>
      </c>
      <c r="AE3630" s="5">
        <v>2.1014760271232218</v>
      </c>
      <c r="AF3630">
        <v>1</v>
      </c>
    </row>
    <row r="3631" spans="27:32" x14ac:dyDescent="0.3">
      <c r="AA3631" s="3">
        <v>23988.32</v>
      </c>
      <c r="AB3631">
        <v>1E-4</v>
      </c>
      <c r="AC3631">
        <v>8</v>
      </c>
      <c r="AD3631" s="5">
        <v>4.9969666006413034</v>
      </c>
      <c r="AE3631" s="5">
        <v>2.2580165031847512</v>
      </c>
      <c r="AF3631">
        <v>1</v>
      </c>
    </row>
    <row r="3632" spans="27:32" x14ac:dyDescent="0.3">
      <c r="AA3632" s="3">
        <v>-25815.080289662536</v>
      </c>
      <c r="AB3632">
        <v>1E-4</v>
      </c>
      <c r="AC3632">
        <v>9</v>
      </c>
      <c r="AD3632" s="5">
        <v>4.9515446513489421</v>
      </c>
      <c r="AE3632" s="5">
        <v>2.1987695317628209</v>
      </c>
      <c r="AF3632">
        <v>0</v>
      </c>
    </row>
    <row r="3633" spans="27:32" x14ac:dyDescent="0.3">
      <c r="AA3633" s="3">
        <v>7522.23</v>
      </c>
      <c r="AB3633">
        <v>1E-4</v>
      </c>
      <c r="AC3633">
        <v>8</v>
      </c>
      <c r="AD3633" s="5">
        <v>4.9478600344091825</v>
      </c>
      <c r="AE3633" s="5">
        <v>2.2125868795169898</v>
      </c>
      <c r="AF3633">
        <v>1</v>
      </c>
    </row>
    <row r="3634" spans="27:32" x14ac:dyDescent="0.3">
      <c r="AA3634" s="3">
        <v>22896.86</v>
      </c>
      <c r="AB3634">
        <v>1E-4</v>
      </c>
      <c r="AC3634">
        <v>8</v>
      </c>
      <c r="AD3634" s="5">
        <v>4.8648406897855265</v>
      </c>
      <c r="AE3634" s="5">
        <v>2.2154755395481009</v>
      </c>
      <c r="AF3634">
        <v>1</v>
      </c>
    </row>
    <row r="3635" spans="27:32" x14ac:dyDescent="0.3">
      <c r="AA3635" s="3">
        <v>-2791.53</v>
      </c>
      <c r="AB3635">
        <v>1E-4</v>
      </c>
      <c r="AC3635">
        <v>9</v>
      </c>
      <c r="AD3635" s="5">
        <v>4.8101574857354281</v>
      </c>
      <c r="AE3635" s="5">
        <v>2.1764411296105792</v>
      </c>
      <c r="AF3635">
        <v>1</v>
      </c>
    </row>
    <row r="3636" spans="27:32" x14ac:dyDescent="0.3">
      <c r="AA3636" s="3">
        <v>9635.4699999999993</v>
      </c>
      <c r="AB3636">
        <v>1E-4</v>
      </c>
      <c r="AC3636">
        <v>8</v>
      </c>
      <c r="AD3636" s="5">
        <v>5.0452438193459184</v>
      </c>
      <c r="AE3636" s="5">
        <v>2.2206490306640716</v>
      </c>
      <c r="AF3636">
        <v>1</v>
      </c>
    </row>
    <row r="3637" spans="27:32" x14ac:dyDescent="0.3">
      <c r="AA3637" s="3">
        <v>17124.29</v>
      </c>
      <c r="AB3637">
        <v>1E-4</v>
      </c>
      <c r="AC3637">
        <v>8</v>
      </c>
      <c r="AD3637" s="5">
        <v>5.1285265350470883</v>
      </c>
      <c r="AE3637" s="5">
        <v>2.1677983870967075</v>
      </c>
      <c r="AF3637">
        <v>1</v>
      </c>
    </row>
    <row r="3638" spans="27:32" x14ac:dyDescent="0.3">
      <c r="AA3638" s="3">
        <v>23637.19</v>
      </c>
      <c r="AB3638">
        <v>1E-4</v>
      </c>
      <c r="AC3638">
        <v>8</v>
      </c>
      <c r="AD3638" s="5">
        <v>4.9491216015333608</v>
      </c>
      <c r="AE3638" s="5">
        <v>2.1754994551517788</v>
      </c>
      <c r="AF3638">
        <v>1</v>
      </c>
    </row>
    <row r="3639" spans="27:32" x14ac:dyDescent="0.3">
      <c r="AA3639" s="3">
        <v>39926.33</v>
      </c>
      <c r="AB3639">
        <v>1E-4</v>
      </c>
      <c r="AC3639">
        <v>7</v>
      </c>
      <c r="AD3639" s="5">
        <v>5.158403467482886</v>
      </c>
      <c r="AE3639" s="5">
        <v>2.1737204732197277</v>
      </c>
      <c r="AF3639">
        <v>1</v>
      </c>
    </row>
    <row r="3640" spans="27:32" x14ac:dyDescent="0.3">
      <c r="AA3640" s="3">
        <v>28344.42</v>
      </c>
      <c r="AB3640">
        <v>1E-4</v>
      </c>
      <c r="AC3640">
        <v>8</v>
      </c>
      <c r="AD3640" s="5">
        <v>5.0404921243995764</v>
      </c>
      <c r="AE3640" s="5">
        <v>2.1706301866933844</v>
      </c>
      <c r="AF3640">
        <v>1</v>
      </c>
    </row>
    <row r="3641" spans="27:32" x14ac:dyDescent="0.3">
      <c r="AA3641" s="3">
        <v>21925.34</v>
      </c>
      <c r="AB3641">
        <v>1E-4</v>
      </c>
      <c r="AC3641">
        <v>8</v>
      </c>
      <c r="AD3641" s="5">
        <v>5.0181079453447284</v>
      </c>
      <c r="AE3641" s="5">
        <v>2.1913699222182093</v>
      </c>
      <c r="AF3641">
        <v>1</v>
      </c>
    </row>
    <row r="3642" spans="27:32" x14ac:dyDescent="0.3">
      <c r="AA3642" s="3">
        <v>7288.47</v>
      </c>
      <c r="AB3642">
        <v>1E-4</v>
      </c>
      <c r="AC3642">
        <v>8</v>
      </c>
      <c r="AD3642" s="5">
        <v>5.0346844983185273</v>
      </c>
      <c r="AE3642" s="5">
        <v>2.3002888848631846</v>
      </c>
      <c r="AF3642">
        <v>1</v>
      </c>
    </row>
    <row r="3643" spans="27:32" x14ac:dyDescent="0.3">
      <c r="AA3643" s="3">
        <v>21681.52</v>
      </c>
      <c r="AB3643">
        <v>1E-4</v>
      </c>
      <c r="AC3643">
        <v>8</v>
      </c>
      <c r="AD3643" s="5">
        <v>4.9499495993729772</v>
      </c>
      <c r="AE3643" s="5">
        <v>2.2408710213936689</v>
      </c>
      <c r="AF3643">
        <v>1</v>
      </c>
    </row>
    <row r="3644" spans="27:32" x14ac:dyDescent="0.3">
      <c r="AA3644" s="3">
        <v>6611.96</v>
      </c>
      <c r="AB3644">
        <v>1E-4</v>
      </c>
      <c r="AC3644">
        <v>8</v>
      </c>
      <c r="AD3644" s="5">
        <v>4.9740187846970381</v>
      </c>
      <c r="AE3644" s="5">
        <v>2.1530290674656798</v>
      </c>
      <c r="AF3644">
        <v>1</v>
      </c>
    </row>
    <row r="3645" spans="27:32" x14ac:dyDescent="0.3">
      <c r="AA3645" s="3">
        <v>21517.52</v>
      </c>
      <c r="AB3645">
        <v>1E-4</v>
      </c>
      <c r="AC3645">
        <v>8</v>
      </c>
      <c r="AD3645" s="5">
        <v>4.9174059382458815</v>
      </c>
      <c r="AE3645" s="5">
        <v>2.2048764111081152</v>
      </c>
      <c r="AF3645">
        <v>1</v>
      </c>
    </row>
    <row r="3646" spans="27:32" x14ac:dyDescent="0.3">
      <c r="AA3646" s="3">
        <v>24457.71</v>
      </c>
      <c r="AB3646">
        <v>1E-4</v>
      </c>
      <c r="AC3646">
        <v>8</v>
      </c>
      <c r="AD3646" s="5">
        <v>4.9706349014579088</v>
      </c>
      <c r="AE3646" s="5">
        <v>2.1064767623946259</v>
      </c>
      <c r="AF3646">
        <v>1</v>
      </c>
    </row>
    <row r="3647" spans="27:32" x14ac:dyDescent="0.3">
      <c r="AA3647" s="3">
        <v>32764.57</v>
      </c>
      <c r="AB3647">
        <v>1E-4</v>
      </c>
      <c r="AC3647">
        <v>7</v>
      </c>
      <c r="AD3647" s="5">
        <v>5.0027424319956113</v>
      </c>
      <c r="AE3647" s="5">
        <v>2.2090623312896676</v>
      </c>
      <c r="AF3647">
        <v>1</v>
      </c>
    </row>
    <row r="3648" spans="27:32" x14ac:dyDescent="0.3">
      <c r="AA3648" s="3">
        <v>-4572.84</v>
      </c>
      <c r="AB3648">
        <v>1E-4</v>
      </c>
      <c r="AC3648">
        <v>9</v>
      </c>
      <c r="AD3648" s="5">
        <v>4.9701919522774052</v>
      </c>
      <c r="AE3648" s="5">
        <v>2.1568429429281424</v>
      </c>
      <c r="AF3648">
        <v>1</v>
      </c>
    </row>
    <row r="3649" spans="27:32" x14ac:dyDescent="0.3">
      <c r="AA3649" s="3">
        <v>2137.8000000000002</v>
      </c>
      <c r="AB3649">
        <v>1E-4</v>
      </c>
      <c r="AC3649">
        <v>8</v>
      </c>
      <c r="AD3649" s="5">
        <v>5.1275938525725877</v>
      </c>
      <c r="AE3649" s="5">
        <v>2.2241602989660438</v>
      </c>
      <c r="AF3649">
        <v>1</v>
      </c>
    </row>
    <row r="3650" spans="27:32" x14ac:dyDescent="0.3">
      <c r="AA3650" s="3">
        <v>3557.72</v>
      </c>
      <c r="AB3650">
        <v>1E-4</v>
      </c>
      <c r="AC3650">
        <v>8</v>
      </c>
      <c r="AD3650" s="5">
        <v>4.9821673476153343</v>
      </c>
      <c r="AE3650" s="5">
        <v>2.2140066221437582</v>
      </c>
      <c r="AF3650">
        <v>1</v>
      </c>
    </row>
    <row r="3651" spans="27:32" x14ac:dyDescent="0.3">
      <c r="AA3651" s="3">
        <v>-10752.26</v>
      </c>
      <c r="AB3651">
        <v>1E-4</v>
      </c>
      <c r="AC3651">
        <v>9</v>
      </c>
      <c r="AD3651" s="5">
        <v>4.9493313959650003</v>
      </c>
      <c r="AE3651" s="5">
        <v>2.2603591978607178</v>
      </c>
      <c r="AF3651">
        <v>1</v>
      </c>
    </row>
    <row r="3652" spans="27:32" x14ac:dyDescent="0.3">
      <c r="AA3652" s="3">
        <v>5000.9399999999996</v>
      </c>
      <c r="AB3652">
        <v>1E-4</v>
      </c>
      <c r="AC3652">
        <v>8</v>
      </c>
      <c r="AD3652" s="5">
        <v>4.9861601838227037</v>
      </c>
      <c r="AE3652" s="5">
        <v>2.228131484405353</v>
      </c>
      <c r="AF3652">
        <v>1</v>
      </c>
    </row>
    <row r="3653" spans="27:32" x14ac:dyDescent="0.3">
      <c r="AA3653" s="3">
        <v>1128.93</v>
      </c>
      <c r="AB3653">
        <v>1E-4</v>
      </c>
      <c r="AC3653">
        <v>8</v>
      </c>
      <c r="AD3653" s="5">
        <v>5.0546166186241255</v>
      </c>
      <c r="AE3653" s="5">
        <v>2.1812664828979313</v>
      </c>
      <c r="AF3653">
        <v>1</v>
      </c>
    </row>
    <row r="3654" spans="27:32" x14ac:dyDescent="0.3">
      <c r="AA3654" s="3">
        <v>53054.31</v>
      </c>
      <c r="AB3654">
        <v>1E-4</v>
      </c>
      <c r="AC3654">
        <v>6</v>
      </c>
      <c r="AD3654" s="5">
        <v>4.9471068681035018</v>
      </c>
      <c r="AE3654" s="5">
        <v>2.1574759174026639</v>
      </c>
      <c r="AF3654">
        <v>1</v>
      </c>
    </row>
    <row r="3655" spans="27:32" x14ac:dyDescent="0.3">
      <c r="AA3655" s="3">
        <v>-10886.31</v>
      </c>
      <c r="AB3655">
        <v>1E-4</v>
      </c>
      <c r="AC3655">
        <v>9</v>
      </c>
      <c r="AD3655" s="5">
        <v>4.8092346195301889</v>
      </c>
      <c r="AE3655" s="5">
        <v>2.2530151763309672</v>
      </c>
      <c r="AF3655">
        <v>1</v>
      </c>
    </row>
    <row r="3656" spans="27:32" x14ac:dyDescent="0.3">
      <c r="AA3656" s="3">
        <v>20629.43</v>
      </c>
      <c r="AB3656">
        <v>1E-4</v>
      </c>
      <c r="AC3656">
        <v>8</v>
      </c>
      <c r="AD3656" s="5">
        <v>5.0321592778138049</v>
      </c>
      <c r="AE3656" s="5">
        <v>2.0972455589111991</v>
      </c>
      <c r="AF3656">
        <v>1</v>
      </c>
    </row>
    <row r="3657" spans="27:32" x14ac:dyDescent="0.3">
      <c r="AA3657" s="3">
        <v>6984.77</v>
      </c>
      <c r="AB3657">
        <v>1E-4</v>
      </c>
      <c r="AC3657">
        <v>8</v>
      </c>
      <c r="AD3657" s="5">
        <v>5.0263446991667173</v>
      </c>
      <c r="AE3657" s="5">
        <v>2.2677050778596817</v>
      </c>
      <c r="AF3657">
        <v>1</v>
      </c>
    </row>
    <row r="3658" spans="27:32" x14ac:dyDescent="0.3">
      <c r="AA3658" s="3">
        <v>19841.099999999999</v>
      </c>
      <c r="AB3658">
        <v>1E-4</v>
      </c>
      <c r="AC3658">
        <v>8</v>
      </c>
      <c r="AD3658" s="5">
        <v>5.0343927550877634</v>
      </c>
      <c r="AE3658" s="5">
        <v>2.2040761889332514</v>
      </c>
      <c r="AF3658">
        <v>1</v>
      </c>
    </row>
    <row r="3659" spans="27:32" x14ac:dyDescent="0.3">
      <c r="AA3659" s="3">
        <v>19655.77</v>
      </c>
      <c r="AB3659">
        <v>1E-4</v>
      </c>
      <c r="AC3659">
        <v>8</v>
      </c>
      <c r="AD3659" s="5">
        <v>5.0073716028348869</v>
      </c>
      <c r="AE3659" s="5">
        <v>2.1924447411816987</v>
      </c>
      <c r="AF3659">
        <v>1</v>
      </c>
    </row>
    <row r="3660" spans="27:32" x14ac:dyDescent="0.3">
      <c r="AA3660" s="3">
        <v>30174.6</v>
      </c>
      <c r="AB3660">
        <v>1E-4</v>
      </c>
      <c r="AC3660">
        <v>8</v>
      </c>
      <c r="AD3660" s="5">
        <v>4.9765073109009528</v>
      </c>
      <c r="AE3660" s="5">
        <v>2.2010477022723229</v>
      </c>
      <c r="AF3660">
        <v>1</v>
      </c>
    </row>
    <row r="3661" spans="27:32" x14ac:dyDescent="0.3">
      <c r="AA3661" s="3">
        <v>5876.14</v>
      </c>
      <c r="AB3661">
        <v>1E-4</v>
      </c>
      <c r="AC3661">
        <v>8</v>
      </c>
      <c r="AD3661" s="5">
        <v>5.0791174465302955</v>
      </c>
      <c r="AE3661" s="5">
        <v>2.2127329621599139</v>
      </c>
      <c r="AF3661">
        <v>1</v>
      </c>
    </row>
    <row r="3662" spans="27:32" x14ac:dyDescent="0.3">
      <c r="AA3662" s="3">
        <v>27760.02</v>
      </c>
      <c r="AB3662">
        <v>1E-4</v>
      </c>
      <c r="AC3662">
        <v>8</v>
      </c>
      <c r="AD3662" s="5">
        <v>5.0886956729696653</v>
      </c>
      <c r="AE3662" s="5">
        <v>2.1553837743873179</v>
      </c>
      <c r="AF3662">
        <v>1</v>
      </c>
    </row>
    <row r="3663" spans="27:32" x14ac:dyDescent="0.3">
      <c r="AA3663" s="3">
        <v>6635.11</v>
      </c>
      <c r="AB3663">
        <v>1E-4</v>
      </c>
      <c r="AC3663">
        <v>8</v>
      </c>
      <c r="AD3663" s="5">
        <v>4.9552077704355382</v>
      </c>
      <c r="AE3663" s="5">
        <v>2.2600192067169083</v>
      </c>
      <c r="AF3663">
        <v>1</v>
      </c>
    </row>
    <row r="3664" spans="27:32" x14ac:dyDescent="0.3">
      <c r="AA3664" s="3">
        <v>12925.36</v>
      </c>
      <c r="AB3664">
        <v>1E-4</v>
      </c>
      <c r="AC3664">
        <v>8</v>
      </c>
      <c r="AD3664" s="5">
        <v>5.07697836691802</v>
      </c>
      <c r="AE3664" s="5">
        <v>2.1945107464030746</v>
      </c>
      <c r="AF3664">
        <v>1</v>
      </c>
    </row>
    <row r="3665" spans="27:32" x14ac:dyDescent="0.3">
      <c r="AA3665" s="3">
        <v>39715.35</v>
      </c>
      <c r="AB3665">
        <v>1E-4</v>
      </c>
      <c r="AC3665">
        <v>7</v>
      </c>
      <c r="AD3665" s="5">
        <v>5.0046055177343467</v>
      </c>
      <c r="AE3665" s="5">
        <v>2.1987472491742128</v>
      </c>
      <c r="AF3665">
        <v>1</v>
      </c>
    </row>
    <row r="3666" spans="27:32" x14ac:dyDescent="0.3">
      <c r="AA3666" s="3">
        <v>10317.030000000001</v>
      </c>
      <c r="AB3666">
        <v>1E-4</v>
      </c>
      <c r="AC3666">
        <v>8</v>
      </c>
      <c r="AD3666" s="5">
        <v>4.8174633459392089</v>
      </c>
      <c r="AE3666" s="5">
        <v>2.215436714401231</v>
      </c>
      <c r="AF3666">
        <v>1</v>
      </c>
    </row>
    <row r="3667" spans="27:32" x14ac:dyDescent="0.3">
      <c r="AA3667" s="3">
        <v>22866.07</v>
      </c>
      <c r="AB3667">
        <v>1E-4</v>
      </c>
      <c r="AC3667">
        <v>8</v>
      </c>
      <c r="AD3667" s="5">
        <v>4.889616256319699</v>
      </c>
      <c r="AE3667" s="5">
        <v>2.1741462972838095</v>
      </c>
      <c r="AF3667">
        <v>1</v>
      </c>
    </row>
    <row r="3668" spans="27:32" x14ac:dyDescent="0.3">
      <c r="AA3668" s="3">
        <v>21360.65</v>
      </c>
      <c r="AB3668">
        <v>1E-4</v>
      </c>
      <c r="AC3668">
        <v>8</v>
      </c>
      <c r="AD3668" s="5">
        <v>4.8707239026349738</v>
      </c>
      <c r="AE3668" s="5">
        <v>2.1473830302893577</v>
      </c>
      <c r="AF3668">
        <v>1</v>
      </c>
    </row>
    <row r="3669" spans="27:32" x14ac:dyDescent="0.3">
      <c r="AA3669" s="3">
        <v>35351.919999999998</v>
      </c>
      <c r="AB3669">
        <v>1E-4</v>
      </c>
      <c r="AC3669">
        <v>7</v>
      </c>
      <c r="AD3669" s="5">
        <v>5.1057531347447673</v>
      </c>
      <c r="AE3669" s="5">
        <v>2.2051519835286073</v>
      </c>
      <c r="AF3669">
        <v>1</v>
      </c>
    </row>
    <row r="3670" spans="27:32" x14ac:dyDescent="0.3">
      <c r="AA3670" s="3">
        <v>37015.83</v>
      </c>
      <c r="AB3670">
        <v>1E-4</v>
      </c>
      <c r="AC3670">
        <v>7</v>
      </c>
      <c r="AD3670" s="5">
        <v>5.2027384229563003</v>
      </c>
      <c r="AE3670" s="5">
        <v>2.1761870457465333</v>
      </c>
      <c r="AF3670">
        <v>1</v>
      </c>
    </row>
    <row r="3671" spans="27:32" x14ac:dyDescent="0.3">
      <c r="AA3671" s="3">
        <v>9822.17</v>
      </c>
      <c r="AB3671">
        <v>1E-4</v>
      </c>
      <c r="AC3671">
        <v>8</v>
      </c>
      <c r="AD3671" s="5">
        <v>4.9832215599028311</v>
      </c>
      <c r="AE3671" s="5">
        <v>2.1445465698973076</v>
      </c>
      <c r="AF3671">
        <v>1</v>
      </c>
    </row>
    <row r="3672" spans="27:32" x14ac:dyDescent="0.3">
      <c r="AA3672" s="3">
        <v>-39090.2164241625</v>
      </c>
      <c r="AB3672">
        <v>1E-4</v>
      </c>
      <c r="AC3672">
        <v>9</v>
      </c>
      <c r="AD3672" s="5">
        <v>5.0316976843073231</v>
      </c>
      <c r="AE3672" s="5">
        <v>2.1474413225176177</v>
      </c>
      <c r="AF3672">
        <v>0</v>
      </c>
    </row>
    <row r="3673" spans="27:32" x14ac:dyDescent="0.3">
      <c r="AA3673" s="3">
        <v>21783.79</v>
      </c>
      <c r="AB3673">
        <v>1E-4</v>
      </c>
      <c r="AC3673">
        <v>8</v>
      </c>
      <c r="AD3673" s="5">
        <v>5.0922218502654104</v>
      </c>
      <c r="AE3673" s="5">
        <v>2.1763460622403428</v>
      </c>
      <c r="AF3673">
        <v>1</v>
      </c>
    </row>
    <row r="3674" spans="27:32" x14ac:dyDescent="0.3">
      <c r="AA3674" s="3">
        <v>14345.36</v>
      </c>
      <c r="AB3674">
        <v>1E-4</v>
      </c>
      <c r="AC3674">
        <v>8</v>
      </c>
      <c r="AD3674" s="5">
        <v>4.934904529791992</v>
      </c>
      <c r="AE3674" s="5">
        <v>2.2025836235394203</v>
      </c>
      <c r="AF3674">
        <v>1</v>
      </c>
    </row>
    <row r="3675" spans="27:32" x14ac:dyDescent="0.3">
      <c r="AA3675" s="3">
        <v>20047.919999999998</v>
      </c>
      <c r="AB3675">
        <v>1E-4</v>
      </c>
      <c r="AC3675">
        <v>8</v>
      </c>
      <c r="AD3675" s="5">
        <v>5.0260880777119841</v>
      </c>
      <c r="AE3675" s="5">
        <v>2.2222004982553103</v>
      </c>
      <c r="AF3675">
        <v>1</v>
      </c>
    </row>
    <row r="3676" spans="27:32" x14ac:dyDescent="0.3">
      <c r="AA3676" s="3">
        <v>10141.01</v>
      </c>
      <c r="AB3676">
        <v>1E-4</v>
      </c>
      <c r="AC3676">
        <v>8</v>
      </c>
      <c r="AD3676" s="5">
        <v>4.9643545410421774</v>
      </c>
      <c r="AE3676" s="5">
        <v>2.1280830927574605</v>
      </c>
      <c r="AF3676">
        <v>1</v>
      </c>
    </row>
    <row r="3677" spans="27:32" x14ac:dyDescent="0.3">
      <c r="AA3677" s="3">
        <v>7563.76</v>
      </c>
      <c r="AB3677">
        <v>1E-4</v>
      </c>
      <c r="AC3677">
        <v>8</v>
      </c>
      <c r="AD3677" s="5">
        <v>5.0951220429797379</v>
      </c>
      <c r="AE3677" s="5">
        <v>2.1764169016279555</v>
      </c>
      <c r="AF3677">
        <v>1</v>
      </c>
    </row>
    <row r="3678" spans="27:32" x14ac:dyDescent="0.3">
      <c r="AA3678" s="3">
        <v>5981.28</v>
      </c>
      <c r="AB3678">
        <v>1E-4</v>
      </c>
      <c r="AC3678">
        <v>8</v>
      </c>
      <c r="AD3678" s="5">
        <v>4.8961820561035028</v>
      </c>
      <c r="AE3678" s="5">
        <v>2.204658623583887</v>
      </c>
      <c r="AF3678">
        <v>1</v>
      </c>
    </row>
    <row r="3679" spans="27:32" x14ac:dyDescent="0.3">
      <c r="AA3679" s="3">
        <v>-17303.990000000002</v>
      </c>
      <c r="AB3679">
        <v>1E-4</v>
      </c>
      <c r="AC3679">
        <v>9</v>
      </c>
      <c r="AD3679" s="5">
        <v>4.8566662009951811</v>
      </c>
      <c r="AE3679" s="5">
        <v>2.1971893616416929</v>
      </c>
      <c r="AF3679">
        <v>1</v>
      </c>
    </row>
    <row r="3680" spans="27:32" x14ac:dyDescent="0.3">
      <c r="AA3680" s="3">
        <v>25069.57</v>
      </c>
      <c r="AB3680">
        <v>1E-4</v>
      </c>
      <c r="AC3680">
        <v>8</v>
      </c>
      <c r="AD3680" s="5">
        <v>4.9915046279204818</v>
      </c>
      <c r="AE3680" s="5">
        <v>2.186961244860115</v>
      </c>
      <c r="AF3680">
        <v>1</v>
      </c>
    </row>
    <row r="3681" spans="27:32" x14ac:dyDescent="0.3">
      <c r="AA3681" s="3">
        <v>6300.05</v>
      </c>
      <c r="AB3681">
        <v>1E-4</v>
      </c>
      <c r="AC3681">
        <v>8</v>
      </c>
      <c r="AD3681" s="5">
        <v>4.8960302299642109</v>
      </c>
      <c r="AE3681" s="5">
        <v>2.2175089154409378</v>
      </c>
      <c r="AF3681">
        <v>1</v>
      </c>
    </row>
    <row r="3682" spans="27:32" x14ac:dyDescent="0.3">
      <c r="AA3682" s="3">
        <v>7521.77</v>
      </c>
      <c r="AB3682">
        <v>1E-4</v>
      </c>
      <c r="AC3682">
        <v>8</v>
      </c>
      <c r="AD3682" s="5">
        <v>4.9599971172423958</v>
      </c>
      <c r="AE3682" s="5">
        <v>2.2118727362706494</v>
      </c>
      <c r="AF3682">
        <v>1</v>
      </c>
    </row>
    <row r="3683" spans="27:32" x14ac:dyDescent="0.3">
      <c r="AA3683" s="3">
        <v>8804.5400000000009</v>
      </c>
      <c r="AB3683">
        <v>1E-4</v>
      </c>
      <c r="AC3683">
        <v>8</v>
      </c>
      <c r="AD3683" s="5">
        <v>5.0403577697572288</v>
      </c>
      <c r="AE3683" s="5">
        <v>2.1465750538299679</v>
      </c>
      <c r="AF3683">
        <v>1</v>
      </c>
    </row>
    <row r="3684" spans="27:32" x14ac:dyDescent="0.3">
      <c r="AA3684" s="3">
        <v>-5259.1</v>
      </c>
      <c r="AB3684">
        <v>1E-4</v>
      </c>
      <c r="AC3684">
        <v>9</v>
      </c>
      <c r="AD3684" s="5">
        <v>4.8967610620485473</v>
      </c>
      <c r="AE3684" s="5">
        <v>2.2218386532363246</v>
      </c>
      <c r="AF3684">
        <v>1</v>
      </c>
    </row>
    <row r="3685" spans="27:32" x14ac:dyDescent="0.3">
      <c r="AA3685" s="3">
        <v>23898.51</v>
      </c>
      <c r="AB3685">
        <v>1E-4</v>
      </c>
      <c r="AC3685">
        <v>8</v>
      </c>
      <c r="AD3685" s="5">
        <v>5.060613893447016</v>
      </c>
      <c r="AE3685" s="5">
        <v>2.2216757457485623</v>
      </c>
      <c r="AF3685">
        <v>1</v>
      </c>
    </row>
    <row r="3686" spans="27:32" x14ac:dyDescent="0.3">
      <c r="AA3686" s="3">
        <v>13822.44</v>
      </c>
      <c r="AB3686">
        <v>1E-4</v>
      </c>
      <c r="AC3686">
        <v>8</v>
      </c>
      <c r="AD3686" s="5">
        <v>4.961984977475197</v>
      </c>
      <c r="AE3686" s="5">
        <v>2.2329029126260007</v>
      </c>
      <c r="AF3686">
        <v>1</v>
      </c>
    </row>
    <row r="3687" spans="27:32" x14ac:dyDescent="0.3">
      <c r="AA3687" s="3">
        <v>11449.67</v>
      </c>
      <c r="AB3687">
        <v>1E-4</v>
      </c>
      <c r="AC3687">
        <v>8</v>
      </c>
      <c r="AD3687" s="5">
        <v>4.9402726740170184</v>
      </c>
      <c r="AE3687" s="5">
        <v>2.2430470729066165</v>
      </c>
      <c r="AF3687">
        <v>1</v>
      </c>
    </row>
    <row r="3688" spans="27:32" x14ac:dyDescent="0.3">
      <c r="AA3688" s="3">
        <v>-4856.29</v>
      </c>
      <c r="AB3688">
        <v>1E-4</v>
      </c>
      <c r="AC3688">
        <v>9</v>
      </c>
      <c r="AD3688" s="5">
        <v>5.0215207523179499</v>
      </c>
      <c r="AE3688" s="5">
        <v>2.2457561337926881</v>
      </c>
      <c r="AF3688">
        <v>1</v>
      </c>
    </row>
    <row r="3689" spans="27:32" x14ac:dyDescent="0.3">
      <c r="AA3689" s="3">
        <v>18693.07</v>
      </c>
      <c r="AB3689">
        <v>1E-4</v>
      </c>
      <c r="AC3689">
        <v>8</v>
      </c>
      <c r="AD3689" s="5">
        <v>5.0412098994050218</v>
      </c>
      <c r="AE3689" s="5">
        <v>2.2121256642597134</v>
      </c>
      <c r="AF3689">
        <v>1</v>
      </c>
    </row>
    <row r="3690" spans="27:32" x14ac:dyDescent="0.3">
      <c r="AA3690" s="3">
        <v>27282.6</v>
      </c>
      <c r="AB3690">
        <v>1E-4</v>
      </c>
      <c r="AC3690">
        <v>8</v>
      </c>
      <c r="AD3690" s="5">
        <v>4.8836132561021408</v>
      </c>
      <c r="AE3690" s="5">
        <v>2.3060930472971131</v>
      </c>
      <c r="AF3690">
        <v>1</v>
      </c>
    </row>
    <row r="3691" spans="27:32" x14ac:dyDescent="0.3">
      <c r="AA3691" s="3">
        <v>19021.64</v>
      </c>
      <c r="AB3691">
        <v>1E-4</v>
      </c>
      <c r="AC3691">
        <v>8</v>
      </c>
      <c r="AD3691" s="5">
        <v>4.9932806231343116</v>
      </c>
      <c r="AE3691" s="5">
        <v>2.2655100938078769</v>
      </c>
      <c r="AF3691">
        <v>1</v>
      </c>
    </row>
    <row r="3692" spans="27:32" x14ac:dyDescent="0.3">
      <c r="AA3692" s="3">
        <v>39026.44</v>
      </c>
      <c r="AB3692">
        <v>1E-4</v>
      </c>
      <c r="AC3692">
        <v>7</v>
      </c>
      <c r="AD3692" s="5">
        <v>5.0860840366425304</v>
      </c>
      <c r="AE3692" s="5">
        <v>2.071657513340921</v>
      </c>
      <c r="AF3692">
        <v>1</v>
      </c>
    </row>
    <row r="3693" spans="27:32" x14ac:dyDescent="0.3">
      <c r="AA3693" s="3">
        <v>40994.120000000003</v>
      </c>
      <c r="AB3693">
        <v>1E-4</v>
      </c>
      <c r="AC3693">
        <v>7</v>
      </c>
      <c r="AD3693" s="5">
        <v>5.0430931024874557</v>
      </c>
      <c r="AE3693" s="5">
        <v>2.0983905351716814</v>
      </c>
      <c r="AF3693">
        <v>1</v>
      </c>
    </row>
    <row r="3694" spans="27:32" x14ac:dyDescent="0.3">
      <c r="AA3694" s="3">
        <v>39000.75</v>
      </c>
      <c r="AB3694">
        <v>1E-4</v>
      </c>
      <c r="AC3694">
        <v>7</v>
      </c>
      <c r="AD3694" s="5">
        <v>5.1208551374323088</v>
      </c>
      <c r="AE3694" s="5">
        <v>2.1539683310923623</v>
      </c>
      <c r="AF3694">
        <v>1</v>
      </c>
    </row>
    <row r="3695" spans="27:32" x14ac:dyDescent="0.3">
      <c r="AA3695" s="3">
        <v>58793.760000000002</v>
      </c>
      <c r="AB3695">
        <v>1E-4</v>
      </c>
      <c r="AC3695">
        <v>6</v>
      </c>
      <c r="AD3695" s="5">
        <v>5.0577143732406498</v>
      </c>
      <c r="AE3695" s="5">
        <v>2.1569901312410806</v>
      </c>
      <c r="AF3695">
        <v>1</v>
      </c>
    </row>
    <row r="3696" spans="27:32" x14ac:dyDescent="0.3">
      <c r="AA3696" s="3">
        <v>-23830.87</v>
      </c>
      <c r="AB3696">
        <v>1E-4</v>
      </c>
      <c r="AC3696">
        <v>9</v>
      </c>
      <c r="AD3696" s="5">
        <v>4.8191620461372748</v>
      </c>
      <c r="AE3696" s="5">
        <v>2.1654519583045739</v>
      </c>
      <c r="AF3696">
        <v>1</v>
      </c>
    </row>
    <row r="3697" spans="27:32" x14ac:dyDescent="0.3">
      <c r="AA3697" s="3">
        <v>29600.04</v>
      </c>
      <c r="AB3697">
        <v>1E-4</v>
      </c>
      <c r="AC3697">
        <v>7</v>
      </c>
      <c r="AD3697" s="5">
        <v>5.1506100813862652</v>
      </c>
      <c r="AE3697" s="5">
        <v>2.1411527349904662</v>
      </c>
      <c r="AF3697">
        <v>1</v>
      </c>
    </row>
    <row r="3698" spans="27:32" x14ac:dyDescent="0.3">
      <c r="AA3698" s="3">
        <v>13612.28</v>
      </c>
      <c r="AB3698">
        <v>1E-4</v>
      </c>
      <c r="AC3698">
        <v>8</v>
      </c>
      <c r="AD3698" s="5">
        <v>4.9545943170910034</v>
      </c>
      <c r="AE3698" s="5">
        <v>2.1949885987350228</v>
      </c>
      <c r="AF3698">
        <v>1</v>
      </c>
    </row>
    <row r="3699" spans="27:32" x14ac:dyDescent="0.3">
      <c r="AA3699" s="3">
        <v>-2193.46</v>
      </c>
      <c r="AB3699">
        <v>1E-4</v>
      </c>
      <c r="AC3699">
        <v>9</v>
      </c>
      <c r="AD3699" s="5">
        <v>4.8800881174244397</v>
      </c>
      <c r="AE3699" s="5">
        <v>2.1326121069793182</v>
      </c>
      <c r="AF3699">
        <v>1</v>
      </c>
    </row>
    <row r="3700" spans="27:32" x14ac:dyDescent="0.3">
      <c r="AA3700" s="3">
        <v>28401.200000000001</v>
      </c>
      <c r="AB3700">
        <v>1E-4</v>
      </c>
      <c r="AC3700">
        <v>8</v>
      </c>
      <c r="AD3700" s="5">
        <v>4.8735668720538614</v>
      </c>
      <c r="AE3700" s="5">
        <v>2.172927639529449</v>
      </c>
      <c r="AF3700">
        <v>1</v>
      </c>
    </row>
    <row r="3701" spans="27:32" x14ac:dyDescent="0.3">
      <c r="AA3701" s="3">
        <v>15602.8</v>
      </c>
      <c r="AB3701">
        <v>1E-4</v>
      </c>
      <c r="AC3701">
        <v>8</v>
      </c>
      <c r="AD3701" s="5">
        <v>4.9257400005124961</v>
      </c>
      <c r="AE3701" s="5">
        <v>2.1564714952161759</v>
      </c>
      <c r="AF3701">
        <v>1</v>
      </c>
    </row>
    <row r="3702" spans="27:32" x14ac:dyDescent="0.3">
      <c r="AA3702" s="3">
        <v>-157.47</v>
      </c>
      <c r="AB3702">
        <v>1E-4</v>
      </c>
      <c r="AC3702">
        <v>9</v>
      </c>
      <c r="AD3702" s="5">
        <v>5.046776160643704</v>
      </c>
      <c r="AE3702" s="5">
        <v>2.2535434295310872</v>
      </c>
      <c r="AF3702">
        <v>1</v>
      </c>
    </row>
    <row r="3703" spans="27:32" x14ac:dyDescent="0.3">
      <c r="AA3703" s="3">
        <v>3634.56</v>
      </c>
      <c r="AB3703">
        <v>1E-4</v>
      </c>
      <c r="AC3703">
        <v>8</v>
      </c>
      <c r="AD3703" s="5">
        <v>4.903475504174053</v>
      </c>
      <c r="AE3703" s="5">
        <v>2.2506862123419431</v>
      </c>
      <c r="AF3703">
        <v>1</v>
      </c>
    </row>
    <row r="3704" spans="27:32" x14ac:dyDescent="0.3">
      <c r="AA3704" s="3">
        <v>-6226.69</v>
      </c>
      <c r="AB3704">
        <v>1E-4</v>
      </c>
      <c r="AC3704">
        <v>9</v>
      </c>
      <c r="AD3704" s="5">
        <v>5.0131911355764451</v>
      </c>
      <c r="AE3704" s="5">
        <v>2.1833681089651527</v>
      </c>
      <c r="AF3704">
        <v>1</v>
      </c>
    </row>
    <row r="3705" spans="27:32" x14ac:dyDescent="0.3">
      <c r="AA3705" s="3">
        <v>6283.54</v>
      </c>
      <c r="AB3705">
        <v>1E-4</v>
      </c>
      <c r="AC3705">
        <v>8</v>
      </c>
      <c r="AD3705" s="5">
        <v>5.0000851699899602</v>
      </c>
      <c r="AE3705" s="5">
        <v>2.3390711520607383</v>
      </c>
      <c r="AF3705">
        <v>1</v>
      </c>
    </row>
    <row r="3706" spans="27:32" x14ac:dyDescent="0.3">
      <c r="AA3706" s="3">
        <v>-377.61</v>
      </c>
      <c r="AB3706">
        <v>1E-4</v>
      </c>
      <c r="AC3706">
        <v>9</v>
      </c>
      <c r="AD3706" s="5">
        <v>4.9969075548353397</v>
      </c>
      <c r="AE3706" s="5">
        <v>2.0953342626277514</v>
      </c>
      <c r="AF3706">
        <v>1</v>
      </c>
    </row>
    <row r="3707" spans="27:32" x14ac:dyDescent="0.3">
      <c r="AA3707" s="3">
        <v>23484.59</v>
      </c>
      <c r="AB3707">
        <v>1E-4</v>
      </c>
      <c r="AC3707">
        <v>8</v>
      </c>
      <c r="AD3707" s="5">
        <v>5.0480228077223233</v>
      </c>
      <c r="AE3707" s="5">
        <v>2.1414251925963654</v>
      </c>
      <c r="AF3707">
        <v>1</v>
      </c>
    </row>
    <row r="3708" spans="27:32" x14ac:dyDescent="0.3">
      <c r="AA3708" s="3">
        <v>5554.39</v>
      </c>
      <c r="AB3708">
        <v>1E-4</v>
      </c>
      <c r="AC3708">
        <v>8</v>
      </c>
      <c r="AD3708" s="5">
        <v>4.982592453393484</v>
      </c>
      <c r="AE3708" s="5">
        <v>2.2407665271796837</v>
      </c>
      <c r="AF3708">
        <v>1</v>
      </c>
    </row>
    <row r="3709" spans="27:32" x14ac:dyDescent="0.3">
      <c r="AA3709" s="3">
        <v>16518.62</v>
      </c>
      <c r="AB3709">
        <v>1E-4</v>
      </c>
      <c r="AC3709">
        <v>8</v>
      </c>
      <c r="AD3709" s="5">
        <v>4.9902842887509502</v>
      </c>
      <c r="AE3709" s="5">
        <v>2.1858863932628179</v>
      </c>
      <c r="AF3709">
        <v>1</v>
      </c>
    </row>
    <row r="3710" spans="27:32" x14ac:dyDescent="0.3">
      <c r="AA3710" s="3">
        <v>24144.3</v>
      </c>
      <c r="AB3710">
        <v>1E-4</v>
      </c>
      <c r="AC3710">
        <v>8</v>
      </c>
      <c r="AD3710" s="5">
        <v>5.0307387002734396</v>
      </c>
      <c r="AE3710" s="5">
        <v>2.1579177007208208</v>
      </c>
      <c r="AF3710">
        <v>1</v>
      </c>
    </row>
    <row r="3711" spans="27:32" x14ac:dyDescent="0.3">
      <c r="AA3711" s="3">
        <v>30369.07</v>
      </c>
      <c r="AB3711">
        <v>1E-4</v>
      </c>
      <c r="AC3711">
        <v>8</v>
      </c>
      <c r="AD3711" s="5">
        <v>5.0724876267230794</v>
      </c>
      <c r="AE3711" s="5">
        <v>2.2200014877079117</v>
      </c>
      <c r="AF3711">
        <v>1</v>
      </c>
    </row>
    <row r="3712" spans="27:32" x14ac:dyDescent="0.3">
      <c r="AA3712" s="3">
        <v>32153.52</v>
      </c>
      <c r="AB3712">
        <v>1E-4</v>
      </c>
      <c r="AC3712">
        <v>7</v>
      </c>
      <c r="AD3712" s="5">
        <v>5.1194647359852299</v>
      </c>
      <c r="AE3712" s="5">
        <v>2.1644227810950585</v>
      </c>
      <c r="AF3712">
        <v>1</v>
      </c>
    </row>
    <row r="3713" spans="27:32" x14ac:dyDescent="0.3">
      <c r="AA3713" s="3">
        <v>-194.14</v>
      </c>
      <c r="AB3713">
        <v>1E-4</v>
      </c>
      <c r="AC3713">
        <v>9</v>
      </c>
      <c r="AD3713" s="5">
        <v>4.9669989906460037</v>
      </c>
      <c r="AE3713" s="5">
        <v>2.2572955292662984</v>
      </c>
      <c r="AF3713">
        <v>1</v>
      </c>
    </row>
    <row r="3714" spans="27:32" x14ac:dyDescent="0.3">
      <c r="AA3714" s="3">
        <v>-1253.72</v>
      </c>
      <c r="AB3714">
        <v>1E-4</v>
      </c>
      <c r="AC3714">
        <v>9</v>
      </c>
      <c r="AD3714" s="5">
        <v>5.0594523642127154</v>
      </c>
      <c r="AE3714" s="5">
        <v>2.1712982945175572</v>
      </c>
      <c r="AF3714">
        <v>1</v>
      </c>
    </row>
    <row r="3715" spans="27:32" x14ac:dyDescent="0.3">
      <c r="AA3715" s="3">
        <v>10380.290000000001</v>
      </c>
      <c r="AB3715">
        <v>1E-4</v>
      </c>
      <c r="AC3715">
        <v>8</v>
      </c>
      <c r="AD3715" s="5">
        <v>4.7997399681678372</v>
      </c>
      <c r="AE3715" s="5">
        <v>2.1595429507737309</v>
      </c>
      <c r="AF3715">
        <v>1</v>
      </c>
    </row>
    <row r="3716" spans="27:32" x14ac:dyDescent="0.3">
      <c r="AA3716" s="3">
        <v>23708.34</v>
      </c>
      <c r="AB3716">
        <v>1E-4</v>
      </c>
      <c r="AC3716">
        <v>8</v>
      </c>
      <c r="AD3716" s="5">
        <v>5.0843432917391844</v>
      </c>
      <c r="AE3716" s="5">
        <v>2.2447465293615196</v>
      </c>
      <c r="AF3716">
        <v>1</v>
      </c>
    </row>
    <row r="3717" spans="27:32" x14ac:dyDescent="0.3">
      <c r="AA3717" s="3">
        <v>30940.720000000001</v>
      </c>
      <c r="AB3717">
        <v>1E-4</v>
      </c>
      <c r="AC3717">
        <v>7</v>
      </c>
      <c r="AD3717" s="5">
        <v>5.0136860068741109</v>
      </c>
      <c r="AE3717" s="5">
        <v>2.1325857987687518</v>
      </c>
      <c r="AF3717">
        <v>1</v>
      </c>
    </row>
    <row r="3718" spans="27:32" x14ac:dyDescent="0.3">
      <c r="AA3718" s="3">
        <v>30540.46</v>
      </c>
      <c r="AB3718">
        <v>1E-4</v>
      </c>
      <c r="AC3718">
        <v>8</v>
      </c>
      <c r="AD3718" s="5">
        <v>5.0804335550235118</v>
      </c>
      <c r="AE3718" s="5">
        <v>2.187487970759062</v>
      </c>
      <c r="AF3718">
        <v>1</v>
      </c>
    </row>
    <row r="3719" spans="27:32" x14ac:dyDescent="0.3">
      <c r="AA3719" s="3">
        <v>34442.699999999997</v>
      </c>
      <c r="AB3719">
        <v>1E-4</v>
      </c>
      <c r="AC3719">
        <v>7</v>
      </c>
      <c r="AD3719" s="5">
        <v>4.9789180991368704</v>
      </c>
      <c r="AE3719" s="5">
        <v>2.2110552903856822</v>
      </c>
      <c r="AF3719">
        <v>1</v>
      </c>
    </row>
    <row r="3720" spans="27:32" x14ac:dyDescent="0.3">
      <c r="AA3720" s="3">
        <v>13170.01</v>
      </c>
      <c r="AB3720">
        <v>1E-4</v>
      </c>
      <c r="AC3720">
        <v>8</v>
      </c>
      <c r="AD3720" s="5">
        <v>4.8823970753831771</v>
      </c>
      <c r="AE3720" s="5">
        <v>2.1649464980432533</v>
      </c>
      <c r="AF3720">
        <v>1</v>
      </c>
    </row>
    <row r="3721" spans="27:32" x14ac:dyDescent="0.3">
      <c r="AA3721" s="3">
        <v>-4269.26</v>
      </c>
      <c r="AB3721">
        <v>1E-4</v>
      </c>
      <c r="AC3721">
        <v>9</v>
      </c>
      <c r="AD3721" s="5">
        <v>4.8717283434280629</v>
      </c>
      <c r="AE3721" s="5">
        <v>2.1614801863195665</v>
      </c>
      <c r="AF3721">
        <v>1</v>
      </c>
    </row>
    <row r="3722" spans="27:32" x14ac:dyDescent="0.3">
      <c r="AA3722" s="3">
        <v>26691.23</v>
      </c>
      <c r="AB3722">
        <v>1E-4</v>
      </c>
      <c r="AC3722">
        <v>8</v>
      </c>
      <c r="AD3722" s="5">
        <v>5.0190899048048587</v>
      </c>
      <c r="AE3722" s="5">
        <v>2.1987906282616452</v>
      </c>
      <c r="AF3722">
        <v>1</v>
      </c>
    </row>
    <row r="3723" spans="27:32" x14ac:dyDescent="0.3">
      <c r="AA3723" s="3">
        <v>939.92</v>
      </c>
      <c r="AB3723">
        <v>1E-4</v>
      </c>
      <c r="AC3723">
        <v>8</v>
      </c>
      <c r="AD3723" s="5">
        <v>4.8715645246363399</v>
      </c>
      <c r="AE3723" s="5">
        <v>2.2137118898253054</v>
      </c>
      <c r="AF3723">
        <v>1</v>
      </c>
    </row>
    <row r="3724" spans="27:32" x14ac:dyDescent="0.3">
      <c r="AA3724" s="3">
        <v>-15342.09</v>
      </c>
      <c r="AB3724">
        <v>1E-4</v>
      </c>
      <c r="AC3724">
        <v>9</v>
      </c>
      <c r="AD3724" s="5">
        <v>4.8471267226258865</v>
      </c>
      <c r="AE3724" s="5">
        <v>2.2550980588273295</v>
      </c>
      <c r="AF3724">
        <v>1</v>
      </c>
    </row>
    <row r="3725" spans="27:32" x14ac:dyDescent="0.3">
      <c r="AA3725" s="3">
        <v>9003.0300000000007</v>
      </c>
      <c r="AB3725">
        <v>1E-4</v>
      </c>
      <c r="AC3725">
        <v>8</v>
      </c>
      <c r="AD3725" s="5">
        <v>5.0133654903391323</v>
      </c>
      <c r="AE3725" s="5">
        <v>2.2185424519335473</v>
      </c>
      <c r="AF3725">
        <v>1</v>
      </c>
    </row>
    <row r="3726" spans="27:32" x14ac:dyDescent="0.3">
      <c r="AA3726" s="3">
        <v>11537.95</v>
      </c>
      <c r="AB3726">
        <v>1E-4</v>
      </c>
      <c r="AC3726">
        <v>8</v>
      </c>
      <c r="AD3726" s="5">
        <v>5.0200985260022559</v>
      </c>
      <c r="AE3726" s="5">
        <v>2.2757700057364527</v>
      </c>
      <c r="AF3726">
        <v>1</v>
      </c>
    </row>
    <row r="3727" spans="27:32" x14ac:dyDescent="0.3">
      <c r="AA3727" s="3">
        <v>11460.17</v>
      </c>
      <c r="AB3727">
        <v>1E-4</v>
      </c>
      <c r="AC3727">
        <v>8</v>
      </c>
      <c r="AD3727" s="5">
        <v>5.0041228328364955</v>
      </c>
      <c r="AE3727" s="5">
        <v>2.2521338653385889</v>
      </c>
      <c r="AF3727">
        <v>1</v>
      </c>
    </row>
    <row r="3728" spans="27:32" x14ac:dyDescent="0.3">
      <c r="AA3728" s="3">
        <v>52059.83</v>
      </c>
      <c r="AB3728">
        <v>1E-4</v>
      </c>
      <c r="AC3728">
        <v>6</v>
      </c>
      <c r="AD3728" s="5">
        <v>4.9469847356591501</v>
      </c>
      <c r="AE3728" s="5">
        <v>2.0812131573114696</v>
      </c>
      <c r="AF3728">
        <v>1</v>
      </c>
    </row>
    <row r="3729" spans="27:32" x14ac:dyDescent="0.3">
      <c r="AA3729" s="3">
        <v>18701.97</v>
      </c>
      <c r="AB3729">
        <v>1E-4</v>
      </c>
      <c r="AC3729">
        <v>8</v>
      </c>
      <c r="AD3729" s="5">
        <v>4.9921882994727014</v>
      </c>
      <c r="AE3729" s="5">
        <v>2.1622015250705786</v>
      </c>
      <c r="AF3729">
        <v>1</v>
      </c>
    </row>
    <row r="3730" spans="27:32" x14ac:dyDescent="0.3">
      <c r="AA3730" s="3">
        <v>24571.07</v>
      </c>
      <c r="AB3730">
        <v>1E-4</v>
      </c>
      <c r="AC3730">
        <v>8</v>
      </c>
      <c r="AD3730" s="5">
        <v>4.9750793902030059</v>
      </c>
      <c r="AE3730" s="5">
        <v>2.1609645683753937</v>
      </c>
      <c r="AF3730">
        <v>1</v>
      </c>
    </row>
    <row r="3731" spans="27:32" x14ac:dyDescent="0.3">
      <c r="AA3731" s="3">
        <v>2256.16</v>
      </c>
      <c r="AB3731">
        <v>1E-4</v>
      </c>
      <c r="AC3731">
        <v>8</v>
      </c>
      <c r="AD3731" s="5">
        <v>5.0447994223283246</v>
      </c>
      <c r="AE3731" s="5">
        <v>2.1285674628264961</v>
      </c>
      <c r="AF3731">
        <v>1</v>
      </c>
    </row>
    <row r="3732" spans="27:32" x14ac:dyDescent="0.3">
      <c r="AA3732" s="3">
        <v>10858.17</v>
      </c>
      <c r="AB3732">
        <v>1E-4</v>
      </c>
      <c r="AC3732">
        <v>8</v>
      </c>
      <c r="AD3732" s="5">
        <v>4.9202572886438469</v>
      </c>
      <c r="AE3732" s="5">
        <v>2.1329431822307856</v>
      </c>
      <c r="AF3732">
        <v>1</v>
      </c>
    </row>
    <row r="3733" spans="27:32" x14ac:dyDescent="0.3">
      <c r="AA3733" s="3">
        <v>18901.37</v>
      </c>
      <c r="AB3733">
        <v>1E-4</v>
      </c>
      <c r="AC3733">
        <v>8</v>
      </c>
      <c r="AD3733" s="5">
        <v>4.991070494473111</v>
      </c>
      <c r="AE3733" s="5">
        <v>2.2383006294311487</v>
      </c>
      <c r="AF3733">
        <v>1</v>
      </c>
    </row>
    <row r="3734" spans="27:32" x14ac:dyDescent="0.3">
      <c r="AA3734" s="3">
        <v>3890.51</v>
      </c>
      <c r="AB3734">
        <v>1E-4</v>
      </c>
      <c r="AC3734">
        <v>8</v>
      </c>
      <c r="AD3734" s="5">
        <v>4.9343924120254945</v>
      </c>
      <c r="AE3734" s="5">
        <v>2.2225821699313282</v>
      </c>
      <c r="AF3734">
        <v>1</v>
      </c>
    </row>
    <row r="3735" spans="27:32" x14ac:dyDescent="0.3">
      <c r="AA3735" s="3">
        <v>26888.04</v>
      </c>
      <c r="AB3735">
        <v>1E-4</v>
      </c>
      <c r="AC3735">
        <v>8</v>
      </c>
      <c r="AD3735" s="5">
        <v>5.0235824466107086</v>
      </c>
      <c r="AE3735" s="5">
        <v>2.2244298823068678</v>
      </c>
      <c r="AF3735">
        <v>1</v>
      </c>
    </row>
    <row r="3736" spans="27:32" x14ac:dyDescent="0.3">
      <c r="AA3736" s="3">
        <v>16862.849999999999</v>
      </c>
      <c r="AB3736">
        <v>1E-4</v>
      </c>
      <c r="AC3736">
        <v>8</v>
      </c>
      <c r="AD3736" s="5">
        <v>5.1167877633341128</v>
      </c>
      <c r="AE3736" s="5">
        <v>2.141236395926458</v>
      </c>
      <c r="AF3736">
        <v>1</v>
      </c>
    </row>
    <row r="3737" spans="27:32" x14ac:dyDescent="0.3">
      <c r="AA3737" s="3">
        <v>22795.56</v>
      </c>
      <c r="AB3737">
        <v>1E-4</v>
      </c>
      <c r="AC3737">
        <v>8</v>
      </c>
      <c r="AD3737" s="5">
        <v>5.0596021960144979</v>
      </c>
      <c r="AE3737" s="5">
        <v>2.247168362412856</v>
      </c>
      <c r="AF3737">
        <v>1</v>
      </c>
    </row>
    <row r="3738" spans="27:32" x14ac:dyDescent="0.3">
      <c r="AA3738" s="3">
        <v>13246.81</v>
      </c>
      <c r="AB3738">
        <v>1E-4</v>
      </c>
      <c r="AC3738">
        <v>8</v>
      </c>
      <c r="AD3738" s="5">
        <v>4.8874300799984196</v>
      </c>
      <c r="AE3738" s="5">
        <v>2.2245399638197152</v>
      </c>
      <c r="AF3738">
        <v>1</v>
      </c>
    </row>
    <row r="3739" spans="27:32" x14ac:dyDescent="0.3">
      <c r="AA3739" s="3">
        <v>23408.91</v>
      </c>
      <c r="AB3739">
        <v>1E-4</v>
      </c>
      <c r="AC3739">
        <v>8</v>
      </c>
      <c r="AD3739" s="5">
        <v>5.0314939561223149</v>
      </c>
      <c r="AE3739" s="5">
        <v>2.2319655710215125</v>
      </c>
      <c r="AF3739">
        <v>1</v>
      </c>
    </row>
    <row r="3740" spans="27:32" x14ac:dyDescent="0.3">
      <c r="AA3740" s="3">
        <v>13460</v>
      </c>
      <c r="AB3740">
        <v>1E-4</v>
      </c>
      <c r="AC3740">
        <v>8</v>
      </c>
      <c r="AD3740" s="5">
        <v>4.9107514696571828</v>
      </c>
      <c r="AE3740" s="5">
        <v>2.2062249948877457</v>
      </c>
      <c r="AF3740">
        <v>1</v>
      </c>
    </row>
    <row r="3741" spans="27:32" x14ac:dyDescent="0.3">
      <c r="AA3741" s="3">
        <v>11993.29</v>
      </c>
      <c r="AB3741">
        <v>1E-4</v>
      </c>
      <c r="AC3741">
        <v>8</v>
      </c>
      <c r="AD3741" s="5">
        <v>5.0349027400841813</v>
      </c>
      <c r="AE3741" s="5">
        <v>2.1310486216508933</v>
      </c>
      <c r="AF3741">
        <v>1</v>
      </c>
    </row>
    <row r="3742" spans="27:32" x14ac:dyDescent="0.3">
      <c r="AA3742" s="3">
        <v>26007.25</v>
      </c>
      <c r="AB3742">
        <v>1E-4</v>
      </c>
      <c r="AC3742">
        <v>8</v>
      </c>
      <c r="AD3742" s="5">
        <v>4.892206913807728</v>
      </c>
      <c r="AE3742" s="5">
        <v>2.1863397438951795</v>
      </c>
      <c r="AF3742">
        <v>1</v>
      </c>
    </row>
    <row r="3743" spans="27:32" x14ac:dyDescent="0.3">
      <c r="AA3743" s="3">
        <v>10172.15</v>
      </c>
      <c r="AB3743">
        <v>1E-4</v>
      </c>
      <c r="AC3743">
        <v>8</v>
      </c>
      <c r="AD3743" s="5">
        <v>5.0831299593235748</v>
      </c>
      <c r="AE3743" s="5">
        <v>2.1731035131426175</v>
      </c>
      <c r="AF3743">
        <v>1</v>
      </c>
    </row>
    <row r="3744" spans="27:32" x14ac:dyDescent="0.3">
      <c r="AA3744" s="3">
        <v>5957.07</v>
      </c>
      <c r="AB3744">
        <v>1E-4</v>
      </c>
      <c r="AC3744">
        <v>8</v>
      </c>
      <c r="AD3744" s="5">
        <v>5.0363617145014015</v>
      </c>
      <c r="AE3744" s="5">
        <v>2.1863610882091149</v>
      </c>
      <c r="AF3744">
        <v>1</v>
      </c>
    </row>
    <row r="3745" spans="27:32" x14ac:dyDescent="0.3">
      <c r="AA3745" s="3">
        <v>-10267.156837841094</v>
      </c>
      <c r="AB3745">
        <v>1E-4</v>
      </c>
      <c r="AC3745">
        <v>8</v>
      </c>
      <c r="AD3745" s="5">
        <v>5.0992157092887123</v>
      </c>
      <c r="AE3745" s="5">
        <v>2.2194792391185594</v>
      </c>
      <c r="AF3745">
        <v>0</v>
      </c>
    </row>
    <row r="3746" spans="27:32" x14ac:dyDescent="0.3">
      <c r="AA3746" s="3">
        <v>32961.279999999999</v>
      </c>
      <c r="AB3746">
        <v>1E-4</v>
      </c>
      <c r="AC3746">
        <v>7</v>
      </c>
      <c r="AD3746" s="5">
        <v>4.9810720214199504</v>
      </c>
      <c r="AE3746" s="5">
        <v>2.1799179130772863</v>
      </c>
      <c r="AF3746">
        <v>1</v>
      </c>
    </row>
    <row r="3747" spans="27:32" x14ac:dyDescent="0.3">
      <c r="AA3747" s="3">
        <v>-22251.06</v>
      </c>
      <c r="AB3747">
        <v>1E-4</v>
      </c>
      <c r="AC3747">
        <v>9</v>
      </c>
      <c r="AD3747" s="5">
        <v>4.9941932098244717</v>
      </c>
      <c r="AE3747" s="5">
        <v>2.2694299549089649</v>
      </c>
      <c r="AF3747">
        <v>1</v>
      </c>
    </row>
    <row r="3748" spans="27:32" x14ac:dyDescent="0.3">
      <c r="AA3748" s="3">
        <v>17591.39</v>
      </c>
      <c r="AB3748">
        <v>1E-4</v>
      </c>
      <c r="AC3748">
        <v>8</v>
      </c>
      <c r="AD3748" s="5">
        <v>4.9173296650181113</v>
      </c>
      <c r="AE3748" s="5">
        <v>2.2091965686221449</v>
      </c>
      <c r="AF3748">
        <v>1</v>
      </c>
    </row>
    <row r="3749" spans="27:32" x14ac:dyDescent="0.3">
      <c r="AA3749" s="3">
        <v>40794.6</v>
      </c>
      <c r="AB3749">
        <v>1E-4</v>
      </c>
      <c r="AC3749">
        <v>7</v>
      </c>
      <c r="AD3749" s="5">
        <v>5.0746450698116128</v>
      </c>
      <c r="AE3749" s="5">
        <v>2.1939030180454742</v>
      </c>
      <c r="AF3749">
        <v>1</v>
      </c>
    </row>
    <row r="3750" spans="27:32" x14ac:dyDescent="0.3">
      <c r="AA3750" s="3">
        <v>38436.019999999997</v>
      </c>
      <c r="AB3750">
        <v>1E-4</v>
      </c>
      <c r="AC3750">
        <v>7</v>
      </c>
      <c r="AD3750" s="5">
        <v>5.1277950858637125</v>
      </c>
      <c r="AE3750" s="5">
        <v>2.2647034585554802</v>
      </c>
      <c r="AF3750">
        <v>1</v>
      </c>
    </row>
    <row r="3751" spans="27:32" x14ac:dyDescent="0.3">
      <c r="AA3751" s="3">
        <v>25449.54</v>
      </c>
      <c r="AB3751">
        <v>1E-4</v>
      </c>
      <c r="AC3751">
        <v>8</v>
      </c>
      <c r="AD3751" s="5">
        <v>4.9882393059152035</v>
      </c>
      <c r="AE3751" s="5">
        <v>2.1582354685555249</v>
      </c>
      <c r="AF3751">
        <v>1</v>
      </c>
    </row>
    <row r="3752" spans="27:32" x14ac:dyDescent="0.3">
      <c r="AA3752" s="3">
        <v>-23052.39</v>
      </c>
      <c r="AB3752">
        <v>1E-4</v>
      </c>
      <c r="AC3752">
        <v>9</v>
      </c>
      <c r="AD3752" s="5">
        <v>5.0281707909047695</v>
      </c>
      <c r="AE3752" s="5">
        <v>2.2807993150352819</v>
      </c>
      <c r="AF3752">
        <v>1</v>
      </c>
    </row>
    <row r="3753" spans="27:32" x14ac:dyDescent="0.3">
      <c r="AA3753" s="3">
        <v>-3240.97</v>
      </c>
      <c r="AB3753">
        <v>1E-4</v>
      </c>
      <c r="AC3753">
        <v>9</v>
      </c>
      <c r="AD3753" s="5">
        <v>4.9869011152924392</v>
      </c>
      <c r="AE3753" s="5">
        <v>2.1445467382048102</v>
      </c>
      <c r="AF3753">
        <v>1</v>
      </c>
    </row>
    <row r="3754" spans="27:32" x14ac:dyDescent="0.3">
      <c r="AA3754" s="3">
        <v>28934.05</v>
      </c>
      <c r="AB3754">
        <v>1E-4</v>
      </c>
      <c r="AC3754">
        <v>8</v>
      </c>
      <c r="AD3754" s="5">
        <v>4.9454863955135933</v>
      </c>
      <c r="AE3754" s="5">
        <v>2.2371446996087028</v>
      </c>
      <c r="AF3754">
        <v>1</v>
      </c>
    </row>
    <row r="3755" spans="27:32" x14ac:dyDescent="0.3">
      <c r="AA3755" s="3">
        <v>36808.93</v>
      </c>
      <c r="AB3755">
        <v>1E-4</v>
      </c>
      <c r="AC3755">
        <v>7</v>
      </c>
      <c r="AD3755" s="5">
        <v>5.0282932851191298</v>
      </c>
      <c r="AE3755" s="5">
        <v>2.1622938180838802</v>
      </c>
      <c r="AF3755">
        <v>1</v>
      </c>
    </row>
    <row r="3756" spans="27:32" x14ac:dyDescent="0.3">
      <c r="AA3756" s="3">
        <v>17817.28</v>
      </c>
      <c r="AB3756">
        <v>1E-4</v>
      </c>
      <c r="AC3756">
        <v>8</v>
      </c>
      <c r="AD3756" s="5">
        <v>5.007810204929604</v>
      </c>
      <c r="AE3756" s="5">
        <v>2.1282937717250627</v>
      </c>
      <c r="AF3756">
        <v>1</v>
      </c>
    </row>
    <row r="3757" spans="27:32" x14ac:dyDescent="0.3">
      <c r="AA3757" s="3">
        <v>3115.05</v>
      </c>
      <c r="AB3757">
        <v>1E-4</v>
      </c>
      <c r="AC3757">
        <v>8</v>
      </c>
      <c r="AD3757" s="5">
        <v>4.9811830991855528</v>
      </c>
      <c r="AE3757" s="5">
        <v>2.293795057356868</v>
      </c>
      <c r="AF3757">
        <v>1</v>
      </c>
    </row>
    <row r="3758" spans="27:32" x14ac:dyDescent="0.3">
      <c r="AA3758" s="3">
        <v>26615.27</v>
      </c>
      <c r="AB3758">
        <v>1E-4</v>
      </c>
      <c r="AC3758">
        <v>8</v>
      </c>
      <c r="AD3758" s="5">
        <v>5.0039225348813474</v>
      </c>
      <c r="AE3758" s="5">
        <v>2.192707865386692</v>
      </c>
      <c r="AF3758">
        <v>1</v>
      </c>
    </row>
    <row r="3759" spans="27:32" x14ac:dyDescent="0.3">
      <c r="AA3759" s="3">
        <v>-21204.98</v>
      </c>
      <c r="AB3759">
        <v>1E-4</v>
      </c>
      <c r="AC3759">
        <v>9</v>
      </c>
      <c r="AD3759" s="5">
        <v>4.9948303381868584</v>
      </c>
      <c r="AE3759" s="5">
        <v>2.2233493836523932</v>
      </c>
      <c r="AF3759">
        <v>1</v>
      </c>
    </row>
    <row r="3760" spans="27:32" x14ac:dyDescent="0.3">
      <c r="AA3760" s="3">
        <v>34702.06</v>
      </c>
      <c r="AB3760">
        <v>1E-4</v>
      </c>
      <c r="AC3760">
        <v>7</v>
      </c>
      <c r="AD3760" s="5">
        <v>5.1338774342424154</v>
      </c>
      <c r="AE3760" s="5">
        <v>2.1954912673626272</v>
      </c>
      <c r="AF3760">
        <v>1</v>
      </c>
    </row>
    <row r="3761" spans="27:32" x14ac:dyDescent="0.3">
      <c r="AA3761" s="3">
        <v>34009.839999999997</v>
      </c>
      <c r="AB3761">
        <v>1E-4</v>
      </c>
      <c r="AC3761">
        <v>7</v>
      </c>
      <c r="AD3761" s="5">
        <v>4.980249605351414</v>
      </c>
      <c r="AE3761" s="5">
        <v>2.1699741883147472</v>
      </c>
      <c r="AF3761">
        <v>1</v>
      </c>
    </row>
    <row r="3762" spans="27:32" x14ac:dyDescent="0.3">
      <c r="AA3762" s="3">
        <v>-3820.13</v>
      </c>
      <c r="AB3762">
        <v>1E-4</v>
      </c>
      <c r="AC3762">
        <v>9</v>
      </c>
      <c r="AD3762" s="5">
        <v>5.16510210406254</v>
      </c>
      <c r="AE3762" s="5">
        <v>2.0716616375711978</v>
      </c>
      <c r="AF3762">
        <v>1</v>
      </c>
    </row>
    <row r="3763" spans="27:32" x14ac:dyDescent="0.3">
      <c r="AA3763" s="3">
        <v>18571.47</v>
      </c>
      <c r="AB3763">
        <v>1E-4</v>
      </c>
      <c r="AC3763">
        <v>8</v>
      </c>
      <c r="AD3763" s="5">
        <v>4.9916498427632066</v>
      </c>
      <c r="AE3763" s="5">
        <v>2.1508322450034894</v>
      </c>
      <c r="AF3763">
        <v>1</v>
      </c>
    </row>
    <row r="3764" spans="27:32" x14ac:dyDescent="0.3">
      <c r="AA3764" s="3">
        <v>22377.07</v>
      </c>
      <c r="AB3764">
        <v>1E-4</v>
      </c>
      <c r="AC3764">
        <v>8</v>
      </c>
      <c r="AD3764" s="5">
        <v>5.1503280124721655</v>
      </c>
      <c r="AE3764" s="5">
        <v>2.1611088119732016</v>
      </c>
      <c r="AF3764">
        <v>1</v>
      </c>
    </row>
    <row r="3765" spans="27:32" x14ac:dyDescent="0.3">
      <c r="AA3765" s="3">
        <v>-1669.35</v>
      </c>
      <c r="AB3765">
        <v>1E-4</v>
      </c>
      <c r="AC3765">
        <v>9</v>
      </c>
      <c r="AD3765" s="5">
        <v>5.0073336368233274</v>
      </c>
      <c r="AE3765" s="5">
        <v>2.2041204817910631</v>
      </c>
      <c r="AF3765">
        <v>1</v>
      </c>
    </row>
    <row r="3766" spans="27:32" x14ac:dyDescent="0.3">
      <c r="AA3766" s="3">
        <v>19492.7</v>
      </c>
      <c r="AB3766">
        <v>1E-4</v>
      </c>
      <c r="AC3766">
        <v>8</v>
      </c>
      <c r="AD3766" s="5">
        <v>4.8612460304561802</v>
      </c>
      <c r="AE3766" s="5">
        <v>2.142413338466056</v>
      </c>
      <c r="AF3766">
        <v>1</v>
      </c>
    </row>
    <row r="3767" spans="27:32" x14ac:dyDescent="0.3">
      <c r="AA3767" s="3">
        <v>16897.849999999999</v>
      </c>
      <c r="AB3767">
        <v>1E-4</v>
      </c>
      <c r="AC3767">
        <v>8</v>
      </c>
      <c r="AD3767" s="5">
        <v>4.947503688641655</v>
      </c>
      <c r="AE3767" s="5">
        <v>2.1582910783767444</v>
      </c>
      <c r="AF3767">
        <v>1</v>
      </c>
    </row>
    <row r="3768" spans="27:32" x14ac:dyDescent="0.3">
      <c r="AA3768" s="3">
        <v>-23113.37</v>
      </c>
      <c r="AB3768">
        <v>1E-4</v>
      </c>
      <c r="AC3768">
        <v>9</v>
      </c>
      <c r="AD3768" s="5">
        <v>4.8920325998097347</v>
      </c>
      <c r="AE3768" s="5">
        <v>2.1559355386550614</v>
      </c>
      <c r="AF3768">
        <v>1</v>
      </c>
    </row>
    <row r="3769" spans="27:32" x14ac:dyDescent="0.3">
      <c r="AA3769" s="3">
        <v>20874.22</v>
      </c>
      <c r="AB3769">
        <v>1E-4</v>
      </c>
      <c r="AC3769">
        <v>8</v>
      </c>
      <c r="AD3769" s="5">
        <v>5.1127335860155769</v>
      </c>
      <c r="AE3769" s="5">
        <v>2.2116575732141546</v>
      </c>
      <c r="AF3769">
        <v>1</v>
      </c>
    </row>
    <row r="3770" spans="27:32" x14ac:dyDescent="0.3">
      <c r="AA3770" s="3">
        <v>-13936.78</v>
      </c>
      <c r="AB3770">
        <v>1E-4</v>
      </c>
      <c r="AC3770">
        <v>9</v>
      </c>
      <c r="AD3770" s="5">
        <v>5.0530007692665295</v>
      </c>
      <c r="AE3770" s="5">
        <v>2.1968445032004817</v>
      </c>
      <c r="AF3770">
        <v>1</v>
      </c>
    </row>
    <row r="3771" spans="27:32" x14ac:dyDescent="0.3">
      <c r="AA3771" s="3">
        <v>23696.41</v>
      </c>
      <c r="AB3771">
        <v>1E-4</v>
      </c>
      <c r="AC3771">
        <v>8</v>
      </c>
      <c r="AD3771" s="5">
        <v>5.0628406771536163</v>
      </c>
      <c r="AE3771" s="5">
        <v>2.2093390996426758</v>
      </c>
      <c r="AF3771">
        <v>1</v>
      </c>
    </row>
    <row r="3772" spans="27:32" x14ac:dyDescent="0.3">
      <c r="AA3772" s="3">
        <v>14595.36</v>
      </c>
      <c r="AB3772">
        <v>1E-4</v>
      </c>
      <c r="AC3772">
        <v>8</v>
      </c>
      <c r="AD3772" s="5">
        <v>5.015728508926613</v>
      </c>
      <c r="AE3772" s="5">
        <v>2.2169873927040995</v>
      </c>
      <c r="AF3772">
        <v>1</v>
      </c>
    </row>
    <row r="3773" spans="27:32" x14ac:dyDescent="0.3">
      <c r="AA3773" s="3">
        <v>-6683.62</v>
      </c>
      <c r="AB3773">
        <v>1E-4</v>
      </c>
      <c r="AC3773">
        <v>9</v>
      </c>
      <c r="AD3773" s="5">
        <v>4.8476539945087556</v>
      </c>
      <c r="AE3773" s="5">
        <v>2.2461550540303299</v>
      </c>
      <c r="AF3773">
        <v>1</v>
      </c>
    </row>
    <row r="3774" spans="27:32" x14ac:dyDescent="0.3">
      <c r="AA3774" s="3">
        <v>33662.620000000003</v>
      </c>
      <c r="AB3774">
        <v>1E-4</v>
      </c>
      <c r="AC3774">
        <v>7</v>
      </c>
      <c r="AD3774" s="5">
        <v>5.0666604421808925</v>
      </c>
      <c r="AE3774" s="5">
        <v>2.2838317593879585</v>
      </c>
      <c r="AF3774">
        <v>1</v>
      </c>
    </row>
    <row r="3775" spans="27:32" x14ac:dyDescent="0.3">
      <c r="AA3775" s="3">
        <v>37740.639999999999</v>
      </c>
      <c r="AB3775">
        <v>1E-4</v>
      </c>
      <c r="AC3775">
        <v>7</v>
      </c>
      <c r="AD3775" s="5">
        <v>5.0184240842676147</v>
      </c>
      <c r="AE3775" s="5">
        <v>2.2469165879331769</v>
      </c>
      <c r="AF3775">
        <v>1</v>
      </c>
    </row>
    <row r="3776" spans="27:32" x14ac:dyDescent="0.3">
      <c r="AA3776" s="3">
        <v>26401.14</v>
      </c>
      <c r="AB3776">
        <v>1E-4</v>
      </c>
      <c r="AC3776">
        <v>8</v>
      </c>
      <c r="AD3776" s="5">
        <v>5.0267055309564981</v>
      </c>
      <c r="AE3776" s="5">
        <v>2.2109179979018605</v>
      </c>
      <c r="AF3776">
        <v>1</v>
      </c>
    </row>
    <row r="3777" spans="27:32" x14ac:dyDescent="0.3">
      <c r="AA3777" s="3">
        <v>21007.7</v>
      </c>
      <c r="AB3777">
        <v>1E-4</v>
      </c>
      <c r="AC3777">
        <v>8</v>
      </c>
      <c r="AD3777" s="5">
        <v>4.9762231590254302</v>
      </c>
      <c r="AE3777" s="5">
        <v>2.2239031093950659</v>
      </c>
      <c r="AF3777">
        <v>1</v>
      </c>
    </row>
    <row r="3778" spans="27:32" x14ac:dyDescent="0.3">
      <c r="AA3778" s="3">
        <v>2986.02</v>
      </c>
      <c r="AB3778">
        <v>1E-4</v>
      </c>
      <c r="AC3778">
        <v>8</v>
      </c>
      <c r="AD3778" s="5">
        <v>5.073216577752115</v>
      </c>
      <c r="AE3778" s="5">
        <v>2.1742241182055571</v>
      </c>
      <c r="AF3778">
        <v>1</v>
      </c>
    </row>
    <row r="3779" spans="27:32" x14ac:dyDescent="0.3">
      <c r="AA3779" s="3">
        <v>2316.79</v>
      </c>
      <c r="AB3779">
        <v>1E-4</v>
      </c>
      <c r="AC3779">
        <v>8</v>
      </c>
      <c r="AD3779" s="5">
        <v>5.1715203766370488</v>
      </c>
      <c r="AE3779" s="5">
        <v>2.2152730995377339</v>
      </c>
      <c r="AF3779">
        <v>1</v>
      </c>
    </row>
    <row r="3780" spans="27:32" x14ac:dyDescent="0.3">
      <c r="AA3780" s="3">
        <v>-8799.2000000000007</v>
      </c>
      <c r="AB3780">
        <v>1E-4</v>
      </c>
      <c r="AC3780">
        <v>9</v>
      </c>
      <c r="AD3780" s="5">
        <v>4.9526033046913831</v>
      </c>
      <c r="AE3780" s="5">
        <v>2.2003034319533699</v>
      </c>
      <c r="AF3780">
        <v>1</v>
      </c>
    </row>
    <row r="3781" spans="27:32" x14ac:dyDescent="0.3">
      <c r="AA3781" s="3">
        <v>37209.24</v>
      </c>
      <c r="AB3781">
        <v>1E-4</v>
      </c>
      <c r="AC3781">
        <v>7</v>
      </c>
      <c r="AD3781" s="5">
        <v>5.042162542518926</v>
      </c>
      <c r="AE3781" s="5">
        <v>2.2026278922018716</v>
      </c>
      <c r="AF3781">
        <v>1</v>
      </c>
    </row>
    <row r="3782" spans="27:32" x14ac:dyDescent="0.3">
      <c r="AA3782" s="3">
        <v>17003.34</v>
      </c>
      <c r="AB3782">
        <v>1E-4</v>
      </c>
      <c r="AC3782">
        <v>8</v>
      </c>
      <c r="AD3782" s="5">
        <v>4.9883725465368478</v>
      </c>
      <c r="AE3782" s="5">
        <v>2.1857067623543225</v>
      </c>
      <c r="AF3782">
        <v>1</v>
      </c>
    </row>
    <row r="3783" spans="27:32" x14ac:dyDescent="0.3">
      <c r="AA3783" s="3">
        <v>-10184.58</v>
      </c>
      <c r="AB3783">
        <v>1E-4</v>
      </c>
      <c r="AC3783">
        <v>9</v>
      </c>
      <c r="AD3783" s="5">
        <v>4.8413784855011359</v>
      </c>
      <c r="AE3783" s="5">
        <v>2.1913253835169613</v>
      </c>
      <c r="AF3783">
        <v>1</v>
      </c>
    </row>
    <row r="3784" spans="27:32" x14ac:dyDescent="0.3">
      <c r="AA3784" s="3">
        <v>15507.16</v>
      </c>
      <c r="AB3784">
        <v>1E-4</v>
      </c>
      <c r="AC3784">
        <v>8</v>
      </c>
      <c r="AD3784" s="5">
        <v>4.8883666658848952</v>
      </c>
      <c r="AE3784" s="5">
        <v>2.1632364068968766</v>
      </c>
      <c r="AF3784">
        <v>1</v>
      </c>
    </row>
    <row r="3785" spans="27:32" x14ac:dyDescent="0.3">
      <c r="AA3785" s="3">
        <v>7498.46</v>
      </c>
      <c r="AB3785">
        <v>1E-4</v>
      </c>
      <c r="AC3785">
        <v>8</v>
      </c>
      <c r="AD3785" s="5">
        <v>5.0746691900385947</v>
      </c>
      <c r="AE3785" s="5">
        <v>2.2800316605004003</v>
      </c>
      <c r="AF3785">
        <v>1</v>
      </c>
    </row>
    <row r="3786" spans="27:32" x14ac:dyDescent="0.3">
      <c r="AA3786" s="3">
        <v>6711.56</v>
      </c>
      <c r="AB3786">
        <v>1E-4</v>
      </c>
      <c r="AC3786">
        <v>8</v>
      </c>
      <c r="AD3786" s="5">
        <v>4.960746033537121</v>
      </c>
      <c r="AE3786" s="5">
        <v>2.1783890709060327</v>
      </c>
      <c r="AF3786">
        <v>1</v>
      </c>
    </row>
    <row r="3787" spans="27:32" x14ac:dyDescent="0.3">
      <c r="AA3787" s="3">
        <v>31362.38</v>
      </c>
      <c r="AB3787">
        <v>1E-4</v>
      </c>
      <c r="AC3787">
        <v>7</v>
      </c>
      <c r="AD3787" s="5">
        <v>4.7026538512673799</v>
      </c>
      <c r="AE3787" s="5">
        <v>2.1173299333089086</v>
      </c>
      <c r="AF3787">
        <v>1</v>
      </c>
    </row>
    <row r="3788" spans="27:32" x14ac:dyDescent="0.3">
      <c r="AA3788" s="3">
        <v>11772.16</v>
      </c>
      <c r="AB3788">
        <v>1E-4</v>
      </c>
      <c r="AC3788">
        <v>8</v>
      </c>
      <c r="AD3788" s="5">
        <v>4.9340133578532201</v>
      </c>
      <c r="AE3788" s="5">
        <v>2.1265625913475383</v>
      </c>
      <c r="AF3788">
        <v>1</v>
      </c>
    </row>
    <row r="3789" spans="27:32" x14ac:dyDescent="0.3">
      <c r="AA3789" s="3">
        <v>13443.11</v>
      </c>
      <c r="AB3789">
        <v>1E-4</v>
      </c>
      <c r="AC3789">
        <v>8</v>
      </c>
      <c r="AD3789" s="5">
        <v>5.0142016972876986</v>
      </c>
      <c r="AE3789" s="5">
        <v>2.1901586423790262</v>
      </c>
      <c r="AF3789">
        <v>1</v>
      </c>
    </row>
    <row r="3790" spans="27:32" x14ac:dyDescent="0.3">
      <c r="AA3790" s="3">
        <v>31523.91</v>
      </c>
      <c r="AB3790">
        <v>1E-4</v>
      </c>
      <c r="AC3790">
        <v>8</v>
      </c>
      <c r="AD3790" s="5">
        <v>5.2371032398677233</v>
      </c>
      <c r="AE3790" s="5">
        <v>2.1593749347716251</v>
      </c>
      <c r="AF3790">
        <v>1</v>
      </c>
    </row>
    <row r="3791" spans="27:32" x14ac:dyDescent="0.3">
      <c r="AA3791" s="3">
        <v>8394.39</v>
      </c>
      <c r="AB3791">
        <v>1E-4</v>
      </c>
      <c r="AC3791">
        <v>8</v>
      </c>
      <c r="AD3791" s="5">
        <v>4.9676528743171442</v>
      </c>
      <c r="AE3791" s="5">
        <v>2.1323493633221577</v>
      </c>
      <c r="AF3791">
        <v>1</v>
      </c>
    </row>
    <row r="3792" spans="27:32" x14ac:dyDescent="0.3">
      <c r="AA3792" s="3">
        <v>29513.35</v>
      </c>
      <c r="AB3792">
        <v>1E-4</v>
      </c>
      <c r="AC3792">
        <v>8</v>
      </c>
      <c r="AD3792" s="5">
        <v>5.1758164641560143</v>
      </c>
      <c r="AE3792" s="5">
        <v>2.2828127241719463</v>
      </c>
      <c r="AF3792">
        <v>1</v>
      </c>
    </row>
    <row r="3793" spans="27:32" x14ac:dyDescent="0.3">
      <c r="AA3793" s="3">
        <v>-11026.17</v>
      </c>
      <c r="AB3793">
        <v>1E-4</v>
      </c>
      <c r="AC3793">
        <v>9</v>
      </c>
      <c r="AD3793" s="5">
        <v>5.0554865357092611</v>
      </c>
      <c r="AE3793" s="5">
        <v>2.251186108911138</v>
      </c>
      <c r="AF3793">
        <v>1</v>
      </c>
    </row>
    <row r="3794" spans="27:32" x14ac:dyDescent="0.3">
      <c r="AA3794" s="3">
        <v>-2319.5100000000002</v>
      </c>
      <c r="AB3794">
        <v>1E-4</v>
      </c>
      <c r="AC3794">
        <v>9</v>
      </c>
      <c r="AD3794" s="5">
        <v>4.9880681059976748</v>
      </c>
      <c r="AE3794" s="5">
        <v>2.2166482292009762</v>
      </c>
      <c r="AF3794">
        <v>1</v>
      </c>
    </row>
    <row r="3795" spans="27:32" x14ac:dyDescent="0.3">
      <c r="AA3795" s="3">
        <v>8890.16</v>
      </c>
      <c r="AB3795">
        <v>1E-4</v>
      </c>
      <c r="AC3795">
        <v>8</v>
      </c>
      <c r="AD3795" s="5">
        <v>4.9405607731714261</v>
      </c>
      <c r="AE3795" s="5">
        <v>2.1644515518274825</v>
      </c>
      <c r="AF3795">
        <v>1</v>
      </c>
    </row>
    <row r="3796" spans="27:32" x14ac:dyDescent="0.3">
      <c r="AA3796" s="3">
        <v>16602.16</v>
      </c>
      <c r="AB3796">
        <v>1E-4</v>
      </c>
      <c r="AC3796">
        <v>8</v>
      </c>
      <c r="AD3796" s="5">
        <v>5.1121697426223882</v>
      </c>
      <c r="AE3796" s="5">
        <v>2.2472563934780045</v>
      </c>
      <c r="AF3796">
        <v>1</v>
      </c>
    </row>
    <row r="3797" spans="27:32" x14ac:dyDescent="0.3">
      <c r="AA3797" s="3">
        <v>25022.94</v>
      </c>
      <c r="AB3797">
        <v>1E-4</v>
      </c>
      <c r="AC3797">
        <v>8</v>
      </c>
      <c r="AD3797" s="5">
        <v>5.3530247021946566</v>
      </c>
      <c r="AE3797" s="5">
        <v>2.2274890559145271</v>
      </c>
      <c r="AF3797">
        <v>1</v>
      </c>
    </row>
    <row r="3798" spans="27:32" x14ac:dyDescent="0.3">
      <c r="AA3798" s="3">
        <v>24577.07</v>
      </c>
      <c r="AB3798">
        <v>1E-4</v>
      </c>
      <c r="AC3798">
        <v>8</v>
      </c>
      <c r="AD3798" s="5">
        <v>5.0586189481727466</v>
      </c>
      <c r="AE3798" s="5">
        <v>2.1758936224958916</v>
      </c>
      <c r="AF3798">
        <v>1</v>
      </c>
    </row>
    <row r="3799" spans="27:32" x14ac:dyDescent="0.3">
      <c r="AA3799" s="3">
        <v>-12132.64</v>
      </c>
      <c r="AB3799">
        <v>1E-4</v>
      </c>
      <c r="AC3799">
        <v>9</v>
      </c>
      <c r="AD3799" s="5">
        <v>4.9610439529588337</v>
      </c>
      <c r="AE3799" s="5">
        <v>2.2486014601530004</v>
      </c>
      <c r="AF3799">
        <v>1</v>
      </c>
    </row>
    <row r="3800" spans="27:32" x14ac:dyDescent="0.3">
      <c r="AA3800" s="3">
        <v>9298.07</v>
      </c>
      <c r="AB3800">
        <v>1E-4</v>
      </c>
      <c r="AC3800">
        <v>8</v>
      </c>
      <c r="AD3800" s="5">
        <v>5.0828002202295499</v>
      </c>
      <c r="AE3800" s="5">
        <v>2.1427497365221715</v>
      </c>
      <c r="AF3800">
        <v>1</v>
      </c>
    </row>
    <row r="3801" spans="27:32" x14ac:dyDescent="0.3">
      <c r="AA3801" s="3">
        <v>-7839.71</v>
      </c>
      <c r="AB3801">
        <v>1E-4</v>
      </c>
      <c r="AC3801">
        <v>9</v>
      </c>
      <c r="AD3801" s="5">
        <v>4.8212871163210727</v>
      </c>
      <c r="AE3801" s="5">
        <v>2.2495660173325627</v>
      </c>
      <c r="AF3801">
        <v>1</v>
      </c>
    </row>
    <row r="3802" spans="27:32" x14ac:dyDescent="0.3">
      <c r="AA3802" s="3">
        <v>24338.28</v>
      </c>
      <c r="AB3802">
        <v>1E-4</v>
      </c>
      <c r="AC3802">
        <v>8</v>
      </c>
      <c r="AD3802" s="5">
        <v>5.0602525597431445</v>
      </c>
      <c r="AE3802" s="5">
        <v>2.1907654088718784</v>
      </c>
      <c r="AF3802">
        <v>1</v>
      </c>
    </row>
    <row r="3803" spans="27:32" x14ac:dyDescent="0.3">
      <c r="AA3803" s="3">
        <v>3811.45</v>
      </c>
      <c r="AB3803">
        <v>1E-4</v>
      </c>
      <c r="AC3803">
        <v>8</v>
      </c>
      <c r="AD3803" s="5">
        <v>4.939963429045358</v>
      </c>
      <c r="AE3803" s="5">
        <v>2.2025128068336857</v>
      </c>
      <c r="AF3803">
        <v>1</v>
      </c>
    </row>
    <row r="3804" spans="27:32" x14ac:dyDescent="0.3">
      <c r="AA3804" s="3">
        <v>17653.71</v>
      </c>
      <c r="AB3804">
        <v>1E-4</v>
      </c>
      <c r="AC3804">
        <v>8</v>
      </c>
      <c r="AD3804" s="5">
        <v>5.0558301308434199</v>
      </c>
      <c r="AE3804" s="5">
        <v>2.2101045684413188</v>
      </c>
      <c r="AF3804">
        <v>1</v>
      </c>
    </row>
    <row r="3805" spans="27:32" x14ac:dyDescent="0.3">
      <c r="AA3805" s="3">
        <v>20193.28</v>
      </c>
      <c r="AB3805">
        <v>1E-4</v>
      </c>
      <c r="AC3805">
        <v>8</v>
      </c>
      <c r="AD3805" s="5">
        <v>5.0236763734961487</v>
      </c>
      <c r="AE3805" s="5">
        <v>2.1628428126331114</v>
      </c>
      <c r="AF3805">
        <v>1</v>
      </c>
    </row>
    <row r="3806" spans="27:32" x14ac:dyDescent="0.3">
      <c r="AA3806" s="3">
        <v>11942.92</v>
      </c>
      <c r="AB3806">
        <v>1E-4</v>
      </c>
      <c r="AC3806">
        <v>8</v>
      </c>
      <c r="AD3806" s="5">
        <v>4.970356923681674</v>
      </c>
      <c r="AE3806" s="5">
        <v>2.1922047563342115</v>
      </c>
      <c r="AF3806">
        <v>1</v>
      </c>
    </row>
    <row r="3807" spans="27:32" x14ac:dyDescent="0.3">
      <c r="AA3807" s="3">
        <v>36201.71</v>
      </c>
      <c r="AB3807">
        <v>1E-4</v>
      </c>
      <c r="AC3807">
        <v>7</v>
      </c>
      <c r="AD3807" s="5">
        <v>5.0011147045724407</v>
      </c>
      <c r="AE3807" s="5">
        <v>2.2261841288538502</v>
      </c>
      <c r="AF3807">
        <v>1</v>
      </c>
    </row>
    <row r="3808" spans="27:32" x14ac:dyDescent="0.3">
      <c r="AA3808" s="3">
        <v>38839.379999999997</v>
      </c>
      <c r="AB3808">
        <v>1E-4</v>
      </c>
      <c r="AC3808">
        <v>7</v>
      </c>
      <c r="AD3808" s="5">
        <v>5.2628326939014372</v>
      </c>
      <c r="AE3808" s="5">
        <v>2.2520234572055955</v>
      </c>
      <c r="AF3808">
        <v>1</v>
      </c>
    </row>
    <row r="3809" spans="27:32" x14ac:dyDescent="0.3">
      <c r="AA3809" s="3">
        <v>32790.71</v>
      </c>
      <c r="AB3809">
        <v>1E-4</v>
      </c>
      <c r="AC3809">
        <v>7</v>
      </c>
      <c r="AD3809" s="5">
        <v>4.9156554107214339</v>
      </c>
      <c r="AE3809" s="5">
        <v>2.19888468198178</v>
      </c>
      <c r="AF3809">
        <v>1</v>
      </c>
    </row>
    <row r="3810" spans="27:32" x14ac:dyDescent="0.3">
      <c r="AA3810" s="3">
        <v>20262.580000000002</v>
      </c>
      <c r="AB3810">
        <v>1E-4</v>
      </c>
      <c r="AC3810">
        <v>8</v>
      </c>
      <c r="AD3810" s="5">
        <v>5.124527188668651</v>
      </c>
      <c r="AE3810" s="5">
        <v>2.1865432765661308</v>
      </c>
      <c r="AF3810">
        <v>1</v>
      </c>
    </row>
    <row r="3811" spans="27:32" x14ac:dyDescent="0.3">
      <c r="AA3811" s="3">
        <v>895.97</v>
      </c>
      <c r="AB3811">
        <v>1E-4</v>
      </c>
      <c r="AC3811">
        <v>8</v>
      </c>
      <c r="AD3811" s="5">
        <v>5.0938759490825474</v>
      </c>
      <c r="AE3811" s="5">
        <v>2.2133095257528224</v>
      </c>
      <c r="AF3811">
        <v>1</v>
      </c>
    </row>
    <row r="3812" spans="27:32" x14ac:dyDescent="0.3">
      <c r="AA3812" s="3">
        <v>41578.239999999998</v>
      </c>
      <c r="AB3812">
        <v>1E-4</v>
      </c>
      <c r="AC3812">
        <v>7</v>
      </c>
      <c r="AD3812" s="5">
        <v>5.011457659588066</v>
      </c>
      <c r="AE3812" s="5">
        <v>2.150932800151319</v>
      </c>
      <c r="AF3812">
        <v>1</v>
      </c>
    </row>
    <row r="3813" spans="27:32" x14ac:dyDescent="0.3">
      <c r="AA3813" s="3">
        <v>-10359.540000000001</v>
      </c>
      <c r="AB3813">
        <v>1E-4</v>
      </c>
      <c r="AC3813">
        <v>9</v>
      </c>
      <c r="AD3813" s="5">
        <v>4.9845609305014502</v>
      </c>
      <c r="AE3813" s="5">
        <v>2.1908119886994877</v>
      </c>
      <c r="AF3813">
        <v>1</v>
      </c>
    </row>
    <row r="3814" spans="27:32" x14ac:dyDescent="0.3">
      <c r="AA3814" s="3">
        <v>19345.41</v>
      </c>
      <c r="AB3814">
        <v>1E-4</v>
      </c>
      <c r="AC3814">
        <v>8</v>
      </c>
      <c r="AD3814" s="5">
        <v>4.9653111851044596</v>
      </c>
      <c r="AE3814" s="5">
        <v>2.1741944049345339</v>
      </c>
      <c r="AF3814">
        <v>1</v>
      </c>
    </row>
    <row r="3815" spans="27:32" x14ac:dyDescent="0.3">
      <c r="AA3815" s="3">
        <v>-18102.47</v>
      </c>
      <c r="AB3815">
        <v>1E-4</v>
      </c>
      <c r="AC3815">
        <v>9</v>
      </c>
      <c r="AD3815" s="5">
        <v>5.0264859706650995</v>
      </c>
      <c r="AE3815" s="5">
        <v>2.2636760338807056</v>
      </c>
      <c r="AF3815">
        <v>1</v>
      </c>
    </row>
    <row r="3816" spans="27:32" x14ac:dyDescent="0.3">
      <c r="AA3816" s="3">
        <v>-17286.73</v>
      </c>
      <c r="AB3816">
        <v>1E-4</v>
      </c>
      <c r="AC3816">
        <v>9</v>
      </c>
      <c r="AD3816" s="5">
        <v>4.9323328416892656</v>
      </c>
      <c r="AE3816" s="5">
        <v>2.2123821114516109</v>
      </c>
      <c r="AF3816">
        <v>1</v>
      </c>
    </row>
    <row r="3817" spans="27:32" x14ac:dyDescent="0.3">
      <c r="AA3817" s="3">
        <v>15159.5</v>
      </c>
      <c r="AB3817">
        <v>1E-4</v>
      </c>
      <c r="AC3817">
        <v>8</v>
      </c>
      <c r="AD3817" s="5">
        <v>4.9087578457660266</v>
      </c>
      <c r="AE3817" s="5">
        <v>2.2029290355577169</v>
      </c>
      <c r="AF3817">
        <v>1</v>
      </c>
    </row>
    <row r="3818" spans="27:32" x14ac:dyDescent="0.3">
      <c r="AA3818" s="3">
        <v>21050.5</v>
      </c>
      <c r="AB3818">
        <v>1E-4</v>
      </c>
      <c r="AC3818">
        <v>8</v>
      </c>
      <c r="AD3818" s="5">
        <v>4.9682209219405342</v>
      </c>
      <c r="AE3818" s="5">
        <v>2.1481277744783007</v>
      </c>
      <c r="AF3818">
        <v>1</v>
      </c>
    </row>
    <row r="3819" spans="27:32" x14ac:dyDescent="0.3">
      <c r="AA3819" s="3">
        <v>10905.08</v>
      </c>
      <c r="AB3819">
        <v>1E-4</v>
      </c>
      <c r="AC3819">
        <v>8</v>
      </c>
      <c r="AD3819" s="5">
        <v>4.9012013837879955</v>
      </c>
      <c r="AE3819" s="5">
        <v>2.2140749243029285</v>
      </c>
      <c r="AF3819">
        <v>1</v>
      </c>
    </row>
    <row r="3820" spans="27:32" x14ac:dyDescent="0.3">
      <c r="AA3820" s="3">
        <v>24029.96</v>
      </c>
      <c r="AB3820">
        <v>1E-4</v>
      </c>
      <c r="AC3820">
        <v>8</v>
      </c>
      <c r="AD3820" s="5">
        <v>5.1206310529755079</v>
      </c>
      <c r="AE3820" s="5">
        <v>2.1644305991917325</v>
      </c>
      <c r="AF3820">
        <v>1</v>
      </c>
    </row>
    <row r="3821" spans="27:32" x14ac:dyDescent="0.3">
      <c r="AA3821" s="3">
        <v>-449.17</v>
      </c>
      <c r="AB3821">
        <v>1E-4</v>
      </c>
      <c r="AC3821">
        <v>9</v>
      </c>
      <c r="AD3821" s="5">
        <v>4.9109252289883347</v>
      </c>
      <c r="AE3821" s="5">
        <v>2.2795092240785149</v>
      </c>
      <c r="AF3821">
        <v>1</v>
      </c>
    </row>
    <row r="3822" spans="27:32" x14ac:dyDescent="0.3">
      <c r="AA3822" s="3">
        <v>18048</v>
      </c>
      <c r="AB3822">
        <v>1E-4</v>
      </c>
      <c r="AC3822">
        <v>8</v>
      </c>
      <c r="AD3822" s="5">
        <v>5.0545487363949713</v>
      </c>
      <c r="AE3822" s="5">
        <v>2.1048982141388368</v>
      </c>
      <c r="AF3822">
        <v>1</v>
      </c>
    </row>
    <row r="3823" spans="27:32" x14ac:dyDescent="0.3">
      <c r="AA3823" s="3">
        <v>9787.15</v>
      </c>
      <c r="AB3823">
        <v>1E-4</v>
      </c>
      <c r="AC3823">
        <v>8</v>
      </c>
      <c r="AD3823" s="5">
        <v>5.0620123566826569</v>
      </c>
      <c r="AE3823" s="5">
        <v>2.1550182009200447</v>
      </c>
      <c r="AF3823">
        <v>1</v>
      </c>
    </row>
    <row r="3824" spans="27:32" x14ac:dyDescent="0.3">
      <c r="AA3824" s="3">
        <v>12270.25</v>
      </c>
      <c r="AB3824">
        <v>1E-4</v>
      </c>
      <c r="AC3824">
        <v>8</v>
      </c>
      <c r="AD3824" s="5">
        <v>4.8379235843700137</v>
      </c>
      <c r="AE3824" s="5">
        <v>2.1755070028927559</v>
      </c>
      <c r="AF3824">
        <v>1</v>
      </c>
    </row>
    <row r="3825" spans="27:32" x14ac:dyDescent="0.3">
      <c r="AA3825" s="3">
        <v>7090.06</v>
      </c>
      <c r="AB3825">
        <v>1E-4</v>
      </c>
      <c r="AC3825">
        <v>8</v>
      </c>
      <c r="AD3825" s="5">
        <v>4.9326991056009852</v>
      </c>
      <c r="AE3825" s="5">
        <v>2.2488160932347481</v>
      </c>
      <c r="AF3825">
        <v>1</v>
      </c>
    </row>
    <row r="3826" spans="27:32" x14ac:dyDescent="0.3">
      <c r="AA3826" s="3">
        <v>476.26</v>
      </c>
      <c r="AB3826">
        <v>1E-4</v>
      </c>
      <c r="AC3826">
        <v>8</v>
      </c>
      <c r="AD3826" s="5">
        <v>4.9485198733167755</v>
      </c>
      <c r="AE3826" s="5">
        <v>2.1788789611549548</v>
      </c>
      <c r="AF3826">
        <v>1</v>
      </c>
    </row>
    <row r="3827" spans="27:32" x14ac:dyDescent="0.3">
      <c r="AA3827" s="3">
        <v>24404.57</v>
      </c>
      <c r="AB3827">
        <v>1E-4</v>
      </c>
      <c r="AC3827">
        <v>8</v>
      </c>
      <c r="AD3827" s="5">
        <v>4.9969890239255843</v>
      </c>
      <c r="AE3827" s="5">
        <v>2.1108920177998582</v>
      </c>
      <c r="AF3827">
        <v>1</v>
      </c>
    </row>
    <row r="3828" spans="27:32" x14ac:dyDescent="0.3">
      <c r="AA3828" s="3">
        <v>7096.82</v>
      </c>
      <c r="AB3828">
        <v>1E-4</v>
      </c>
      <c r="AC3828">
        <v>8</v>
      </c>
      <c r="AD3828" s="5">
        <v>4.8873942953326246</v>
      </c>
      <c r="AE3828" s="5">
        <v>2.2191947913566619</v>
      </c>
      <c r="AF3828">
        <v>1</v>
      </c>
    </row>
    <row r="3829" spans="27:32" x14ac:dyDescent="0.3">
      <c r="AA3829" s="3">
        <v>-15327.859863303578</v>
      </c>
      <c r="AB3829">
        <v>1E-4</v>
      </c>
      <c r="AC3829">
        <v>9</v>
      </c>
      <c r="AD3829" s="5">
        <v>4.8848125302782019</v>
      </c>
      <c r="AE3829" s="5">
        <v>2.2440311915117261</v>
      </c>
      <c r="AF3829">
        <v>0</v>
      </c>
    </row>
    <row r="3830" spans="27:32" x14ac:dyDescent="0.3">
      <c r="AA3830" s="3">
        <v>18608.830000000002</v>
      </c>
      <c r="AB3830">
        <v>1E-4</v>
      </c>
      <c r="AC3830">
        <v>8</v>
      </c>
      <c r="AD3830" s="5">
        <v>5.0272730450338523</v>
      </c>
      <c r="AE3830" s="5">
        <v>2.2070243036165031</v>
      </c>
      <c r="AF3830">
        <v>1</v>
      </c>
    </row>
    <row r="3831" spans="27:32" x14ac:dyDescent="0.3">
      <c r="AA3831" s="3">
        <v>12637.77</v>
      </c>
      <c r="AB3831">
        <v>1E-4</v>
      </c>
      <c r="AC3831">
        <v>8</v>
      </c>
      <c r="AD3831" s="5">
        <v>4.8594075529284879</v>
      </c>
      <c r="AE3831" s="5">
        <v>2.2247937381511873</v>
      </c>
      <c r="AF3831">
        <v>1</v>
      </c>
    </row>
    <row r="3832" spans="27:32" x14ac:dyDescent="0.3">
      <c r="AA3832" s="3">
        <v>-3448.82</v>
      </c>
      <c r="AB3832">
        <v>1E-4</v>
      </c>
      <c r="AC3832">
        <v>9</v>
      </c>
      <c r="AD3832" s="5">
        <v>4.884971621413686</v>
      </c>
      <c r="AE3832" s="5">
        <v>2.241598198168703</v>
      </c>
      <c r="AF3832">
        <v>1</v>
      </c>
    </row>
    <row r="3833" spans="27:32" x14ac:dyDescent="0.3">
      <c r="AA3833" s="3">
        <v>-3112.15</v>
      </c>
      <c r="AB3833">
        <v>1E-4</v>
      </c>
      <c r="AC3833">
        <v>9</v>
      </c>
      <c r="AD3833" s="5">
        <v>5.0183621183195033</v>
      </c>
      <c r="AE3833" s="5">
        <v>2.0738229920050442</v>
      </c>
      <c r="AF3833">
        <v>1</v>
      </c>
    </row>
    <row r="3834" spans="27:32" x14ac:dyDescent="0.3">
      <c r="AA3834" s="3">
        <v>35163.230000000003</v>
      </c>
      <c r="AB3834">
        <v>1E-4</v>
      </c>
      <c r="AC3834">
        <v>7</v>
      </c>
      <c r="AD3834" s="5">
        <v>5.2647025486490353</v>
      </c>
      <c r="AE3834" s="5">
        <v>2.1850285629513353</v>
      </c>
      <c r="AF3834">
        <v>1</v>
      </c>
    </row>
    <row r="3835" spans="27:32" x14ac:dyDescent="0.3">
      <c r="AA3835" s="3">
        <v>2269.02</v>
      </c>
      <c r="AB3835">
        <v>1E-4</v>
      </c>
      <c r="AC3835">
        <v>8</v>
      </c>
      <c r="AD3835" s="5">
        <v>4.8500564394137076</v>
      </c>
      <c r="AE3835" s="5">
        <v>2.2326608691411978</v>
      </c>
      <c r="AF3835">
        <v>1</v>
      </c>
    </row>
    <row r="3836" spans="27:32" x14ac:dyDescent="0.3">
      <c r="AA3836" s="3">
        <v>30499.23</v>
      </c>
      <c r="AB3836">
        <v>1E-4</v>
      </c>
      <c r="AC3836">
        <v>7</v>
      </c>
      <c r="AD3836" s="5">
        <v>4.8833145252553747</v>
      </c>
      <c r="AE3836" s="5">
        <v>2.1384699807194112</v>
      </c>
      <c r="AF3836">
        <v>1</v>
      </c>
    </row>
    <row r="3837" spans="27:32" x14ac:dyDescent="0.3">
      <c r="AA3837" s="3">
        <v>15446.72</v>
      </c>
      <c r="AB3837">
        <v>1E-4</v>
      </c>
      <c r="AC3837">
        <v>8</v>
      </c>
      <c r="AD3837" s="5">
        <v>4.9617166940825914</v>
      </c>
      <c r="AE3837" s="5">
        <v>2.1215814008316074</v>
      </c>
      <c r="AF3837">
        <v>1</v>
      </c>
    </row>
    <row r="3838" spans="27:32" x14ac:dyDescent="0.3">
      <c r="AA3838" s="3">
        <v>47860.93</v>
      </c>
      <c r="AB3838">
        <v>1E-4</v>
      </c>
      <c r="AC3838">
        <v>6</v>
      </c>
      <c r="AD3838" s="5">
        <v>5.0130979020561783</v>
      </c>
      <c r="AE3838" s="5">
        <v>2.1223891418278114</v>
      </c>
      <c r="AF3838">
        <v>1</v>
      </c>
    </row>
    <row r="3839" spans="27:32" x14ac:dyDescent="0.3">
      <c r="AA3839" s="3">
        <v>-16559.39</v>
      </c>
      <c r="AB3839">
        <v>1E-4</v>
      </c>
      <c r="AC3839">
        <v>9</v>
      </c>
      <c r="AD3839" s="5">
        <v>4.798659961998526</v>
      </c>
      <c r="AE3839" s="5">
        <v>2.1870589432583323</v>
      </c>
      <c r="AF3839">
        <v>1</v>
      </c>
    </row>
    <row r="3840" spans="27:32" x14ac:dyDescent="0.3">
      <c r="AA3840" s="3">
        <v>7395.73</v>
      </c>
      <c r="AB3840">
        <v>1E-4</v>
      </c>
      <c r="AC3840">
        <v>8</v>
      </c>
      <c r="AD3840" s="5">
        <v>4.9396479730511755</v>
      </c>
      <c r="AE3840" s="5">
        <v>2.2967614702377928</v>
      </c>
      <c r="AF3840">
        <v>1</v>
      </c>
    </row>
    <row r="3841" spans="27:32" x14ac:dyDescent="0.3">
      <c r="AA3841" s="3">
        <v>41134.11</v>
      </c>
      <c r="AB3841">
        <v>1E-4</v>
      </c>
      <c r="AC3841">
        <v>7</v>
      </c>
      <c r="AD3841" s="5">
        <v>5.1547456737177999</v>
      </c>
      <c r="AE3841" s="5">
        <v>2.1973396034034631</v>
      </c>
      <c r="AF3841">
        <v>1</v>
      </c>
    </row>
    <row r="3842" spans="27:32" x14ac:dyDescent="0.3">
      <c r="AA3842" s="3">
        <v>47463.19</v>
      </c>
      <c r="AB3842">
        <v>1E-4</v>
      </c>
      <c r="AC3842">
        <v>7</v>
      </c>
      <c r="AD3842" s="5">
        <v>5.1837327738729426</v>
      </c>
      <c r="AE3842" s="5">
        <v>2.1122445115795361</v>
      </c>
      <c r="AF3842">
        <v>1</v>
      </c>
    </row>
    <row r="3843" spans="27:32" x14ac:dyDescent="0.3">
      <c r="AA3843" s="3">
        <v>19732.669999999998</v>
      </c>
      <c r="AB3843">
        <v>1E-4</v>
      </c>
      <c r="AC3843">
        <v>8</v>
      </c>
      <c r="AD3843" s="5">
        <v>5.0119400774888474</v>
      </c>
      <c r="AE3843" s="5">
        <v>2.236690371479841</v>
      </c>
      <c r="AF3843">
        <v>1</v>
      </c>
    </row>
    <row r="3844" spans="27:32" x14ac:dyDescent="0.3">
      <c r="AA3844" s="3">
        <v>16217.29</v>
      </c>
      <c r="AB3844">
        <v>1E-4</v>
      </c>
      <c r="AC3844">
        <v>8</v>
      </c>
      <c r="AD3844" s="5">
        <v>5.1298562731555446</v>
      </c>
      <c r="AE3844" s="5">
        <v>2.2653858486000282</v>
      </c>
      <c r="AF3844">
        <v>1</v>
      </c>
    </row>
    <row r="3845" spans="27:32" x14ac:dyDescent="0.3">
      <c r="AA3845" s="3">
        <v>11780.27</v>
      </c>
      <c r="AB3845">
        <v>1E-4</v>
      </c>
      <c r="AC3845">
        <v>8</v>
      </c>
      <c r="AD3845" s="5">
        <v>5.0117134650781692</v>
      </c>
      <c r="AE3845" s="5">
        <v>2.1302960729523308</v>
      </c>
      <c r="AF3845">
        <v>1</v>
      </c>
    </row>
    <row r="3846" spans="27:32" x14ac:dyDescent="0.3">
      <c r="AA3846" s="3">
        <v>14023.35</v>
      </c>
      <c r="AB3846">
        <v>1E-4</v>
      </c>
      <c r="AC3846">
        <v>8</v>
      </c>
      <c r="AD3846" s="5">
        <v>5.0311741225330779</v>
      </c>
      <c r="AE3846" s="5">
        <v>2.2073961026939979</v>
      </c>
      <c r="AF3846">
        <v>1</v>
      </c>
    </row>
    <row r="3847" spans="27:32" x14ac:dyDescent="0.3">
      <c r="AA3847" s="3">
        <v>-13823.75</v>
      </c>
      <c r="AB3847">
        <v>1E-4</v>
      </c>
      <c r="AC3847">
        <v>9</v>
      </c>
      <c r="AD3847" s="5">
        <v>5.1111109401304331</v>
      </c>
      <c r="AE3847" s="5">
        <v>2.2461424590207826</v>
      </c>
      <c r="AF3847">
        <v>1</v>
      </c>
    </row>
    <row r="3848" spans="27:32" x14ac:dyDescent="0.3">
      <c r="AA3848" s="3">
        <v>37747</v>
      </c>
      <c r="AB3848">
        <v>1E-4</v>
      </c>
      <c r="AC3848">
        <v>7</v>
      </c>
      <c r="AD3848" s="5">
        <v>4.7823684243637148</v>
      </c>
      <c r="AE3848" s="5">
        <v>2.2055525591217342</v>
      </c>
      <c r="AF3848">
        <v>1</v>
      </c>
    </row>
    <row r="3849" spans="27:32" x14ac:dyDescent="0.3">
      <c r="AA3849" s="3">
        <v>17758.099999999999</v>
      </c>
      <c r="AB3849">
        <v>1E-4</v>
      </c>
      <c r="AC3849">
        <v>8</v>
      </c>
      <c r="AD3849" s="5">
        <v>5.0602548137049181</v>
      </c>
      <c r="AE3849" s="5">
        <v>2.2138015008378882</v>
      </c>
      <c r="AF3849">
        <v>1</v>
      </c>
    </row>
    <row r="3850" spans="27:32" x14ac:dyDescent="0.3">
      <c r="AA3850" s="3">
        <v>13504.27</v>
      </c>
      <c r="AB3850">
        <v>1E-4</v>
      </c>
      <c r="AC3850">
        <v>8</v>
      </c>
      <c r="AD3850" s="5">
        <v>5.0329995607901088</v>
      </c>
      <c r="AE3850" s="5">
        <v>2.2194290245071038</v>
      </c>
      <c r="AF3850">
        <v>1</v>
      </c>
    </row>
    <row r="3851" spans="27:32" x14ac:dyDescent="0.3">
      <c r="AA3851" s="3">
        <v>-12275.86</v>
      </c>
      <c r="AB3851">
        <v>1E-4</v>
      </c>
      <c r="AC3851">
        <v>9</v>
      </c>
      <c r="AD3851" s="5">
        <v>4.8382005584755667</v>
      </c>
      <c r="AE3851" s="5">
        <v>2.1044718610447264</v>
      </c>
      <c r="AF3851">
        <v>1</v>
      </c>
    </row>
    <row r="3852" spans="27:32" x14ac:dyDescent="0.3">
      <c r="AA3852" s="3">
        <v>41729.599999999999</v>
      </c>
      <c r="AB3852">
        <v>1E-4</v>
      </c>
      <c r="AC3852">
        <v>7</v>
      </c>
      <c r="AD3852" s="5">
        <v>4.9926002835964436</v>
      </c>
      <c r="AE3852" s="5">
        <v>2.1001586138570962</v>
      </c>
      <c r="AF3852">
        <v>1</v>
      </c>
    </row>
    <row r="3853" spans="27:32" x14ac:dyDescent="0.3">
      <c r="AA3853" s="3">
        <v>15789.59</v>
      </c>
      <c r="AB3853">
        <v>1E-4</v>
      </c>
      <c r="AC3853">
        <v>8</v>
      </c>
      <c r="AD3853" s="5">
        <v>5.0744149314622202</v>
      </c>
      <c r="AE3853" s="5">
        <v>2.191252880647812</v>
      </c>
      <c r="AF3853">
        <v>1</v>
      </c>
    </row>
    <row r="3854" spans="27:32" x14ac:dyDescent="0.3">
      <c r="AA3854" s="3">
        <v>17639.73</v>
      </c>
      <c r="AB3854">
        <v>1E-4</v>
      </c>
      <c r="AC3854">
        <v>8</v>
      </c>
      <c r="AD3854" s="5">
        <v>5.0364033864961106</v>
      </c>
      <c r="AE3854" s="5">
        <v>2.2829835942101733</v>
      </c>
      <c r="AF3854">
        <v>1</v>
      </c>
    </row>
    <row r="3855" spans="27:32" x14ac:dyDescent="0.3">
      <c r="AA3855" s="3">
        <v>9592.2099999999991</v>
      </c>
      <c r="AB3855">
        <v>1E-4</v>
      </c>
      <c r="AC3855">
        <v>8</v>
      </c>
      <c r="AD3855" s="5">
        <v>4.9172008509985154</v>
      </c>
      <c r="AE3855" s="5">
        <v>2.1281633720328532</v>
      </c>
      <c r="AF3855">
        <v>1</v>
      </c>
    </row>
    <row r="3856" spans="27:32" x14ac:dyDescent="0.3">
      <c r="AA3856" s="3">
        <v>-4465.25</v>
      </c>
      <c r="AB3856">
        <v>1E-4</v>
      </c>
      <c r="AC3856">
        <v>9</v>
      </c>
      <c r="AD3856" s="5">
        <v>4.9931205528766229</v>
      </c>
      <c r="AE3856" s="5">
        <v>2.2485821395239336</v>
      </c>
      <c r="AF3856">
        <v>1</v>
      </c>
    </row>
    <row r="3857" spans="27:32" x14ac:dyDescent="0.3">
      <c r="AA3857" s="3">
        <v>11556.12</v>
      </c>
      <c r="AB3857">
        <v>1E-4</v>
      </c>
      <c r="AC3857">
        <v>8</v>
      </c>
      <c r="AD3857" s="5">
        <v>4.8136504142065188</v>
      </c>
      <c r="AE3857" s="5">
        <v>2.2047389721726938</v>
      </c>
      <c r="AF3857">
        <v>1</v>
      </c>
    </row>
    <row r="3858" spans="27:32" x14ac:dyDescent="0.3">
      <c r="AA3858" s="3">
        <v>23818.93</v>
      </c>
      <c r="AB3858">
        <v>1E-4</v>
      </c>
      <c r="AC3858">
        <v>8</v>
      </c>
      <c r="AD3858" s="5">
        <v>4.8911081789956681</v>
      </c>
      <c r="AE3858" s="5">
        <v>2.20365712438617</v>
      </c>
      <c r="AF3858">
        <v>1</v>
      </c>
    </row>
    <row r="3859" spans="27:32" x14ac:dyDescent="0.3">
      <c r="AA3859" s="3">
        <v>39420.49</v>
      </c>
      <c r="AB3859">
        <v>1E-4</v>
      </c>
      <c r="AC3859">
        <v>7</v>
      </c>
      <c r="AD3859" s="5">
        <v>5.0176791853802909</v>
      </c>
      <c r="AE3859" s="5">
        <v>2.095211275957094</v>
      </c>
      <c r="AF3859">
        <v>1</v>
      </c>
    </row>
    <row r="3860" spans="27:32" x14ac:dyDescent="0.3">
      <c r="AA3860" s="3">
        <v>22924.73</v>
      </c>
      <c r="AB3860">
        <v>1E-4</v>
      </c>
      <c r="AC3860">
        <v>8</v>
      </c>
      <c r="AD3860" s="5">
        <v>5.0404795970667768</v>
      </c>
      <c r="AE3860" s="5">
        <v>2.2103765897199246</v>
      </c>
      <c r="AF3860">
        <v>1</v>
      </c>
    </row>
    <row r="3861" spans="27:32" x14ac:dyDescent="0.3">
      <c r="AA3861" s="3">
        <v>25548.28</v>
      </c>
      <c r="AB3861">
        <v>1E-4</v>
      </c>
      <c r="AC3861">
        <v>8</v>
      </c>
      <c r="AD3861" s="5">
        <v>5.0297479430777372</v>
      </c>
      <c r="AE3861" s="5">
        <v>2.1848916599060706</v>
      </c>
      <c r="AF3861">
        <v>1</v>
      </c>
    </row>
    <row r="3862" spans="27:32" x14ac:dyDescent="0.3">
      <c r="AA3862" s="3">
        <v>18586.91</v>
      </c>
      <c r="AB3862">
        <v>1E-4</v>
      </c>
      <c r="AC3862">
        <v>8</v>
      </c>
      <c r="AD3862" s="5">
        <v>5.0157610383651097</v>
      </c>
      <c r="AE3862" s="5">
        <v>2.2270237014894128</v>
      </c>
      <c r="AF3862">
        <v>1</v>
      </c>
    </row>
    <row r="3863" spans="27:32" x14ac:dyDescent="0.3">
      <c r="AA3863" s="3">
        <v>33369.39</v>
      </c>
      <c r="AB3863">
        <v>1E-4</v>
      </c>
      <c r="AC3863">
        <v>7</v>
      </c>
      <c r="AD3863" s="5">
        <v>5.0660717748696049</v>
      </c>
      <c r="AE3863" s="5">
        <v>2.1798261357297717</v>
      </c>
      <c r="AF3863">
        <v>1</v>
      </c>
    </row>
    <row r="3864" spans="27:32" x14ac:dyDescent="0.3">
      <c r="AA3864" s="3">
        <v>10460.68</v>
      </c>
      <c r="AB3864">
        <v>1E-4</v>
      </c>
      <c r="AC3864">
        <v>8</v>
      </c>
      <c r="AD3864" s="5">
        <v>4.8591784971881031</v>
      </c>
      <c r="AE3864" s="5">
        <v>2.1864109888984107</v>
      </c>
      <c r="AF3864">
        <v>1</v>
      </c>
    </row>
    <row r="3865" spans="27:32" x14ac:dyDescent="0.3">
      <c r="AA3865" s="3">
        <v>8124.67</v>
      </c>
      <c r="AB3865">
        <v>1E-4</v>
      </c>
      <c r="AC3865">
        <v>8</v>
      </c>
      <c r="AD3865" s="5">
        <v>5.1716132860985171</v>
      </c>
      <c r="AE3865" s="5">
        <v>2.2999830648756645</v>
      </c>
      <c r="AF3865">
        <v>1</v>
      </c>
    </row>
    <row r="3866" spans="27:32" x14ac:dyDescent="0.3">
      <c r="AA3866" s="3">
        <v>36696.370000000003</v>
      </c>
      <c r="AB3866">
        <v>1E-4</v>
      </c>
      <c r="AC3866">
        <v>7</v>
      </c>
      <c r="AD3866" s="5">
        <v>5.1404783444817594</v>
      </c>
      <c r="AE3866" s="5">
        <v>2.1224287178724519</v>
      </c>
      <c r="AF3866">
        <v>1</v>
      </c>
    </row>
    <row r="3867" spans="27:32" x14ac:dyDescent="0.3">
      <c r="AA3867" s="3">
        <v>-5531.02</v>
      </c>
      <c r="AB3867">
        <v>1E-4</v>
      </c>
      <c r="AC3867">
        <v>9</v>
      </c>
      <c r="AD3867" s="5">
        <v>4.9687241463293024</v>
      </c>
      <c r="AE3867" s="5">
        <v>2.0921163138568719</v>
      </c>
      <c r="AF3867">
        <v>1</v>
      </c>
    </row>
    <row r="3868" spans="27:32" x14ac:dyDescent="0.3">
      <c r="AA3868" s="3">
        <v>5043.3100000000004</v>
      </c>
      <c r="AB3868">
        <v>1E-4</v>
      </c>
      <c r="AC3868">
        <v>8</v>
      </c>
      <c r="AD3868" s="5">
        <v>5.0774058768106647</v>
      </c>
      <c r="AE3868" s="5">
        <v>2.2905991982361353</v>
      </c>
      <c r="AF3868">
        <v>1</v>
      </c>
    </row>
    <row r="3869" spans="27:32" x14ac:dyDescent="0.3">
      <c r="AA3869" s="3">
        <v>12432.44</v>
      </c>
      <c r="AB3869">
        <v>1E-4</v>
      </c>
      <c r="AC3869">
        <v>8</v>
      </c>
      <c r="AD3869" s="5">
        <v>5.2015370027284025</v>
      </c>
      <c r="AE3869" s="5">
        <v>2.1911837839339356</v>
      </c>
      <c r="AF3869">
        <v>1</v>
      </c>
    </row>
    <row r="3870" spans="27:32" x14ac:dyDescent="0.3">
      <c r="AA3870" s="3">
        <v>29874.01</v>
      </c>
      <c r="AB3870">
        <v>1E-4</v>
      </c>
      <c r="AC3870">
        <v>8</v>
      </c>
      <c r="AD3870" s="5">
        <v>4.9768593325061037</v>
      </c>
      <c r="AE3870" s="5">
        <v>2.1616276072748462</v>
      </c>
      <c r="AF3870">
        <v>1</v>
      </c>
    </row>
    <row r="3871" spans="27:32" x14ac:dyDescent="0.3">
      <c r="AA3871" s="3">
        <v>2192.0700000000002</v>
      </c>
      <c r="AB3871">
        <v>1E-4</v>
      </c>
      <c r="AC3871">
        <v>8</v>
      </c>
      <c r="AD3871" s="5">
        <v>4.9752152212813128</v>
      </c>
      <c r="AE3871" s="5">
        <v>2.2547295961098697</v>
      </c>
      <c r="AF3871">
        <v>1</v>
      </c>
    </row>
    <row r="3872" spans="27:32" x14ac:dyDescent="0.3">
      <c r="AA3872" s="3">
        <v>9308.65</v>
      </c>
      <c r="AB3872">
        <v>1E-4</v>
      </c>
      <c r="AC3872">
        <v>8</v>
      </c>
      <c r="AD3872" s="5">
        <v>5.2458239535303433</v>
      </c>
      <c r="AE3872" s="5">
        <v>2.2769197460327426</v>
      </c>
      <c r="AF3872">
        <v>1</v>
      </c>
    </row>
    <row r="3873" spans="27:32" x14ac:dyDescent="0.3">
      <c r="AA3873" s="3">
        <v>10053.51</v>
      </c>
      <c r="AB3873">
        <v>1E-4</v>
      </c>
      <c r="AC3873">
        <v>8</v>
      </c>
      <c r="AD3873" s="5">
        <v>5.0425632234984459</v>
      </c>
      <c r="AE3873" s="5">
        <v>2.1853683729821807</v>
      </c>
      <c r="AF3873">
        <v>1</v>
      </c>
    </row>
    <row r="3874" spans="27:32" x14ac:dyDescent="0.3">
      <c r="AA3874" s="3">
        <v>20011.13</v>
      </c>
      <c r="AB3874">
        <v>1E-4</v>
      </c>
      <c r="AC3874">
        <v>8</v>
      </c>
      <c r="AD3874" s="5">
        <v>5.0708283899893472</v>
      </c>
      <c r="AE3874" s="5">
        <v>2.2985409631613876</v>
      </c>
      <c r="AF3874">
        <v>1</v>
      </c>
    </row>
    <row r="3875" spans="27:32" x14ac:dyDescent="0.3">
      <c r="AA3875" s="3">
        <v>35244.99</v>
      </c>
      <c r="AB3875">
        <v>1E-4</v>
      </c>
      <c r="AC3875">
        <v>7</v>
      </c>
      <c r="AD3875" s="5">
        <v>4.9310989599939106</v>
      </c>
      <c r="AE3875" s="5">
        <v>2.1292489970956376</v>
      </c>
      <c r="AF3875">
        <v>1</v>
      </c>
    </row>
    <row r="3876" spans="27:32" x14ac:dyDescent="0.3">
      <c r="AA3876" s="3">
        <v>39558.379999999997</v>
      </c>
      <c r="AB3876">
        <v>1E-4</v>
      </c>
      <c r="AC3876">
        <v>7</v>
      </c>
      <c r="AD3876" s="5">
        <v>5.0623407225005961</v>
      </c>
      <c r="AE3876" s="5">
        <v>2.1600768898194733</v>
      </c>
      <c r="AF3876">
        <v>1</v>
      </c>
    </row>
    <row r="3877" spans="27:32" x14ac:dyDescent="0.3">
      <c r="AA3877" s="3">
        <v>-4308.84</v>
      </c>
      <c r="AB3877">
        <v>1E-4</v>
      </c>
      <c r="AC3877">
        <v>9</v>
      </c>
      <c r="AD3877" s="5">
        <v>5.0588820548691062</v>
      </c>
      <c r="AE3877" s="5">
        <v>2.3008477680635298</v>
      </c>
      <c r="AF3877">
        <v>1</v>
      </c>
    </row>
    <row r="3878" spans="27:32" x14ac:dyDescent="0.3">
      <c r="AA3878" s="3">
        <v>-14648.92</v>
      </c>
      <c r="AB3878">
        <v>1E-4</v>
      </c>
      <c r="AC3878">
        <v>9</v>
      </c>
      <c r="AD3878" s="5">
        <v>5.1109621331011015</v>
      </c>
      <c r="AE3878" s="5">
        <v>2.2635713811514537</v>
      </c>
      <c r="AF3878">
        <v>1</v>
      </c>
    </row>
    <row r="3879" spans="27:32" x14ac:dyDescent="0.3">
      <c r="AA3879" s="3">
        <v>11215.8</v>
      </c>
      <c r="AB3879">
        <v>1E-4</v>
      </c>
      <c r="AC3879">
        <v>8</v>
      </c>
      <c r="AD3879" s="5">
        <v>4.9833880171850797</v>
      </c>
      <c r="AE3879" s="5">
        <v>2.1599343549818144</v>
      </c>
      <c r="AF3879">
        <v>1</v>
      </c>
    </row>
    <row r="3880" spans="27:32" x14ac:dyDescent="0.3">
      <c r="AA3880" s="3">
        <v>-5735.49</v>
      </c>
      <c r="AB3880">
        <v>1E-4</v>
      </c>
      <c r="AC3880">
        <v>9</v>
      </c>
      <c r="AD3880" s="5">
        <v>4.8947030417852231</v>
      </c>
      <c r="AE3880" s="5">
        <v>2.2319348816894435</v>
      </c>
      <c r="AF3880">
        <v>1</v>
      </c>
    </row>
    <row r="3881" spans="27:32" x14ac:dyDescent="0.3">
      <c r="AA3881" s="3">
        <v>21.97</v>
      </c>
      <c r="AB3881">
        <v>1E-4</v>
      </c>
      <c r="AC3881">
        <v>8</v>
      </c>
      <c r="AD3881" s="5">
        <v>4.868535137835563</v>
      </c>
      <c r="AE3881" s="5">
        <v>2.2254713482169586</v>
      </c>
      <c r="AF3881">
        <v>1</v>
      </c>
    </row>
    <row r="3882" spans="27:32" x14ac:dyDescent="0.3">
      <c r="AA3882" s="3">
        <v>-12255.2</v>
      </c>
      <c r="AB3882">
        <v>1E-4</v>
      </c>
      <c r="AC3882">
        <v>9</v>
      </c>
      <c r="AD3882" s="5">
        <v>5.0824002740980108</v>
      </c>
      <c r="AE3882" s="5">
        <v>2.2166443639571058</v>
      </c>
      <c r="AF3882">
        <v>1</v>
      </c>
    </row>
    <row r="3883" spans="27:32" x14ac:dyDescent="0.3">
      <c r="AA3883" s="3">
        <v>38865.14</v>
      </c>
      <c r="AB3883">
        <v>1E-4</v>
      </c>
      <c r="AC3883">
        <v>7</v>
      </c>
      <c r="AD3883" s="5">
        <v>4.8560186290960594</v>
      </c>
      <c r="AE3883" s="5">
        <v>2.1920114165904234</v>
      </c>
      <c r="AF3883">
        <v>1</v>
      </c>
    </row>
    <row r="3884" spans="27:32" x14ac:dyDescent="0.3">
      <c r="AA3884" s="3">
        <v>31428.5</v>
      </c>
      <c r="AB3884">
        <v>1E-4</v>
      </c>
      <c r="AC3884">
        <v>8</v>
      </c>
      <c r="AD3884" s="5">
        <v>5.1070575338246309</v>
      </c>
      <c r="AE3884" s="5">
        <v>2.1151448149281995</v>
      </c>
      <c r="AF3884">
        <v>1</v>
      </c>
    </row>
    <row r="3885" spans="27:32" x14ac:dyDescent="0.3">
      <c r="AA3885" s="3">
        <v>7749.7</v>
      </c>
      <c r="AB3885">
        <v>1E-4</v>
      </c>
      <c r="AC3885">
        <v>8</v>
      </c>
      <c r="AD3885" s="5">
        <v>5.0180851184519053</v>
      </c>
      <c r="AE3885" s="5">
        <v>2.118371894504778</v>
      </c>
      <c r="AF3885">
        <v>1</v>
      </c>
    </row>
    <row r="3886" spans="27:32" x14ac:dyDescent="0.3">
      <c r="AA3886" s="3">
        <v>9402.09</v>
      </c>
      <c r="AB3886">
        <v>1E-4</v>
      </c>
      <c r="AC3886">
        <v>8</v>
      </c>
      <c r="AD3886" s="5">
        <v>5.0454431533620063</v>
      </c>
      <c r="AE3886" s="5">
        <v>2.1754625310800568</v>
      </c>
      <c r="AF3886">
        <v>1</v>
      </c>
    </row>
    <row r="3887" spans="27:32" x14ac:dyDescent="0.3">
      <c r="AA3887" s="3">
        <v>9686.56</v>
      </c>
      <c r="AB3887">
        <v>1E-4</v>
      </c>
      <c r="AC3887">
        <v>8</v>
      </c>
      <c r="AD3887" s="5">
        <v>5.027932286336803</v>
      </c>
      <c r="AE3887" s="5">
        <v>2.1915084834743883</v>
      </c>
      <c r="AF3887">
        <v>1</v>
      </c>
    </row>
    <row r="3888" spans="27:32" x14ac:dyDescent="0.3">
      <c r="AA3888" s="3">
        <v>19575.88</v>
      </c>
      <c r="AB3888">
        <v>1E-4</v>
      </c>
      <c r="AC3888">
        <v>8</v>
      </c>
      <c r="AD3888" s="5">
        <v>5.1665954849159235</v>
      </c>
      <c r="AE3888" s="5">
        <v>2.2350094475773123</v>
      </c>
      <c r="AF3888">
        <v>1</v>
      </c>
    </row>
    <row r="3889" spans="27:32" x14ac:dyDescent="0.3">
      <c r="AA3889" s="3">
        <v>20122.099999999999</v>
      </c>
      <c r="AB3889">
        <v>1E-4</v>
      </c>
      <c r="AC3889">
        <v>8</v>
      </c>
      <c r="AD3889" s="5">
        <v>4.8413067716054474</v>
      </c>
      <c r="AE3889" s="5">
        <v>2.2083092206292481</v>
      </c>
      <c r="AF3889">
        <v>1</v>
      </c>
    </row>
    <row r="3890" spans="27:32" x14ac:dyDescent="0.3">
      <c r="AA3890" s="3">
        <v>32150.45</v>
      </c>
      <c r="AB3890">
        <v>1E-4</v>
      </c>
      <c r="AC3890">
        <v>8</v>
      </c>
      <c r="AD3890" s="5">
        <v>5.083124792467582</v>
      </c>
      <c r="AE3890" s="5">
        <v>2.194033107824132</v>
      </c>
      <c r="AF3890">
        <v>1</v>
      </c>
    </row>
    <row r="3891" spans="27:32" x14ac:dyDescent="0.3">
      <c r="AA3891" s="3">
        <v>35574.42</v>
      </c>
      <c r="AB3891">
        <v>1E-4</v>
      </c>
      <c r="AC3891">
        <v>7</v>
      </c>
      <c r="AD3891" s="5">
        <v>4.9195577078542216</v>
      </c>
      <c r="AE3891" s="5">
        <v>2.2110499546017635</v>
      </c>
      <c r="AF3891">
        <v>1</v>
      </c>
    </row>
    <row r="3892" spans="27:32" x14ac:dyDescent="0.3">
      <c r="AA3892" s="3">
        <v>940.86</v>
      </c>
      <c r="AB3892">
        <v>1E-4</v>
      </c>
      <c r="AC3892">
        <v>8</v>
      </c>
      <c r="AD3892" s="5">
        <v>5.0507409945896278</v>
      </c>
      <c r="AE3892" s="5">
        <v>2.2475990981698777</v>
      </c>
      <c r="AF3892">
        <v>1</v>
      </c>
    </row>
    <row r="3893" spans="27:32" x14ac:dyDescent="0.3">
      <c r="AA3893" s="3">
        <v>27268.42</v>
      </c>
      <c r="AB3893">
        <v>1E-4</v>
      </c>
      <c r="AC3893">
        <v>8</v>
      </c>
      <c r="AD3893" s="5">
        <v>5.0615548905460912</v>
      </c>
      <c r="AE3893" s="5">
        <v>2.1919362659893076</v>
      </c>
      <c r="AF3893">
        <v>1</v>
      </c>
    </row>
    <row r="3894" spans="27:32" x14ac:dyDescent="0.3">
      <c r="AA3894" s="3">
        <v>8663.49</v>
      </c>
      <c r="AB3894">
        <v>1E-4</v>
      </c>
      <c r="AC3894">
        <v>8</v>
      </c>
      <c r="AD3894" s="5">
        <v>5.0292356848630027</v>
      </c>
      <c r="AE3894" s="5">
        <v>2.2335411283108413</v>
      </c>
      <c r="AF3894">
        <v>1</v>
      </c>
    </row>
    <row r="3895" spans="27:32" x14ac:dyDescent="0.3">
      <c r="AA3895" s="3">
        <v>-2612.25</v>
      </c>
      <c r="AB3895">
        <v>1E-4</v>
      </c>
      <c r="AC3895">
        <v>9</v>
      </c>
      <c r="AD3895" s="5">
        <v>4.8125618571002757</v>
      </c>
      <c r="AE3895" s="5">
        <v>2.1698780565645546</v>
      </c>
      <c r="AF3895">
        <v>1</v>
      </c>
    </row>
    <row r="3896" spans="27:32" x14ac:dyDescent="0.3">
      <c r="AA3896" s="3">
        <v>15783.72</v>
      </c>
      <c r="AB3896">
        <v>1E-4</v>
      </c>
      <c r="AC3896">
        <v>8</v>
      </c>
      <c r="AD3896" s="5">
        <v>5.0023252115796781</v>
      </c>
      <c r="AE3896" s="5">
        <v>2.172629796028362</v>
      </c>
      <c r="AF3896">
        <v>1</v>
      </c>
    </row>
    <row r="3897" spans="27:32" x14ac:dyDescent="0.3">
      <c r="AA3897" s="3">
        <v>38567.089999999997</v>
      </c>
      <c r="AB3897">
        <v>1E-4</v>
      </c>
      <c r="AC3897">
        <v>7</v>
      </c>
      <c r="AD3897" s="5">
        <v>5.0349325869064296</v>
      </c>
      <c r="AE3897" s="5">
        <v>2.1755655276465817</v>
      </c>
      <c r="AF3897">
        <v>1</v>
      </c>
    </row>
    <row r="3898" spans="27:32" x14ac:dyDescent="0.3">
      <c r="AA3898" s="3">
        <v>41680.82</v>
      </c>
      <c r="AB3898">
        <v>1E-4</v>
      </c>
      <c r="AC3898">
        <v>7</v>
      </c>
      <c r="AD3898" s="5">
        <v>5.0874052573880064</v>
      </c>
      <c r="AE3898" s="5">
        <v>2.2571804380819018</v>
      </c>
      <c r="AF3898">
        <v>1</v>
      </c>
    </row>
    <row r="3899" spans="27:32" x14ac:dyDescent="0.3">
      <c r="AA3899" s="3">
        <v>32474.61</v>
      </c>
      <c r="AB3899">
        <v>1E-4</v>
      </c>
      <c r="AC3899">
        <v>7</v>
      </c>
      <c r="AD3899" s="5">
        <v>4.9692673075850449</v>
      </c>
      <c r="AE3899" s="5">
        <v>2.1668419001711809</v>
      </c>
      <c r="AF3899">
        <v>1</v>
      </c>
    </row>
    <row r="3900" spans="27:32" x14ac:dyDescent="0.3">
      <c r="AA3900" s="3">
        <v>25106.02</v>
      </c>
      <c r="AB3900">
        <v>1E-4</v>
      </c>
      <c r="AC3900">
        <v>8</v>
      </c>
      <c r="AD3900" s="5">
        <v>4.8694631846999208</v>
      </c>
      <c r="AE3900" s="5">
        <v>2.1654553107918675</v>
      </c>
      <c r="AF3900">
        <v>1</v>
      </c>
    </row>
    <row r="3901" spans="27:32" x14ac:dyDescent="0.3">
      <c r="AA3901" s="3">
        <v>42241.97</v>
      </c>
      <c r="AB3901">
        <v>1E-4</v>
      </c>
      <c r="AC3901">
        <v>7</v>
      </c>
      <c r="AD3901" s="5">
        <v>5.1490224363144828</v>
      </c>
      <c r="AE3901" s="5">
        <v>2.2060508579310372</v>
      </c>
      <c r="AF3901">
        <v>1</v>
      </c>
    </row>
    <row r="3902" spans="27:32" x14ac:dyDescent="0.3">
      <c r="AA3902" s="3">
        <v>27608.55</v>
      </c>
      <c r="AB3902">
        <v>1E-4</v>
      </c>
      <c r="AC3902">
        <v>8</v>
      </c>
      <c r="AD3902" s="5">
        <v>4.958777909109684</v>
      </c>
      <c r="AE3902" s="5">
        <v>2.2315345642785118</v>
      </c>
      <c r="AF3902">
        <v>1</v>
      </c>
    </row>
    <row r="3903" spans="27:32" x14ac:dyDescent="0.3">
      <c r="AA3903" s="3">
        <v>20424.63</v>
      </c>
      <c r="AB3903">
        <v>1E-4</v>
      </c>
      <c r="AC3903">
        <v>8</v>
      </c>
      <c r="AD3903" s="5">
        <v>5.0316020559299552</v>
      </c>
      <c r="AE3903" s="5">
        <v>2.2445271974693957</v>
      </c>
      <c r="AF3903">
        <v>1</v>
      </c>
    </row>
    <row r="3904" spans="27:32" x14ac:dyDescent="0.3">
      <c r="AA3904" s="3">
        <v>-24873.85</v>
      </c>
      <c r="AB3904">
        <v>1E-4</v>
      </c>
      <c r="AC3904">
        <v>9</v>
      </c>
      <c r="AD3904" s="5">
        <v>4.8586264374967794</v>
      </c>
      <c r="AE3904" s="5">
        <v>2.264565450568397</v>
      </c>
      <c r="AF3904">
        <v>1</v>
      </c>
    </row>
    <row r="3905" spans="27:32" x14ac:dyDescent="0.3">
      <c r="AA3905" s="3">
        <v>7371.64</v>
      </c>
      <c r="AB3905">
        <v>1E-4</v>
      </c>
      <c r="AC3905">
        <v>8</v>
      </c>
      <c r="AD3905" s="5">
        <v>5.0400146431879049</v>
      </c>
      <c r="AE3905" s="5">
        <v>2.1570002156548886</v>
      </c>
      <c r="AF3905">
        <v>1</v>
      </c>
    </row>
    <row r="3906" spans="27:32" x14ac:dyDescent="0.3">
      <c r="AA3906" s="3">
        <v>-11851.24</v>
      </c>
      <c r="AB3906">
        <v>1E-4</v>
      </c>
      <c r="AC3906">
        <v>9</v>
      </c>
      <c r="AD3906" s="5">
        <v>4.7401025707787685</v>
      </c>
      <c r="AE3906" s="5">
        <v>2.2384440336251488</v>
      </c>
      <c r="AF3906">
        <v>1</v>
      </c>
    </row>
    <row r="3907" spans="27:32" x14ac:dyDescent="0.3">
      <c r="AA3907" s="3">
        <v>10667.12</v>
      </c>
      <c r="AB3907">
        <v>1E-4</v>
      </c>
      <c r="AC3907">
        <v>8</v>
      </c>
      <c r="AD3907" s="5">
        <v>5.0099859366451502</v>
      </c>
      <c r="AE3907" s="5">
        <v>2.2408164332982365</v>
      </c>
      <c r="AF3907">
        <v>1</v>
      </c>
    </row>
    <row r="3908" spans="27:32" x14ac:dyDescent="0.3">
      <c r="AA3908" s="3">
        <v>30445.79</v>
      </c>
      <c r="AB3908">
        <v>1E-4</v>
      </c>
      <c r="AC3908">
        <v>7</v>
      </c>
      <c r="AD3908" s="5">
        <v>4.9869468294586419</v>
      </c>
      <c r="AE3908" s="5">
        <v>2.2861603503725809</v>
      </c>
      <c r="AF3908">
        <v>1</v>
      </c>
    </row>
    <row r="3909" spans="27:32" x14ac:dyDescent="0.3">
      <c r="AA3909" s="3">
        <v>18067.560000000001</v>
      </c>
      <c r="AB3909">
        <v>1E-4</v>
      </c>
      <c r="AC3909">
        <v>8</v>
      </c>
      <c r="AD3909" s="5">
        <v>5.0292727649109459</v>
      </c>
      <c r="AE3909" s="5">
        <v>2.1688608947660195</v>
      </c>
      <c r="AF3909">
        <v>1</v>
      </c>
    </row>
    <row r="3910" spans="27:32" x14ac:dyDescent="0.3">
      <c r="AA3910" s="3">
        <v>21380.99</v>
      </c>
      <c r="AB3910">
        <v>1E-4</v>
      </c>
      <c r="AC3910">
        <v>8</v>
      </c>
      <c r="AD3910" s="5">
        <v>5.0271189111010326</v>
      </c>
      <c r="AE3910" s="5">
        <v>2.1753573374744781</v>
      </c>
      <c r="AF3910">
        <v>1</v>
      </c>
    </row>
    <row r="3911" spans="27:32" x14ac:dyDescent="0.3">
      <c r="AA3911" s="3">
        <v>14747.2</v>
      </c>
      <c r="AB3911">
        <v>1E-4</v>
      </c>
      <c r="AC3911">
        <v>8</v>
      </c>
      <c r="AD3911" s="5">
        <v>5.0887250393344932</v>
      </c>
      <c r="AE3911" s="5">
        <v>2.2222007916061712</v>
      </c>
      <c r="AF3911">
        <v>1</v>
      </c>
    </row>
    <row r="3912" spans="27:32" x14ac:dyDescent="0.3">
      <c r="AA3912" s="3">
        <v>64522.85</v>
      </c>
      <c r="AB3912">
        <v>1E-4</v>
      </c>
      <c r="AC3912">
        <v>6</v>
      </c>
      <c r="AD3912" s="5">
        <v>5.2222514067508552</v>
      </c>
      <c r="AE3912" s="5">
        <v>2.2667966784997398</v>
      </c>
      <c r="AF3912">
        <v>1</v>
      </c>
    </row>
    <row r="3913" spans="27:32" x14ac:dyDescent="0.3">
      <c r="AA3913" s="3">
        <v>-3072.24</v>
      </c>
      <c r="AB3913">
        <v>1E-4</v>
      </c>
      <c r="AC3913">
        <v>9</v>
      </c>
      <c r="AD3913" s="5">
        <v>4.8767158629312259</v>
      </c>
      <c r="AE3913" s="5">
        <v>2.2252393115120315</v>
      </c>
      <c r="AF3913">
        <v>1</v>
      </c>
    </row>
    <row r="3914" spans="27:32" x14ac:dyDescent="0.3">
      <c r="AA3914" s="3">
        <v>26244.93</v>
      </c>
      <c r="AB3914">
        <v>1E-4</v>
      </c>
      <c r="AC3914">
        <v>8</v>
      </c>
      <c r="AD3914" s="5">
        <v>4.9634157354339505</v>
      </c>
      <c r="AE3914" s="5">
        <v>2.2251749504286251</v>
      </c>
      <c r="AF3914">
        <v>1</v>
      </c>
    </row>
    <row r="3915" spans="27:32" x14ac:dyDescent="0.3">
      <c r="AA3915" s="3">
        <v>27154.98</v>
      </c>
      <c r="AB3915">
        <v>1E-4</v>
      </c>
      <c r="AC3915">
        <v>8</v>
      </c>
      <c r="AD3915" s="5">
        <v>5.0448266363968903</v>
      </c>
      <c r="AE3915" s="5">
        <v>2.1974820954830392</v>
      </c>
      <c r="AF3915">
        <v>1</v>
      </c>
    </row>
    <row r="3916" spans="27:32" x14ac:dyDescent="0.3">
      <c r="AA3916" s="3">
        <v>39386.58</v>
      </c>
      <c r="AB3916">
        <v>1E-4</v>
      </c>
      <c r="AC3916">
        <v>7</v>
      </c>
      <c r="AD3916" s="5">
        <v>4.9352842987699521</v>
      </c>
      <c r="AE3916" s="5">
        <v>2.1384961589268823</v>
      </c>
      <c r="AF3916">
        <v>1</v>
      </c>
    </row>
    <row r="3917" spans="27:32" x14ac:dyDescent="0.3">
      <c r="AA3917" s="3">
        <v>2764.58</v>
      </c>
      <c r="AB3917">
        <v>1E-4</v>
      </c>
      <c r="AC3917">
        <v>8</v>
      </c>
      <c r="AD3917" s="5">
        <v>4.9971963468235261</v>
      </c>
      <c r="AE3917" s="5">
        <v>2.2236459959172987</v>
      </c>
      <c r="AF3917">
        <v>1</v>
      </c>
    </row>
    <row r="3918" spans="27:32" x14ac:dyDescent="0.3">
      <c r="AA3918" s="3">
        <v>-6137.04</v>
      </c>
      <c r="AB3918">
        <v>1E-4</v>
      </c>
      <c r="AC3918">
        <v>9</v>
      </c>
      <c r="AD3918" s="5">
        <v>4.9225902783228355</v>
      </c>
      <c r="AE3918" s="5">
        <v>2.1573390158164982</v>
      </c>
      <c r="AF3918">
        <v>1</v>
      </c>
    </row>
    <row r="3919" spans="27:32" x14ac:dyDescent="0.3">
      <c r="AA3919" s="3">
        <v>-20039.599999999999</v>
      </c>
      <c r="AB3919">
        <v>1E-4</v>
      </c>
      <c r="AC3919">
        <v>9</v>
      </c>
      <c r="AD3919" s="5">
        <v>4.8370289914179807</v>
      </c>
      <c r="AE3919" s="5">
        <v>2.1669968695091693</v>
      </c>
      <c r="AF3919">
        <v>1</v>
      </c>
    </row>
    <row r="3920" spans="27:32" x14ac:dyDescent="0.3">
      <c r="AA3920" s="3">
        <v>-15178.4</v>
      </c>
      <c r="AB3920">
        <v>1E-4</v>
      </c>
      <c r="AC3920">
        <v>9</v>
      </c>
      <c r="AD3920" s="5">
        <v>4.9419689731069569</v>
      </c>
      <c r="AE3920" s="5">
        <v>2.2839335739820661</v>
      </c>
      <c r="AF3920">
        <v>1</v>
      </c>
    </row>
    <row r="3921" spans="27:32" x14ac:dyDescent="0.3">
      <c r="AA3921" s="3">
        <v>11376.96</v>
      </c>
      <c r="AB3921">
        <v>1E-4</v>
      </c>
      <c r="AC3921">
        <v>8</v>
      </c>
      <c r="AD3921" s="5">
        <v>4.8753172940002889</v>
      </c>
      <c r="AE3921" s="5">
        <v>2.1703177956923172</v>
      </c>
      <c r="AF3921">
        <v>1</v>
      </c>
    </row>
    <row r="3922" spans="27:32" x14ac:dyDescent="0.3">
      <c r="AA3922" s="3">
        <v>11137.27</v>
      </c>
      <c r="AB3922">
        <v>1E-4</v>
      </c>
      <c r="AC3922">
        <v>8</v>
      </c>
      <c r="AD3922" s="5">
        <v>5.0338706811894687</v>
      </c>
      <c r="AE3922" s="5">
        <v>2.2352904067186552</v>
      </c>
      <c r="AF3922">
        <v>1</v>
      </c>
    </row>
    <row r="3923" spans="27:32" x14ac:dyDescent="0.3">
      <c r="AA3923" s="3">
        <v>7761.16</v>
      </c>
      <c r="AB3923">
        <v>1E-4</v>
      </c>
      <c r="AC3923">
        <v>8</v>
      </c>
      <c r="AD3923" s="5">
        <v>5.1021373010751683</v>
      </c>
      <c r="AE3923" s="5">
        <v>2.1899932713130568</v>
      </c>
      <c r="AF3923">
        <v>1</v>
      </c>
    </row>
    <row r="3924" spans="27:32" x14ac:dyDescent="0.3">
      <c r="AA3924" s="3">
        <v>-18280.439999999999</v>
      </c>
      <c r="AB3924">
        <v>1E-4</v>
      </c>
      <c r="AC3924">
        <v>9</v>
      </c>
      <c r="AD3924" s="5">
        <v>5.0254252414798897</v>
      </c>
      <c r="AE3924" s="5">
        <v>2.2757322228290593</v>
      </c>
      <c r="AF3924">
        <v>1</v>
      </c>
    </row>
    <row r="3925" spans="27:32" x14ac:dyDescent="0.3">
      <c r="AA3925" s="3">
        <v>12470.77</v>
      </c>
      <c r="AB3925">
        <v>1E-4</v>
      </c>
      <c r="AC3925">
        <v>8</v>
      </c>
      <c r="AD3925" s="5">
        <v>5.2310010684572417</v>
      </c>
      <c r="AE3925" s="5">
        <v>2.1987722580179803</v>
      </c>
      <c r="AF3925">
        <v>1</v>
      </c>
    </row>
    <row r="3926" spans="27:32" x14ac:dyDescent="0.3">
      <c r="AA3926" s="3">
        <v>23506.880000000001</v>
      </c>
      <c r="AB3926">
        <v>1E-4</v>
      </c>
      <c r="AC3926">
        <v>8</v>
      </c>
      <c r="AD3926" s="5">
        <v>5.1018201004577897</v>
      </c>
      <c r="AE3926" s="5">
        <v>2.2377115623728767</v>
      </c>
      <c r="AF3926">
        <v>1</v>
      </c>
    </row>
    <row r="3927" spans="27:32" x14ac:dyDescent="0.3">
      <c r="AA3927" s="3">
        <v>33507.19</v>
      </c>
      <c r="AB3927">
        <v>1E-4</v>
      </c>
      <c r="AC3927">
        <v>7</v>
      </c>
      <c r="AD3927" s="5">
        <v>5.0834941804683762</v>
      </c>
      <c r="AE3927" s="5">
        <v>2.2001380396799157</v>
      </c>
      <c r="AF3927">
        <v>1</v>
      </c>
    </row>
    <row r="3928" spans="27:32" x14ac:dyDescent="0.3">
      <c r="AA3928" s="3">
        <v>17917.05</v>
      </c>
      <c r="AB3928">
        <v>1E-4</v>
      </c>
      <c r="AC3928">
        <v>8</v>
      </c>
      <c r="AD3928" s="5">
        <v>4.9612674991499901</v>
      </c>
      <c r="AE3928" s="5">
        <v>2.1596988395794714</v>
      </c>
      <c r="AF3928">
        <v>1</v>
      </c>
    </row>
    <row r="3929" spans="27:32" x14ac:dyDescent="0.3">
      <c r="AA3929" s="3">
        <v>401.41</v>
      </c>
      <c r="AB3929">
        <v>1E-4</v>
      </c>
      <c r="AC3929">
        <v>8</v>
      </c>
      <c r="AD3929" s="5">
        <v>4.9838931151229708</v>
      </c>
      <c r="AE3929" s="5">
        <v>2.2323421634421665</v>
      </c>
      <c r="AF3929">
        <v>1</v>
      </c>
    </row>
    <row r="3930" spans="27:32" x14ac:dyDescent="0.3">
      <c r="AA3930" s="3">
        <v>-2915.85</v>
      </c>
      <c r="AB3930">
        <v>1E-4</v>
      </c>
      <c r="AC3930">
        <v>9</v>
      </c>
      <c r="AD3930" s="5">
        <v>5.0448016977973626</v>
      </c>
      <c r="AE3930" s="5">
        <v>2.1823551864168964</v>
      </c>
      <c r="AF3930">
        <v>1</v>
      </c>
    </row>
    <row r="3931" spans="27:32" x14ac:dyDescent="0.3">
      <c r="AA3931" s="3">
        <v>39268.19</v>
      </c>
      <c r="AB3931">
        <v>1E-4</v>
      </c>
      <c r="AC3931">
        <v>7</v>
      </c>
      <c r="AD3931" s="5">
        <v>4.9756349458408025</v>
      </c>
      <c r="AE3931" s="5">
        <v>2.2023292337814144</v>
      </c>
      <c r="AF3931">
        <v>1</v>
      </c>
    </row>
    <row r="3932" spans="27:32" x14ac:dyDescent="0.3">
      <c r="AA3932" s="3">
        <v>34070.79</v>
      </c>
      <c r="AB3932">
        <v>1E-4</v>
      </c>
      <c r="AC3932">
        <v>7</v>
      </c>
      <c r="AD3932" s="5">
        <v>5.2405613585946176</v>
      </c>
      <c r="AE3932" s="5">
        <v>2.186688134500391</v>
      </c>
      <c r="AF3932">
        <v>1</v>
      </c>
    </row>
    <row r="3933" spans="27:32" x14ac:dyDescent="0.3">
      <c r="AA3933" s="3">
        <v>27001.67</v>
      </c>
      <c r="AB3933">
        <v>1E-4</v>
      </c>
      <c r="AC3933">
        <v>8</v>
      </c>
      <c r="AD3933" s="5">
        <v>4.8433127728131717</v>
      </c>
      <c r="AE3933" s="5">
        <v>2.1640124824254761</v>
      </c>
      <c r="AF3933">
        <v>1</v>
      </c>
    </row>
    <row r="3934" spans="27:32" x14ac:dyDescent="0.3">
      <c r="AA3934" s="3">
        <v>11919.53</v>
      </c>
      <c r="AB3934">
        <v>1E-4</v>
      </c>
      <c r="AC3934">
        <v>8</v>
      </c>
      <c r="AD3934" s="5">
        <v>5.1677733343418879</v>
      </c>
      <c r="AE3934" s="5">
        <v>2.1590717621663451</v>
      </c>
      <c r="AF3934">
        <v>1</v>
      </c>
    </row>
    <row r="3935" spans="27:32" x14ac:dyDescent="0.3">
      <c r="AA3935" s="3">
        <v>12411.28</v>
      </c>
      <c r="AB3935">
        <v>1E-4</v>
      </c>
      <c r="AC3935">
        <v>8</v>
      </c>
      <c r="AD3935" s="5">
        <v>4.9302265492732964</v>
      </c>
      <c r="AE3935" s="5">
        <v>2.2064042304121565</v>
      </c>
      <c r="AF3935">
        <v>1</v>
      </c>
    </row>
    <row r="3936" spans="27:32" x14ac:dyDescent="0.3">
      <c r="AA3936" s="3">
        <v>29815.759999999998</v>
      </c>
      <c r="AB3936">
        <v>1E-4</v>
      </c>
      <c r="AC3936">
        <v>7</v>
      </c>
      <c r="AD3936" s="5">
        <v>5.0630746989916542</v>
      </c>
      <c r="AE3936" s="5">
        <v>2.2305067508587122</v>
      </c>
      <c r="AF3936">
        <v>1</v>
      </c>
    </row>
    <row r="3937" spans="27:32" x14ac:dyDescent="0.3">
      <c r="AA3937" s="3">
        <v>16265.64</v>
      </c>
      <c r="AB3937">
        <v>1E-4</v>
      </c>
      <c r="AC3937">
        <v>8</v>
      </c>
      <c r="AD3937" s="5">
        <v>4.8891005984370732</v>
      </c>
      <c r="AE3937" s="5">
        <v>2.2428840644422543</v>
      </c>
      <c r="AF3937">
        <v>1</v>
      </c>
    </row>
    <row r="3938" spans="27:32" x14ac:dyDescent="0.3">
      <c r="AA3938" s="3">
        <v>15817.54</v>
      </c>
      <c r="AB3938">
        <v>1E-4</v>
      </c>
      <c r="AC3938">
        <v>8</v>
      </c>
      <c r="AD3938" s="5">
        <v>5.1687464054301007</v>
      </c>
      <c r="AE3938" s="5">
        <v>2.1879694600527322</v>
      </c>
      <c r="AF3938">
        <v>1</v>
      </c>
    </row>
    <row r="3939" spans="27:32" x14ac:dyDescent="0.3">
      <c r="AA3939" s="3">
        <v>4134.16</v>
      </c>
      <c r="AB3939">
        <v>1E-4</v>
      </c>
      <c r="AC3939">
        <v>8</v>
      </c>
      <c r="AD3939" s="5">
        <v>4.9548201261370917</v>
      </c>
      <c r="AE3939" s="5">
        <v>2.2863311868522724</v>
      </c>
      <c r="AF3939">
        <v>1</v>
      </c>
    </row>
    <row r="3940" spans="27:32" x14ac:dyDescent="0.3">
      <c r="AA3940" s="3">
        <v>28191.86</v>
      </c>
      <c r="AB3940">
        <v>1E-4</v>
      </c>
      <c r="AC3940">
        <v>8</v>
      </c>
      <c r="AD3940" s="5">
        <v>5.1688093843724268</v>
      </c>
      <c r="AE3940" s="5">
        <v>2.1809407212334713</v>
      </c>
      <c r="AF3940">
        <v>1</v>
      </c>
    </row>
    <row r="3941" spans="27:32" x14ac:dyDescent="0.3">
      <c r="AA3941" s="3">
        <v>-8490.66</v>
      </c>
      <c r="AB3941">
        <v>1E-4</v>
      </c>
      <c r="AC3941">
        <v>9</v>
      </c>
      <c r="AD3941" s="5">
        <v>4.9175584465016122</v>
      </c>
      <c r="AE3941" s="5">
        <v>2.1920063255883271</v>
      </c>
      <c r="AF3941">
        <v>1</v>
      </c>
    </row>
    <row r="3942" spans="27:32" x14ac:dyDescent="0.3">
      <c r="AA3942" s="3">
        <v>34400.44</v>
      </c>
      <c r="AB3942">
        <v>1E-4</v>
      </c>
      <c r="AC3942">
        <v>7</v>
      </c>
      <c r="AD3942" s="5">
        <v>5.079662838379341</v>
      </c>
      <c r="AE3942" s="5">
        <v>2.1842837424942974</v>
      </c>
      <c r="AF3942">
        <v>1</v>
      </c>
    </row>
    <row r="3943" spans="27:32" x14ac:dyDescent="0.3">
      <c r="AA3943" s="3">
        <v>32382.83</v>
      </c>
      <c r="AB3943">
        <v>1E-4</v>
      </c>
      <c r="AC3943">
        <v>8</v>
      </c>
      <c r="AD3943" s="5">
        <v>5.2547851918303179</v>
      </c>
      <c r="AE3943" s="5">
        <v>2.2391189770767923</v>
      </c>
      <c r="AF3943">
        <v>1</v>
      </c>
    </row>
    <row r="3944" spans="27:32" x14ac:dyDescent="0.3">
      <c r="AA3944" s="3">
        <v>54754.48</v>
      </c>
      <c r="AB3944">
        <v>1E-4</v>
      </c>
      <c r="AC3944">
        <v>6</v>
      </c>
      <c r="AD3944" s="5">
        <v>5.1365581316781714</v>
      </c>
      <c r="AE3944" s="5">
        <v>2.1783311888944934</v>
      </c>
      <c r="AF3944">
        <v>1</v>
      </c>
    </row>
    <row r="3945" spans="27:32" x14ac:dyDescent="0.3">
      <c r="AA3945" s="3">
        <v>28215.72</v>
      </c>
      <c r="AB3945">
        <v>1E-4</v>
      </c>
      <c r="AC3945">
        <v>8</v>
      </c>
      <c r="AD3945" s="5">
        <v>5.1250533918596011</v>
      </c>
      <c r="AE3945" s="5">
        <v>2.1614050710672226</v>
      </c>
      <c r="AF3945">
        <v>1</v>
      </c>
    </row>
    <row r="3946" spans="27:32" x14ac:dyDescent="0.3">
      <c r="AA3946" s="3">
        <v>-29553.008555684104</v>
      </c>
      <c r="AB3946">
        <v>1E-4</v>
      </c>
      <c r="AC3946">
        <v>9</v>
      </c>
      <c r="AD3946" s="5">
        <v>4.806923640169714</v>
      </c>
      <c r="AE3946" s="5">
        <v>2.2501671477057901</v>
      </c>
      <c r="AF3946">
        <v>0</v>
      </c>
    </row>
    <row r="3947" spans="27:32" x14ac:dyDescent="0.3">
      <c r="AA3947" s="3">
        <v>42962.7</v>
      </c>
      <c r="AB3947">
        <v>1E-4</v>
      </c>
      <c r="AC3947">
        <v>7</v>
      </c>
      <c r="AD3947" s="5">
        <v>5.0979498120220148</v>
      </c>
      <c r="AE3947" s="5">
        <v>2.1903225704527194</v>
      </c>
      <c r="AF3947">
        <v>1</v>
      </c>
    </row>
    <row r="3948" spans="27:32" x14ac:dyDescent="0.3">
      <c r="AA3948" s="3">
        <v>5994.58</v>
      </c>
      <c r="AB3948">
        <v>1E-4</v>
      </c>
      <c r="AC3948">
        <v>8</v>
      </c>
      <c r="AD3948" s="5">
        <v>4.9931198239022958</v>
      </c>
      <c r="AE3948" s="5">
        <v>2.2134865090726317</v>
      </c>
      <c r="AF3948">
        <v>1</v>
      </c>
    </row>
    <row r="3949" spans="27:32" x14ac:dyDescent="0.3">
      <c r="AA3949" s="3">
        <v>-12758.4</v>
      </c>
      <c r="AB3949">
        <v>1E-4</v>
      </c>
      <c r="AC3949">
        <v>9</v>
      </c>
      <c r="AD3949" s="5">
        <v>4.861910448086876</v>
      </c>
      <c r="AE3949" s="5">
        <v>2.1833423798270482</v>
      </c>
      <c r="AF3949">
        <v>1</v>
      </c>
    </row>
    <row r="3950" spans="27:32" x14ac:dyDescent="0.3">
      <c r="AA3950" s="3">
        <v>8074.98</v>
      </c>
      <c r="AB3950">
        <v>1E-4</v>
      </c>
      <c r="AC3950">
        <v>8</v>
      </c>
      <c r="AD3950" s="5">
        <v>4.9534226257140821</v>
      </c>
      <c r="AE3950" s="5">
        <v>2.2342773004321046</v>
      </c>
      <c r="AF3950">
        <v>1</v>
      </c>
    </row>
    <row r="3951" spans="27:32" x14ac:dyDescent="0.3">
      <c r="AA3951" s="3">
        <v>-12320.72</v>
      </c>
      <c r="AB3951">
        <v>1E-4</v>
      </c>
      <c r="AC3951">
        <v>9</v>
      </c>
      <c r="AD3951" s="5">
        <v>5.0457832932649307</v>
      </c>
      <c r="AE3951" s="5">
        <v>2.2313372153452131</v>
      </c>
      <c r="AF3951">
        <v>1</v>
      </c>
    </row>
    <row r="3952" spans="27:32" x14ac:dyDescent="0.3">
      <c r="AA3952" s="3">
        <v>9451.02</v>
      </c>
      <c r="AB3952">
        <v>1E-4</v>
      </c>
      <c r="AC3952">
        <v>8</v>
      </c>
      <c r="AD3952" s="5">
        <v>4.9843724457002097</v>
      </c>
      <c r="AE3952" s="5">
        <v>2.2845487803843234</v>
      </c>
      <c r="AF3952">
        <v>1</v>
      </c>
    </row>
    <row r="3953" spans="27:32" x14ac:dyDescent="0.3">
      <c r="AA3953" s="3">
        <v>9616.8799999999992</v>
      </c>
      <c r="AB3953">
        <v>1E-4</v>
      </c>
      <c r="AC3953">
        <v>8</v>
      </c>
      <c r="AD3953" s="5">
        <v>5.0571303565074821</v>
      </c>
      <c r="AE3953" s="5">
        <v>2.2207341999920946</v>
      </c>
      <c r="AF3953">
        <v>1</v>
      </c>
    </row>
    <row r="3954" spans="27:32" x14ac:dyDescent="0.3">
      <c r="AA3954" s="3">
        <v>5858.04</v>
      </c>
      <c r="AB3954">
        <v>1E-4</v>
      </c>
      <c r="AC3954">
        <v>8</v>
      </c>
      <c r="AD3954" s="5">
        <v>5.0521216073210828</v>
      </c>
      <c r="AE3954" s="5">
        <v>2.1488777769495893</v>
      </c>
      <c r="AF3954">
        <v>1</v>
      </c>
    </row>
    <row r="3955" spans="27:32" x14ac:dyDescent="0.3">
      <c r="AA3955" s="3">
        <v>8975.5300000000007</v>
      </c>
      <c r="AB3955">
        <v>1E-4</v>
      </c>
      <c r="AC3955">
        <v>8</v>
      </c>
      <c r="AD3955" s="5">
        <v>4.9452965764426562</v>
      </c>
      <c r="AE3955" s="5">
        <v>2.2284871369079369</v>
      </c>
      <c r="AF3955">
        <v>1</v>
      </c>
    </row>
    <row r="3956" spans="27:32" x14ac:dyDescent="0.3">
      <c r="AA3956" s="3">
        <v>32881.230000000003</v>
      </c>
      <c r="AB3956">
        <v>1E-4</v>
      </c>
      <c r="AC3956">
        <v>7</v>
      </c>
      <c r="AD3956" s="5">
        <v>5.0598081216034263</v>
      </c>
      <c r="AE3956" s="5">
        <v>2.1940041864826685</v>
      </c>
      <c r="AF3956">
        <v>1</v>
      </c>
    </row>
    <row r="3957" spans="27:32" x14ac:dyDescent="0.3">
      <c r="AA3957" s="3">
        <v>31618.99</v>
      </c>
      <c r="AB3957">
        <v>1E-4</v>
      </c>
      <c r="AC3957">
        <v>8</v>
      </c>
      <c r="AD3957" s="5">
        <v>5.0329103016434029</v>
      </c>
      <c r="AE3957" s="5">
        <v>2.1091015140907019</v>
      </c>
      <c r="AF3957">
        <v>1</v>
      </c>
    </row>
    <row r="3958" spans="27:32" x14ac:dyDescent="0.3">
      <c r="AA3958" s="3">
        <v>-297.56</v>
      </c>
      <c r="AB3958">
        <v>1E-4</v>
      </c>
      <c r="AC3958">
        <v>9</v>
      </c>
      <c r="AD3958" s="5">
        <v>5.0617420618739342</v>
      </c>
      <c r="AE3958" s="5">
        <v>2.2103706001681926</v>
      </c>
      <c r="AF3958">
        <v>1</v>
      </c>
    </row>
    <row r="3959" spans="27:32" x14ac:dyDescent="0.3">
      <c r="AA3959" s="3">
        <v>22821.75</v>
      </c>
      <c r="AB3959">
        <v>1E-4</v>
      </c>
      <c r="AC3959">
        <v>8</v>
      </c>
      <c r="AD3959" s="5">
        <v>5.153571941615076</v>
      </c>
      <c r="AE3959" s="5">
        <v>2.1620074106935436</v>
      </c>
      <c r="AF3959">
        <v>1</v>
      </c>
    </row>
    <row r="3960" spans="27:32" x14ac:dyDescent="0.3">
      <c r="AA3960" s="3">
        <v>62501.21</v>
      </c>
      <c r="AB3960">
        <v>1E-4</v>
      </c>
      <c r="AC3960">
        <v>6</v>
      </c>
      <c r="AD3960" s="5">
        <v>5.1424930896924224</v>
      </c>
      <c r="AE3960" s="5">
        <v>2.1259531988486335</v>
      </c>
      <c r="AF3960">
        <v>1</v>
      </c>
    </row>
    <row r="3961" spans="27:32" x14ac:dyDescent="0.3">
      <c r="AA3961" s="3">
        <v>28588.49</v>
      </c>
      <c r="AB3961">
        <v>1E-4</v>
      </c>
      <c r="AC3961">
        <v>8</v>
      </c>
      <c r="AD3961" s="5">
        <v>5.0787741794806891</v>
      </c>
      <c r="AE3961" s="5">
        <v>2.235405818165451</v>
      </c>
      <c r="AF3961">
        <v>1</v>
      </c>
    </row>
    <row r="3962" spans="27:32" x14ac:dyDescent="0.3">
      <c r="AA3962" s="3">
        <v>42937.599999999999</v>
      </c>
      <c r="AB3962">
        <v>1E-4</v>
      </c>
      <c r="AC3962">
        <v>7</v>
      </c>
      <c r="AD3962" s="5">
        <v>4.9991702392552488</v>
      </c>
      <c r="AE3962" s="5">
        <v>2.1507070203219607</v>
      </c>
      <c r="AF3962">
        <v>1</v>
      </c>
    </row>
    <row r="3963" spans="27:32" x14ac:dyDescent="0.3">
      <c r="AA3963" s="3">
        <v>24504.75</v>
      </c>
      <c r="AB3963">
        <v>1E-4</v>
      </c>
      <c r="AC3963">
        <v>8</v>
      </c>
      <c r="AD3963" s="5">
        <v>4.9516128129050072</v>
      </c>
      <c r="AE3963" s="5">
        <v>2.1370914478661183</v>
      </c>
      <c r="AF3963">
        <v>1</v>
      </c>
    </row>
    <row r="3964" spans="27:32" x14ac:dyDescent="0.3">
      <c r="AA3964" s="3">
        <v>2293.36</v>
      </c>
      <c r="AB3964">
        <v>1E-4</v>
      </c>
      <c r="AC3964">
        <v>8</v>
      </c>
      <c r="AD3964" s="5">
        <v>4.8723546352280511</v>
      </c>
      <c r="AE3964" s="5">
        <v>2.285236320760371</v>
      </c>
      <c r="AF3964">
        <v>1</v>
      </c>
    </row>
    <row r="3965" spans="27:32" x14ac:dyDescent="0.3">
      <c r="AA3965" s="3">
        <v>22873.1</v>
      </c>
      <c r="AB3965">
        <v>1E-4</v>
      </c>
      <c r="AC3965">
        <v>8</v>
      </c>
      <c r="AD3965" s="5">
        <v>5.1956234163019541</v>
      </c>
      <c r="AE3965" s="5">
        <v>2.2774873449189199</v>
      </c>
      <c r="AF3965">
        <v>1</v>
      </c>
    </row>
    <row r="3966" spans="27:32" x14ac:dyDescent="0.3">
      <c r="AA3966" s="3">
        <v>10911.11</v>
      </c>
      <c r="AB3966">
        <v>1E-4</v>
      </c>
      <c r="AC3966">
        <v>8</v>
      </c>
      <c r="AD3966" s="5">
        <v>5.0129411167449414</v>
      </c>
      <c r="AE3966" s="5">
        <v>2.2468561081655167</v>
      </c>
      <c r="AF3966">
        <v>1</v>
      </c>
    </row>
    <row r="3967" spans="27:32" x14ac:dyDescent="0.3">
      <c r="AA3967" s="3">
        <v>30193.79</v>
      </c>
      <c r="AB3967">
        <v>1E-4</v>
      </c>
      <c r="AC3967">
        <v>7</v>
      </c>
      <c r="AD3967" s="5">
        <v>5.1328987607520817</v>
      </c>
      <c r="AE3967" s="5">
        <v>2.2209994135034679</v>
      </c>
      <c r="AF3967">
        <v>1</v>
      </c>
    </row>
    <row r="3968" spans="27:32" x14ac:dyDescent="0.3">
      <c r="AA3968" s="3">
        <v>-14900.169483081974</v>
      </c>
      <c r="AB3968">
        <v>1E-4</v>
      </c>
      <c r="AC3968">
        <v>8</v>
      </c>
      <c r="AD3968" s="5">
        <v>5.0873811794860933</v>
      </c>
      <c r="AE3968" s="5">
        <v>2.1727384458706545</v>
      </c>
      <c r="AF3968">
        <v>0</v>
      </c>
    </row>
    <row r="3969" spans="27:32" x14ac:dyDescent="0.3">
      <c r="AA3969" s="3">
        <v>-17523.439999999999</v>
      </c>
      <c r="AB3969">
        <v>1E-4</v>
      </c>
      <c r="AC3969">
        <v>9</v>
      </c>
      <c r="AD3969" s="5">
        <v>4.9527673571361461</v>
      </c>
      <c r="AE3969" s="5">
        <v>2.2723507685624198</v>
      </c>
      <c r="AF3969">
        <v>1</v>
      </c>
    </row>
    <row r="3970" spans="27:32" x14ac:dyDescent="0.3">
      <c r="AA3970" s="3">
        <v>6982.34</v>
      </c>
      <c r="AB3970">
        <v>1E-4</v>
      </c>
      <c r="AC3970">
        <v>8</v>
      </c>
      <c r="AD3970" s="5">
        <v>4.7855272029843698</v>
      </c>
      <c r="AE3970" s="5">
        <v>2.2851470926022008</v>
      </c>
      <c r="AF3970">
        <v>1</v>
      </c>
    </row>
    <row r="3971" spans="27:32" x14ac:dyDescent="0.3">
      <c r="AA3971" s="3">
        <v>1943.31</v>
      </c>
      <c r="AB3971">
        <v>1E-4</v>
      </c>
      <c r="AC3971">
        <v>8</v>
      </c>
      <c r="AD3971" s="5">
        <v>4.9600333334142332</v>
      </c>
      <c r="AE3971" s="5">
        <v>2.1599373992398583</v>
      </c>
      <c r="AF3971">
        <v>1</v>
      </c>
    </row>
    <row r="3972" spans="27:32" x14ac:dyDescent="0.3">
      <c r="AA3972" s="3">
        <v>26100.41</v>
      </c>
      <c r="AB3972">
        <v>1E-4</v>
      </c>
      <c r="AC3972">
        <v>8</v>
      </c>
      <c r="AD3972" s="5">
        <v>4.9282106572584299</v>
      </c>
      <c r="AE3972" s="5">
        <v>2.2367825186072623</v>
      </c>
      <c r="AF3972">
        <v>1</v>
      </c>
    </row>
    <row r="3973" spans="27:32" x14ac:dyDescent="0.3">
      <c r="AA3973" s="3">
        <v>63178.49</v>
      </c>
      <c r="AB3973">
        <v>1E-4</v>
      </c>
      <c r="AC3973">
        <v>6</v>
      </c>
      <c r="AD3973" s="5">
        <v>5.2420408136127872</v>
      </c>
      <c r="AE3973" s="5">
        <v>2.1835451334114593</v>
      </c>
      <c r="AF3973">
        <v>1</v>
      </c>
    </row>
    <row r="3974" spans="27:32" x14ac:dyDescent="0.3">
      <c r="AA3974" s="3">
        <v>12634.89</v>
      </c>
      <c r="AB3974">
        <v>1E-4</v>
      </c>
      <c r="AC3974">
        <v>8</v>
      </c>
      <c r="AD3974" s="5">
        <v>5.0942386860745614</v>
      </c>
      <c r="AE3974" s="5">
        <v>2.2593734151166749</v>
      </c>
      <c r="AF3974">
        <v>1</v>
      </c>
    </row>
    <row r="3975" spans="27:32" x14ac:dyDescent="0.3">
      <c r="AA3975" s="3">
        <v>16781.189999999999</v>
      </c>
      <c r="AB3975">
        <v>1E-4</v>
      </c>
      <c r="AC3975">
        <v>8</v>
      </c>
      <c r="AD3975" s="5">
        <v>4.9261456374989159</v>
      </c>
      <c r="AE3975" s="5">
        <v>2.1219997010966356</v>
      </c>
      <c r="AF3975">
        <v>1</v>
      </c>
    </row>
    <row r="3976" spans="27:32" x14ac:dyDescent="0.3">
      <c r="AA3976" s="3">
        <v>1480.94</v>
      </c>
      <c r="AB3976">
        <v>1E-4</v>
      </c>
      <c r="AC3976">
        <v>8</v>
      </c>
      <c r="AD3976" s="5">
        <v>5.0204211983722002</v>
      </c>
      <c r="AE3976" s="5">
        <v>2.1366806220792887</v>
      </c>
      <c r="AF3976">
        <v>1</v>
      </c>
    </row>
    <row r="3977" spans="27:32" x14ac:dyDescent="0.3">
      <c r="AA3977" s="3">
        <v>4352.8500000000004</v>
      </c>
      <c r="AB3977">
        <v>1E-4</v>
      </c>
      <c r="AC3977">
        <v>8</v>
      </c>
      <c r="AD3977" s="5">
        <v>4.8172399949794187</v>
      </c>
      <c r="AE3977" s="5">
        <v>2.2474892060821996</v>
      </c>
      <c r="AF3977">
        <v>1</v>
      </c>
    </row>
    <row r="3978" spans="27:32" x14ac:dyDescent="0.3">
      <c r="AA3978" s="3">
        <v>-7273.92</v>
      </c>
      <c r="AB3978">
        <v>1E-4</v>
      </c>
      <c r="AC3978">
        <v>9</v>
      </c>
      <c r="AD3978" s="5">
        <v>4.9806547308924216</v>
      </c>
      <c r="AE3978" s="5">
        <v>2.2805435650030765</v>
      </c>
      <c r="AF3978">
        <v>1</v>
      </c>
    </row>
    <row r="3979" spans="27:32" x14ac:dyDescent="0.3">
      <c r="AA3979" s="3">
        <v>12059.48</v>
      </c>
      <c r="AB3979">
        <v>1E-4</v>
      </c>
      <c r="AC3979">
        <v>8</v>
      </c>
      <c r="AD3979" s="5">
        <v>5.0344275846063011</v>
      </c>
      <c r="AE3979" s="5">
        <v>2.2179377219686107</v>
      </c>
      <c r="AF3979">
        <v>1</v>
      </c>
    </row>
    <row r="3980" spans="27:32" x14ac:dyDescent="0.3">
      <c r="AA3980" s="3">
        <v>33172.230000000003</v>
      </c>
      <c r="AB3980">
        <v>1E-4</v>
      </c>
      <c r="AC3980">
        <v>7</v>
      </c>
      <c r="AD3980" s="5">
        <v>5.0721572103553729</v>
      </c>
      <c r="AE3980" s="5">
        <v>2.1763471691662786</v>
      </c>
      <c r="AF3980">
        <v>1</v>
      </c>
    </row>
    <row r="3981" spans="27:32" x14ac:dyDescent="0.3">
      <c r="AA3981" s="3">
        <v>12912.25</v>
      </c>
      <c r="AB3981">
        <v>1E-4</v>
      </c>
      <c r="AC3981">
        <v>8</v>
      </c>
      <c r="AD3981" s="5">
        <v>4.989138506091586</v>
      </c>
      <c r="AE3981" s="5">
        <v>2.2629854377198946</v>
      </c>
      <c r="AF3981">
        <v>1</v>
      </c>
    </row>
    <row r="3982" spans="27:32" x14ac:dyDescent="0.3">
      <c r="AA3982" s="3">
        <v>22329.35</v>
      </c>
      <c r="AB3982">
        <v>1E-4</v>
      </c>
      <c r="AC3982">
        <v>8</v>
      </c>
      <c r="AD3982" s="5">
        <v>5.0785730234735365</v>
      </c>
      <c r="AE3982" s="5">
        <v>2.2073005828131844</v>
      </c>
      <c r="AF3982">
        <v>1</v>
      </c>
    </row>
    <row r="3983" spans="27:32" x14ac:dyDescent="0.3">
      <c r="AA3983" s="3">
        <v>12532.02</v>
      </c>
      <c r="AB3983">
        <v>1E-4</v>
      </c>
      <c r="AC3983">
        <v>8</v>
      </c>
      <c r="AD3983" s="5">
        <v>4.8505472656203139</v>
      </c>
      <c r="AE3983" s="5">
        <v>2.1782779255087665</v>
      </c>
      <c r="AF3983">
        <v>1</v>
      </c>
    </row>
    <row r="3984" spans="27:32" x14ac:dyDescent="0.3">
      <c r="AA3984" s="3">
        <v>37070.449999999997</v>
      </c>
      <c r="AB3984">
        <v>1E-4</v>
      </c>
      <c r="AC3984">
        <v>7</v>
      </c>
      <c r="AD3984" s="5">
        <v>4.9863140725843973</v>
      </c>
      <c r="AE3984" s="5">
        <v>2.1374235105464185</v>
      </c>
      <c r="AF3984">
        <v>1</v>
      </c>
    </row>
    <row r="3985" spans="27:32" x14ac:dyDescent="0.3">
      <c r="AA3985" s="3">
        <v>58641.23</v>
      </c>
      <c r="AB3985">
        <v>1E-4</v>
      </c>
      <c r="AC3985">
        <v>6</v>
      </c>
      <c r="AD3985" s="5">
        <v>5.003016366757814</v>
      </c>
      <c r="AE3985" s="5">
        <v>2.1803261310820905</v>
      </c>
      <c r="AF3985">
        <v>1</v>
      </c>
    </row>
    <row r="3986" spans="27:32" x14ac:dyDescent="0.3">
      <c r="AA3986" s="3">
        <v>41260.03</v>
      </c>
      <c r="AB3986">
        <v>1E-4</v>
      </c>
      <c r="AC3986">
        <v>7</v>
      </c>
      <c r="AD3986" s="5">
        <v>4.9316038583198072</v>
      </c>
      <c r="AE3986" s="5">
        <v>2.0491338272922621</v>
      </c>
      <c r="AF3986">
        <v>1</v>
      </c>
    </row>
    <row r="3987" spans="27:32" x14ac:dyDescent="0.3">
      <c r="AA3987" s="3">
        <v>1973.84</v>
      </c>
      <c r="AB3987">
        <v>1E-4</v>
      </c>
      <c r="AC3987">
        <v>8</v>
      </c>
      <c r="AD3987" s="5">
        <v>5.050907683914323</v>
      </c>
      <c r="AE3987" s="5">
        <v>2.280705621068543</v>
      </c>
      <c r="AF3987">
        <v>1</v>
      </c>
    </row>
    <row r="3988" spans="27:32" x14ac:dyDescent="0.3">
      <c r="AA3988" s="3">
        <v>29868.84</v>
      </c>
      <c r="AB3988">
        <v>1E-4</v>
      </c>
      <c r="AC3988">
        <v>8</v>
      </c>
      <c r="AD3988" s="5">
        <v>5.1570500252862708</v>
      </c>
      <c r="AE3988" s="5">
        <v>2.1202594217098261</v>
      </c>
      <c r="AF3988">
        <v>1</v>
      </c>
    </row>
    <row r="3989" spans="27:32" x14ac:dyDescent="0.3">
      <c r="AA3989" s="3">
        <v>-13551.3</v>
      </c>
      <c r="AB3989">
        <v>1E-4</v>
      </c>
      <c r="AC3989">
        <v>9</v>
      </c>
      <c r="AD3989" s="5">
        <v>4.823327832963856</v>
      </c>
      <c r="AE3989" s="5">
        <v>2.3191418482771775</v>
      </c>
      <c r="AF3989">
        <v>1</v>
      </c>
    </row>
    <row r="3990" spans="27:32" x14ac:dyDescent="0.3">
      <c r="AA3990" s="3">
        <v>34458.769999999997</v>
      </c>
      <c r="AB3990">
        <v>1E-4</v>
      </c>
      <c r="AC3990">
        <v>7</v>
      </c>
      <c r="AD3990" s="5">
        <v>5.0281929555270333</v>
      </c>
      <c r="AE3990" s="5">
        <v>2.1149806854932374</v>
      </c>
      <c r="AF3990">
        <v>1</v>
      </c>
    </row>
    <row r="3991" spans="27:32" x14ac:dyDescent="0.3">
      <c r="AA3991" s="3">
        <v>51046.71</v>
      </c>
      <c r="AB3991">
        <v>1E-4</v>
      </c>
      <c r="AC3991">
        <v>6</v>
      </c>
      <c r="AD3991" s="5">
        <v>5.0029836985084986</v>
      </c>
      <c r="AE3991" s="5">
        <v>2.1300626863126442</v>
      </c>
      <c r="AF3991">
        <v>1</v>
      </c>
    </row>
    <row r="3992" spans="27:32" x14ac:dyDescent="0.3">
      <c r="AA3992" s="3">
        <v>3554.83</v>
      </c>
      <c r="AB3992">
        <v>1E-4</v>
      </c>
      <c r="AC3992">
        <v>8</v>
      </c>
      <c r="AD3992" s="5">
        <v>5.1188669351038447</v>
      </c>
      <c r="AE3992" s="5">
        <v>2.237336275133643</v>
      </c>
      <c r="AF3992">
        <v>1</v>
      </c>
    </row>
    <row r="3993" spans="27:32" x14ac:dyDescent="0.3">
      <c r="AA3993" s="3">
        <v>29366.6</v>
      </c>
      <c r="AB3993">
        <v>1E-4</v>
      </c>
      <c r="AC3993">
        <v>8</v>
      </c>
      <c r="AD3993" s="5">
        <v>5.2299741997278968</v>
      </c>
      <c r="AE3993" s="5">
        <v>2.2298944549430733</v>
      </c>
      <c r="AF3993">
        <v>1</v>
      </c>
    </row>
    <row r="3994" spans="27:32" x14ac:dyDescent="0.3">
      <c r="AA3994" s="3">
        <v>14897.73</v>
      </c>
      <c r="AB3994">
        <v>1E-4</v>
      </c>
      <c r="AC3994">
        <v>8</v>
      </c>
      <c r="AD3994" s="5">
        <v>4.87814274534405</v>
      </c>
      <c r="AE3994" s="5">
        <v>2.0714067271475161</v>
      </c>
      <c r="AF3994">
        <v>1</v>
      </c>
    </row>
    <row r="3995" spans="27:32" x14ac:dyDescent="0.3">
      <c r="AA3995" s="3">
        <v>39250.620000000003</v>
      </c>
      <c r="AB3995">
        <v>1E-4</v>
      </c>
      <c r="AC3995">
        <v>7</v>
      </c>
      <c r="AD3995" s="5">
        <v>4.9765995289870713</v>
      </c>
      <c r="AE3995" s="5">
        <v>2.2237364495816898</v>
      </c>
      <c r="AF3995">
        <v>1</v>
      </c>
    </row>
    <row r="3996" spans="27:32" x14ac:dyDescent="0.3">
      <c r="AA3996" s="3">
        <v>17383.97</v>
      </c>
      <c r="AB3996">
        <v>1E-4</v>
      </c>
      <c r="AC3996">
        <v>8</v>
      </c>
      <c r="AD3996" s="5">
        <v>4.9489851457505951</v>
      </c>
      <c r="AE3996" s="5">
        <v>2.1628842607102547</v>
      </c>
      <c r="AF3996">
        <v>1</v>
      </c>
    </row>
    <row r="3997" spans="27:32" x14ac:dyDescent="0.3">
      <c r="AA3997" s="3">
        <v>5759.29</v>
      </c>
      <c r="AB3997">
        <v>1E-4</v>
      </c>
      <c r="AC3997">
        <v>8</v>
      </c>
      <c r="AD3997" s="5">
        <v>4.9169923121244388</v>
      </c>
      <c r="AE3997" s="5">
        <v>2.1128385112147745</v>
      </c>
      <c r="AF3997">
        <v>1</v>
      </c>
    </row>
    <row r="3998" spans="27:32" x14ac:dyDescent="0.3">
      <c r="AA3998" s="3">
        <v>6057.72</v>
      </c>
      <c r="AB3998">
        <v>1E-4</v>
      </c>
      <c r="AC3998">
        <v>8</v>
      </c>
      <c r="AD3998" s="5">
        <v>4.933794452341548</v>
      </c>
      <c r="AE3998" s="5">
        <v>2.1374058228336383</v>
      </c>
      <c r="AF3998">
        <v>1</v>
      </c>
    </row>
    <row r="3999" spans="27:32" x14ac:dyDescent="0.3">
      <c r="AA3999" s="3">
        <v>6428.69</v>
      </c>
      <c r="AB3999">
        <v>1E-4</v>
      </c>
      <c r="AC3999">
        <v>8</v>
      </c>
      <c r="AD3999" s="5">
        <v>4.9675519180191614</v>
      </c>
      <c r="AE3999" s="5">
        <v>2.2224603161228034</v>
      </c>
      <c r="AF3999">
        <v>1</v>
      </c>
    </row>
    <row r="4000" spans="27:32" x14ac:dyDescent="0.3">
      <c r="AA4000" s="3">
        <v>21781.91</v>
      </c>
      <c r="AB4000">
        <v>1E-4</v>
      </c>
      <c r="AC4000">
        <v>8</v>
      </c>
      <c r="AD4000" s="5">
        <v>4.9362709094152768</v>
      </c>
      <c r="AE4000" s="5">
        <v>2.217894470868607</v>
      </c>
      <c r="AF4000">
        <v>1</v>
      </c>
    </row>
    <row r="4001" spans="27:32" x14ac:dyDescent="0.3">
      <c r="AA4001" s="3">
        <v>82323.55</v>
      </c>
      <c r="AB4001">
        <v>1E-4</v>
      </c>
      <c r="AC4001">
        <v>5</v>
      </c>
      <c r="AD4001" s="5">
        <v>5.1365814334109148</v>
      </c>
      <c r="AE4001" s="5">
        <v>2.161949009052595</v>
      </c>
      <c r="AF4001">
        <v>1</v>
      </c>
    </row>
    <row r="4002" spans="27:32" x14ac:dyDescent="0.3">
      <c r="AA4002" s="3">
        <v>45921.89</v>
      </c>
      <c r="AB4002">
        <v>1E-4</v>
      </c>
      <c r="AC4002">
        <v>7</v>
      </c>
      <c r="AD4002" s="5">
        <v>5.0225456009475069</v>
      </c>
      <c r="AE4002" s="5">
        <v>2.1921688930169934</v>
      </c>
      <c r="AF4002">
        <v>1</v>
      </c>
    </row>
    <row r="4003" spans="27:32" x14ac:dyDescent="0.3">
      <c r="AA4003" s="3">
        <v>-19740.035934891348</v>
      </c>
      <c r="AB4003">
        <v>1E-4</v>
      </c>
      <c r="AC4003">
        <v>9</v>
      </c>
      <c r="AD4003" s="5">
        <v>4.9022707484042973</v>
      </c>
      <c r="AE4003" s="5">
        <v>2.1981228815274858</v>
      </c>
      <c r="AF4003">
        <v>0</v>
      </c>
    </row>
    <row r="4004" spans="27:32" x14ac:dyDescent="0.3">
      <c r="AA4004" s="3">
        <v>51523.92</v>
      </c>
      <c r="AB4004">
        <v>1E-4</v>
      </c>
      <c r="AC4004">
        <v>6</v>
      </c>
      <c r="AD4004" s="5">
        <v>4.9887942555282212</v>
      </c>
      <c r="AE4004" s="5">
        <v>2.210995311554993</v>
      </c>
      <c r="AF4004">
        <v>1</v>
      </c>
    </row>
    <row r="4005" spans="27:32" x14ac:dyDescent="0.3">
      <c r="AA4005" s="3">
        <v>-17075.68</v>
      </c>
      <c r="AB4005">
        <v>1E-4</v>
      </c>
      <c r="AC4005">
        <v>9</v>
      </c>
      <c r="AD4005" s="5">
        <v>5.0337491285406228</v>
      </c>
      <c r="AE4005" s="5">
        <v>2.2228715011874645</v>
      </c>
      <c r="AF4005">
        <v>1</v>
      </c>
    </row>
    <row r="4006" spans="27:32" x14ac:dyDescent="0.3">
      <c r="AA4006" s="3">
        <v>21245.86</v>
      </c>
      <c r="AB4006">
        <v>1E-4</v>
      </c>
      <c r="AC4006">
        <v>8</v>
      </c>
      <c r="AD4006" s="5">
        <v>4.962102529994274</v>
      </c>
      <c r="AE4006" s="5">
        <v>2.1758945823715341</v>
      </c>
      <c r="AF4006">
        <v>1</v>
      </c>
    </row>
    <row r="4007" spans="27:32" x14ac:dyDescent="0.3">
      <c r="AA4007" s="3">
        <v>22375.81</v>
      </c>
      <c r="AB4007">
        <v>1E-4</v>
      </c>
      <c r="AC4007">
        <v>8</v>
      </c>
      <c r="AD4007" s="5">
        <v>5.0687340965462075</v>
      </c>
      <c r="AE4007" s="5">
        <v>2.2113680482568627</v>
      </c>
      <c r="AF4007">
        <v>1</v>
      </c>
    </row>
    <row r="4008" spans="27:32" x14ac:dyDescent="0.3">
      <c r="AA4008" s="3">
        <v>25697.279999999999</v>
      </c>
      <c r="AB4008">
        <v>1E-4</v>
      </c>
      <c r="AC4008">
        <v>8</v>
      </c>
      <c r="AD4008" s="5">
        <v>4.9620927435005084</v>
      </c>
      <c r="AE4008" s="5">
        <v>2.1614497360361877</v>
      </c>
      <c r="AF4008">
        <v>1</v>
      </c>
    </row>
    <row r="4009" spans="27:32" x14ac:dyDescent="0.3">
      <c r="AA4009" s="3">
        <v>9444.4599999999991</v>
      </c>
      <c r="AB4009">
        <v>1E-4</v>
      </c>
      <c r="AC4009">
        <v>8</v>
      </c>
      <c r="AD4009" s="5">
        <v>5.0381198147757056</v>
      </c>
      <c r="AE4009" s="5">
        <v>2.1913899775825985</v>
      </c>
      <c r="AF4009">
        <v>1</v>
      </c>
    </row>
    <row r="4010" spans="27:32" x14ac:dyDescent="0.3">
      <c r="AA4010" s="3">
        <v>22284.16</v>
      </c>
      <c r="AB4010">
        <v>1E-4</v>
      </c>
      <c r="AC4010">
        <v>8</v>
      </c>
      <c r="AD4010" s="5">
        <v>4.9647694598465932</v>
      </c>
      <c r="AE4010" s="5">
        <v>2.2804937186539189</v>
      </c>
      <c r="AF4010">
        <v>1</v>
      </c>
    </row>
    <row r="4011" spans="27:32" x14ac:dyDescent="0.3">
      <c r="AA4011" s="3">
        <v>10435.09</v>
      </c>
      <c r="AB4011">
        <v>1E-4</v>
      </c>
      <c r="AC4011">
        <v>8</v>
      </c>
      <c r="AD4011" s="5">
        <v>5.2301857636221269</v>
      </c>
      <c r="AE4011" s="5">
        <v>2.2486789685380635</v>
      </c>
      <c r="AF4011">
        <v>1</v>
      </c>
    </row>
    <row r="4012" spans="27:32" x14ac:dyDescent="0.3">
      <c r="AA4012" s="3">
        <v>-582.73</v>
      </c>
      <c r="AB4012">
        <v>1E-4</v>
      </c>
      <c r="AC4012">
        <v>9</v>
      </c>
      <c r="AD4012" s="5">
        <v>5.134059552722535</v>
      </c>
      <c r="AE4012" s="5">
        <v>2.2018567502123938</v>
      </c>
      <c r="AF4012">
        <v>1</v>
      </c>
    </row>
    <row r="4013" spans="27:32" x14ac:dyDescent="0.3">
      <c r="AA4013" s="3">
        <v>12226.37</v>
      </c>
      <c r="AB4013">
        <v>1E-4</v>
      </c>
      <c r="AC4013">
        <v>8</v>
      </c>
      <c r="AD4013" s="5">
        <v>5.0335230251867422</v>
      </c>
      <c r="AE4013" s="5">
        <v>2.181039731078072</v>
      </c>
      <c r="AF4013">
        <v>1</v>
      </c>
    </row>
    <row r="4014" spans="27:32" x14ac:dyDescent="0.3">
      <c r="AA4014" s="3">
        <v>429.64</v>
      </c>
      <c r="AB4014">
        <v>1E-4</v>
      </c>
      <c r="AC4014">
        <v>8</v>
      </c>
      <c r="AD4014" s="5">
        <v>5.0340903234632455</v>
      </c>
      <c r="AE4014" s="5">
        <v>2.1324373469702222</v>
      </c>
      <c r="AF4014">
        <v>1</v>
      </c>
    </row>
    <row r="4015" spans="27:32" x14ac:dyDescent="0.3">
      <c r="AA4015" s="3">
        <v>21339.24</v>
      </c>
      <c r="AB4015">
        <v>1E-4</v>
      </c>
      <c r="AC4015">
        <v>8</v>
      </c>
      <c r="AD4015" s="5">
        <v>4.9276522937609286</v>
      </c>
      <c r="AE4015" s="5">
        <v>2.131325428466456</v>
      </c>
      <c r="AF4015">
        <v>1</v>
      </c>
    </row>
    <row r="4016" spans="27:32" x14ac:dyDescent="0.3">
      <c r="AA4016" s="3">
        <v>45120.28</v>
      </c>
      <c r="AB4016">
        <v>1E-4</v>
      </c>
      <c r="AC4016">
        <v>7</v>
      </c>
      <c r="AD4016" s="5">
        <v>4.9135959405418923</v>
      </c>
      <c r="AE4016" s="5">
        <v>2.1493148884960114</v>
      </c>
      <c r="AF4016">
        <v>1</v>
      </c>
    </row>
    <row r="4017" spans="27:32" x14ac:dyDescent="0.3">
      <c r="AA4017" s="3">
        <v>8666.48</v>
      </c>
      <c r="AB4017">
        <v>1E-4</v>
      </c>
      <c r="AC4017">
        <v>8</v>
      </c>
      <c r="AD4017" s="5">
        <v>5.0154634427130418</v>
      </c>
      <c r="AE4017" s="5">
        <v>2.1765521568206161</v>
      </c>
      <c r="AF4017">
        <v>1</v>
      </c>
    </row>
    <row r="4018" spans="27:32" x14ac:dyDescent="0.3">
      <c r="AA4018" s="3">
        <v>3190.26</v>
      </c>
      <c r="AB4018">
        <v>1E-4</v>
      </c>
      <c r="AC4018">
        <v>8</v>
      </c>
      <c r="AD4018" s="5">
        <v>5.0232728753916129</v>
      </c>
      <c r="AE4018" s="5">
        <v>2.2354664952048005</v>
      </c>
      <c r="AF4018">
        <v>1</v>
      </c>
    </row>
    <row r="4019" spans="27:32" x14ac:dyDescent="0.3">
      <c r="AA4019" s="3">
        <v>-3104.97</v>
      </c>
      <c r="AB4019">
        <v>1E-4</v>
      </c>
      <c r="AC4019">
        <v>9</v>
      </c>
      <c r="AD4019" s="5">
        <v>4.935258382620102</v>
      </c>
      <c r="AE4019" s="5">
        <v>2.1664541555400838</v>
      </c>
      <c r="AF4019">
        <v>1</v>
      </c>
    </row>
    <row r="4020" spans="27:32" x14ac:dyDescent="0.3">
      <c r="AA4020" s="3">
        <v>22375.03</v>
      </c>
      <c r="AB4020">
        <v>1E-4</v>
      </c>
      <c r="AC4020">
        <v>8</v>
      </c>
      <c r="AD4020" s="5">
        <v>5.1568622397684969</v>
      </c>
      <c r="AE4020" s="5">
        <v>2.214060835811384</v>
      </c>
      <c r="AF4020">
        <v>1</v>
      </c>
    </row>
    <row r="4021" spans="27:32" x14ac:dyDescent="0.3">
      <c r="AA4021" s="3">
        <v>25087.8</v>
      </c>
      <c r="AB4021">
        <v>1E-4</v>
      </c>
      <c r="AC4021">
        <v>8</v>
      </c>
      <c r="AD4021" s="5">
        <v>5.1064602351051587</v>
      </c>
      <c r="AE4021" s="5">
        <v>2.1988456435856212</v>
      </c>
      <c r="AF4021">
        <v>1</v>
      </c>
    </row>
    <row r="4022" spans="27:32" x14ac:dyDescent="0.3">
      <c r="AA4022" s="3">
        <v>23992.06</v>
      </c>
      <c r="AB4022">
        <v>1E-4</v>
      </c>
      <c r="AC4022">
        <v>8</v>
      </c>
      <c r="AD4022" s="5">
        <v>5.0836287825732125</v>
      </c>
      <c r="AE4022" s="5">
        <v>2.2785463685208529</v>
      </c>
      <c r="AF4022">
        <v>1</v>
      </c>
    </row>
    <row r="4023" spans="27:32" x14ac:dyDescent="0.3">
      <c r="AA4023" s="3">
        <v>9776.94</v>
      </c>
      <c r="AB4023">
        <v>1E-4</v>
      </c>
      <c r="AC4023">
        <v>8</v>
      </c>
      <c r="AD4023" s="5">
        <v>5.1231750634990902</v>
      </c>
      <c r="AE4023" s="5">
        <v>2.1995045435062481</v>
      </c>
      <c r="AF4023">
        <v>1</v>
      </c>
    </row>
    <row r="4024" spans="27:32" x14ac:dyDescent="0.3">
      <c r="AA4024" s="3">
        <v>41060.449999999997</v>
      </c>
      <c r="AB4024">
        <v>1E-4</v>
      </c>
      <c r="AC4024">
        <v>7</v>
      </c>
      <c r="AD4024" s="5">
        <v>4.9627553027659772</v>
      </c>
      <c r="AE4024" s="5">
        <v>2.1556031611885453</v>
      </c>
      <c r="AF4024">
        <v>1</v>
      </c>
    </row>
    <row r="4025" spans="27:32" x14ac:dyDescent="0.3">
      <c r="AA4025" s="3">
        <v>28931.42</v>
      </c>
      <c r="AB4025">
        <v>1E-4</v>
      </c>
      <c r="AC4025">
        <v>8</v>
      </c>
      <c r="AD4025" s="5">
        <v>5.04468751139982</v>
      </c>
      <c r="AE4025" s="5">
        <v>2.2291626029338083</v>
      </c>
      <c r="AF4025">
        <v>1</v>
      </c>
    </row>
    <row r="4026" spans="27:32" x14ac:dyDescent="0.3">
      <c r="AA4026" s="3">
        <v>23798.39</v>
      </c>
      <c r="AB4026">
        <v>1E-4</v>
      </c>
      <c r="AC4026">
        <v>8</v>
      </c>
      <c r="AD4026" s="5">
        <v>4.9770425966157559</v>
      </c>
      <c r="AE4026" s="5">
        <v>2.2507422966323385</v>
      </c>
      <c r="AF4026">
        <v>1</v>
      </c>
    </row>
    <row r="4027" spans="27:32" x14ac:dyDescent="0.3">
      <c r="AA4027" s="3">
        <v>3445.42</v>
      </c>
      <c r="AB4027">
        <v>1E-4</v>
      </c>
      <c r="AC4027">
        <v>8</v>
      </c>
      <c r="AD4027" s="5">
        <v>4.9230254293915596</v>
      </c>
      <c r="AE4027" s="5">
        <v>2.2306892511399861</v>
      </c>
      <c r="AF4027">
        <v>1</v>
      </c>
    </row>
    <row r="4028" spans="27:32" x14ac:dyDescent="0.3">
      <c r="AA4028" s="3">
        <v>2709.97</v>
      </c>
      <c r="AB4028">
        <v>1E-4</v>
      </c>
      <c r="AC4028">
        <v>8</v>
      </c>
      <c r="AD4028" s="5">
        <v>5.01356903174658</v>
      </c>
      <c r="AE4028" s="5">
        <v>2.1944644781726175</v>
      </c>
      <c r="AF4028">
        <v>1</v>
      </c>
    </row>
    <row r="4029" spans="27:32" x14ac:dyDescent="0.3">
      <c r="AA4029" s="3">
        <v>26927.02</v>
      </c>
      <c r="AB4029">
        <v>1E-4</v>
      </c>
      <c r="AC4029">
        <v>8</v>
      </c>
      <c r="AD4029" s="5">
        <v>5.1059508469698116</v>
      </c>
      <c r="AE4029" s="5">
        <v>2.1531523441273031</v>
      </c>
      <c r="AF4029">
        <v>1</v>
      </c>
    </row>
    <row r="4030" spans="27:32" x14ac:dyDescent="0.3">
      <c r="AA4030" s="3">
        <v>7403.77</v>
      </c>
      <c r="AB4030">
        <v>1E-4</v>
      </c>
      <c r="AC4030">
        <v>8</v>
      </c>
      <c r="AD4030" s="5">
        <v>4.9514542340661629</v>
      </c>
      <c r="AE4030" s="5">
        <v>2.2018942049292196</v>
      </c>
      <c r="AF4030">
        <v>1</v>
      </c>
    </row>
    <row r="4031" spans="27:32" x14ac:dyDescent="0.3">
      <c r="AA4031" s="3">
        <v>10249.27</v>
      </c>
      <c r="AB4031">
        <v>1E-4</v>
      </c>
      <c r="AC4031">
        <v>8</v>
      </c>
      <c r="AD4031" s="5">
        <v>4.874387209620596</v>
      </c>
      <c r="AE4031" s="5">
        <v>2.1798086576110705</v>
      </c>
      <c r="AF4031">
        <v>1</v>
      </c>
    </row>
    <row r="4032" spans="27:32" x14ac:dyDescent="0.3">
      <c r="AA4032" s="3">
        <v>48948.73</v>
      </c>
      <c r="AB4032">
        <v>1E-4</v>
      </c>
      <c r="AC4032">
        <v>7</v>
      </c>
      <c r="AD4032" s="5">
        <v>5.1348050894005617</v>
      </c>
      <c r="AE4032" s="5">
        <v>2.2268772603548235</v>
      </c>
      <c r="AF4032">
        <v>1</v>
      </c>
    </row>
    <row r="4033" spans="27:32" x14ac:dyDescent="0.3">
      <c r="AA4033" s="3">
        <v>7719.02</v>
      </c>
      <c r="AB4033">
        <v>1E-4</v>
      </c>
      <c r="AC4033">
        <v>8</v>
      </c>
      <c r="AD4033" s="5">
        <v>5.0620448523764452</v>
      </c>
      <c r="AE4033" s="5">
        <v>2.2696100788739328</v>
      </c>
      <c r="AF4033">
        <v>1</v>
      </c>
    </row>
    <row r="4034" spans="27:32" x14ac:dyDescent="0.3">
      <c r="AA4034" s="3">
        <v>-13982.89</v>
      </c>
      <c r="AB4034">
        <v>1E-4</v>
      </c>
      <c r="AC4034">
        <v>9</v>
      </c>
      <c r="AD4034" s="5">
        <v>4.9359073398804139</v>
      </c>
      <c r="AE4034" s="5">
        <v>2.2661522526772457</v>
      </c>
      <c r="AF4034">
        <v>1</v>
      </c>
    </row>
    <row r="4035" spans="27:32" x14ac:dyDescent="0.3">
      <c r="AA4035" s="3">
        <v>22100.51</v>
      </c>
      <c r="AB4035">
        <v>1E-4</v>
      </c>
      <c r="AC4035">
        <v>8</v>
      </c>
      <c r="AD4035" s="5">
        <v>4.946200207550012</v>
      </c>
      <c r="AE4035" s="5">
        <v>2.2547090715584819</v>
      </c>
      <c r="AF4035">
        <v>1</v>
      </c>
    </row>
    <row r="4036" spans="27:32" x14ac:dyDescent="0.3">
      <c r="AA4036" s="3">
        <v>12724.53</v>
      </c>
      <c r="AB4036">
        <v>1E-4</v>
      </c>
      <c r="AC4036">
        <v>8</v>
      </c>
      <c r="AD4036" s="5">
        <v>5.1180029469496358</v>
      </c>
      <c r="AE4036" s="5">
        <v>2.1607557767326755</v>
      </c>
      <c r="AF4036">
        <v>1</v>
      </c>
    </row>
    <row r="4037" spans="27:32" x14ac:dyDescent="0.3">
      <c r="AA4037" s="3">
        <v>-5389.62</v>
      </c>
      <c r="AB4037">
        <v>1E-4</v>
      </c>
      <c r="AC4037">
        <v>9</v>
      </c>
      <c r="AD4037" s="5">
        <v>4.871692886259515</v>
      </c>
      <c r="AE4037" s="5">
        <v>2.178568465836848</v>
      </c>
      <c r="AF4037">
        <v>1</v>
      </c>
    </row>
    <row r="4038" spans="27:32" x14ac:dyDescent="0.3">
      <c r="AA4038" s="3">
        <v>1951.08</v>
      </c>
      <c r="AB4038">
        <v>1E-4</v>
      </c>
      <c r="AC4038">
        <v>8</v>
      </c>
      <c r="AD4038" s="5">
        <v>4.9106772441349955</v>
      </c>
      <c r="AE4038" s="5">
        <v>2.1837631048960993</v>
      </c>
      <c r="AF4038">
        <v>1</v>
      </c>
    </row>
    <row r="4039" spans="27:32" x14ac:dyDescent="0.3">
      <c r="AA4039" s="3">
        <v>43261.79</v>
      </c>
      <c r="AB4039">
        <v>1E-4</v>
      </c>
      <c r="AC4039">
        <v>7</v>
      </c>
      <c r="AD4039" s="5">
        <v>4.9100777097558312</v>
      </c>
      <c r="AE4039" s="5">
        <v>2.1210773978429454</v>
      </c>
      <c r="AF4039">
        <v>1</v>
      </c>
    </row>
    <row r="4040" spans="27:32" x14ac:dyDescent="0.3">
      <c r="AA4040" s="3">
        <v>-30904.778248349943</v>
      </c>
      <c r="AB4040">
        <v>1E-4</v>
      </c>
      <c r="AC4040">
        <v>9</v>
      </c>
      <c r="AD4040" s="5">
        <v>4.9171936659986626</v>
      </c>
      <c r="AE4040" s="5">
        <v>2.3320025966705642</v>
      </c>
      <c r="AF4040">
        <v>0</v>
      </c>
    </row>
    <row r="4041" spans="27:32" x14ac:dyDescent="0.3">
      <c r="AA4041" s="3">
        <v>13314.65</v>
      </c>
      <c r="AB4041">
        <v>1E-4</v>
      </c>
      <c r="AC4041">
        <v>8</v>
      </c>
      <c r="AD4041" s="5">
        <v>4.831520801488594</v>
      </c>
      <c r="AE4041" s="5">
        <v>2.218844378042184</v>
      </c>
      <c r="AF4041">
        <v>1</v>
      </c>
    </row>
    <row r="4042" spans="27:32" x14ac:dyDescent="0.3">
      <c r="AA4042" s="3">
        <v>4990.8100000000004</v>
      </c>
      <c r="AB4042">
        <v>1E-4</v>
      </c>
      <c r="AC4042">
        <v>8</v>
      </c>
      <c r="AD4042" s="5">
        <v>4.9226692974988353</v>
      </c>
      <c r="AE4042" s="5">
        <v>2.1681018902607079</v>
      </c>
      <c r="AF4042">
        <v>1</v>
      </c>
    </row>
    <row r="4043" spans="27:32" x14ac:dyDescent="0.3">
      <c r="AA4043" s="3">
        <v>21203.29</v>
      </c>
      <c r="AB4043">
        <v>1E-4</v>
      </c>
      <c r="AC4043">
        <v>8</v>
      </c>
      <c r="AD4043" s="5">
        <v>4.9115591263980383</v>
      </c>
      <c r="AE4043" s="5">
        <v>2.0989660842326225</v>
      </c>
      <c r="AF4043">
        <v>1</v>
      </c>
    </row>
    <row r="4044" spans="27:32" x14ac:dyDescent="0.3">
      <c r="AA4044" s="3">
        <v>20383.22</v>
      </c>
      <c r="AB4044">
        <v>1E-4</v>
      </c>
      <c r="AC4044">
        <v>8</v>
      </c>
      <c r="AD4044" s="5">
        <v>4.8897850780692069</v>
      </c>
      <c r="AE4044" s="5">
        <v>2.1417941911587333</v>
      </c>
      <c r="AF4044">
        <v>1</v>
      </c>
    </row>
    <row r="4045" spans="27:32" x14ac:dyDescent="0.3">
      <c r="AA4045" s="3">
        <v>46763.67</v>
      </c>
      <c r="AB4045">
        <v>1E-4</v>
      </c>
      <c r="AC4045">
        <v>7</v>
      </c>
      <c r="AD4045" s="5">
        <v>5.1365018008730328</v>
      </c>
      <c r="AE4045" s="5">
        <v>2.22716596807384</v>
      </c>
      <c r="AF4045">
        <v>1</v>
      </c>
    </row>
    <row r="4046" spans="27:32" x14ac:dyDescent="0.3">
      <c r="AA4046" s="3">
        <v>41174.92</v>
      </c>
      <c r="AB4046">
        <v>1E-4</v>
      </c>
      <c r="AC4046">
        <v>7</v>
      </c>
      <c r="AD4046" s="5">
        <v>5.1048370534416616</v>
      </c>
      <c r="AE4046" s="5">
        <v>2.1586849601362075</v>
      </c>
      <c r="AF4046">
        <v>1</v>
      </c>
    </row>
    <row r="4047" spans="27:32" x14ac:dyDescent="0.3">
      <c r="AA4047" s="3">
        <v>60663.63</v>
      </c>
      <c r="AB4047">
        <v>1E-4</v>
      </c>
      <c r="AC4047">
        <v>6</v>
      </c>
      <c r="AD4047" s="5">
        <v>5.1437076902656385</v>
      </c>
      <c r="AE4047" s="5">
        <v>2.1304635204804918</v>
      </c>
      <c r="AF4047">
        <v>1</v>
      </c>
    </row>
    <row r="4048" spans="27:32" x14ac:dyDescent="0.3">
      <c r="AA4048" s="3">
        <v>35511.74</v>
      </c>
      <c r="AB4048">
        <v>1E-4</v>
      </c>
      <c r="AC4048">
        <v>7</v>
      </c>
      <c r="AD4048" s="5">
        <v>5.1266714150195805</v>
      </c>
      <c r="AE4048" s="5">
        <v>2.1816357899887784</v>
      </c>
      <c r="AF4048">
        <v>1</v>
      </c>
    </row>
    <row r="4049" spans="27:32" x14ac:dyDescent="0.3">
      <c r="AA4049" s="3">
        <v>18935.439999999999</v>
      </c>
      <c r="AB4049">
        <v>1E-4</v>
      </c>
      <c r="AC4049">
        <v>8</v>
      </c>
      <c r="AD4049" s="5">
        <v>4.9638335073576938</v>
      </c>
      <c r="AE4049" s="5">
        <v>2.1613795871820529</v>
      </c>
      <c r="AF4049">
        <v>1</v>
      </c>
    </row>
    <row r="4050" spans="27:32" x14ac:dyDescent="0.3">
      <c r="AA4050" s="3">
        <v>10712.23</v>
      </c>
      <c r="AB4050">
        <v>1E-4</v>
      </c>
      <c r="AC4050">
        <v>8</v>
      </c>
      <c r="AD4050" s="5">
        <v>5.0108534039613559</v>
      </c>
      <c r="AE4050" s="5">
        <v>2.1954713578430121</v>
      </c>
      <c r="AF4050">
        <v>1</v>
      </c>
    </row>
    <row r="4051" spans="27:32" x14ac:dyDescent="0.3">
      <c r="AA4051" s="3">
        <v>20521.28</v>
      </c>
      <c r="AB4051">
        <v>1E-4</v>
      </c>
      <c r="AC4051">
        <v>8</v>
      </c>
      <c r="AD4051" s="5">
        <v>5.1162184624926077</v>
      </c>
      <c r="AE4051" s="5">
        <v>2.1588519986667292</v>
      </c>
      <c r="AF4051">
        <v>1</v>
      </c>
    </row>
    <row r="4052" spans="27:32" x14ac:dyDescent="0.3">
      <c r="AA4052" s="3">
        <v>32074.3</v>
      </c>
      <c r="AB4052">
        <v>1E-4</v>
      </c>
      <c r="AC4052">
        <v>7</v>
      </c>
      <c r="AD4052" s="5">
        <v>4.9915601885057956</v>
      </c>
      <c r="AE4052" s="5">
        <v>2.2228773669665114</v>
      </c>
      <c r="AF4052">
        <v>1</v>
      </c>
    </row>
    <row r="4053" spans="27:32" x14ac:dyDescent="0.3">
      <c r="AA4053" s="3">
        <v>2765.67</v>
      </c>
      <c r="AB4053">
        <v>1E-4</v>
      </c>
      <c r="AC4053">
        <v>8</v>
      </c>
      <c r="AD4053" s="5">
        <v>4.8895072643932984</v>
      </c>
      <c r="AE4053" s="5">
        <v>2.2272783884663587</v>
      </c>
      <c r="AF4053">
        <v>1</v>
      </c>
    </row>
    <row r="4054" spans="27:32" x14ac:dyDescent="0.3">
      <c r="AA4054" s="3">
        <v>27465.02</v>
      </c>
      <c r="AB4054">
        <v>1E-4</v>
      </c>
      <c r="AC4054">
        <v>8</v>
      </c>
      <c r="AD4054" s="5">
        <v>4.971132835642007</v>
      </c>
      <c r="AE4054" s="5">
        <v>2.2023889752680046</v>
      </c>
      <c r="AF4054">
        <v>1</v>
      </c>
    </row>
    <row r="4055" spans="27:32" x14ac:dyDescent="0.3">
      <c r="AA4055" s="3">
        <v>25128.17</v>
      </c>
      <c r="AB4055">
        <v>1E-4</v>
      </c>
      <c r="AC4055">
        <v>8</v>
      </c>
      <c r="AD4055" s="5">
        <v>4.9474378918283852</v>
      </c>
      <c r="AE4055" s="5">
        <v>2.2582429232219865</v>
      </c>
      <c r="AF4055">
        <v>1</v>
      </c>
    </row>
    <row r="4056" spans="27:32" x14ac:dyDescent="0.3">
      <c r="AA4056" s="3">
        <v>10531.69</v>
      </c>
      <c r="AB4056">
        <v>1E-4</v>
      </c>
      <c r="AC4056">
        <v>8</v>
      </c>
      <c r="AD4056" s="5">
        <v>4.9182689736594174</v>
      </c>
      <c r="AE4056" s="5">
        <v>2.2376411942458017</v>
      </c>
      <c r="AF4056">
        <v>1</v>
      </c>
    </row>
    <row r="4057" spans="27:32" x14ac:dyDescent="0.3">
      <c r="AA4057" s="3">
        <v>5927.2</v>
      </c>
      <c r="AB4057">
        <v>1E-4</v>
      </c>
      <c r="AC4057">
        <v>8</v>
      </c>
      <c r="AD4057" s="5">
        <v>4.9848305142959344</v>
      </c>
      <c r="AE4057" s="5">
        <v>2.2568087500044274</v>
      </c>
      <c r="AF4057">
        <v>1</v>
      </c>
    </row>
    <row r="4058" spans="27:32" x14ac:dyDescent="0.3">
      <c r="AA4058" s="3">
        <v>-4947.9799999999996</v>
      </c>
      <c r="AB4058">
        <v>1E-4</v>
      </c>
      <c r="AC4058">
        <v>9</v>
      </c>
      <c r="AD4058" s="5">
        <v>4.917972037693306</v>
      </c>
      <c r="AE4058" s="5">
        <v>2.2537157924732041</v>
      </c>
      <c r="AF4058">
        <v>1</v>
      </c>
    </row>
    <row r="4059" spans="27:32" x14ac:dyDescent="0.3">
      <c r="AA4059" s="3">
        <v>20205.18</v>
      </c>
      <c r="AB4059">
        <v>1E-4</v>
      </c>
      <c r="AC4059">
        <v>8</v>
      </c>
      <c r="AD4059" s="5">
        <v>5.0148384600393463</v>
      </c>
      <c r="AE4059" s="5">
        <v>2.1739630987978957</v>
      </c>
      <c r="AF4059">
        <v>1</v>
      </c>
    </row>
    <row r="4060" spans="27:32" x14ac:dyDescent="0.3">
      <c r="AA4060" s="3">
        <v>-33439.707385846807</v>
      </c>
      <c r="AB4060">
        <v>1E-4</v>
      </c>
      <c r="AC4060">
        <v>9</v>
      </c>
      <c r="AD4060" s="5">
        <v>4.9438064229775547</v>
      </c>
      <c r="AE4060" s="5">
        <v>2.2039494151901202</v>
      </c>
      <c r="AF4060">
        <v>0</v>
      </c>
    </row>
    <row r="4061" spans="27:32" x14ac:dyDescent="0.3">
      <c r="AA4061" s="3">
        <v>13364</v>
      </c>
      <c r="AB4061">
        <v>1E-4</v>
      </c>
      <c r="AC4061">
        <v>8</v>
      </c>
      <c r="AD4061" s="5">
        <v>4.8876988485796122</v>
      </c>
      <c r="AE4061" s="5">
        <v>2.2204549386976957</v>
      </c>
      <c r="AF4061">
        <v>1</v>
      </c>
    </row>
    <row r="4062" spans="27:32" x14ac:dyDescent="0.3">
      <c r="AA4062" s="3">
        <v>8428.9500000000007</v>
      </c>
      <c r="AB4062">
        <v>1E-4</v>
      </c>
      <c r="AC4062">
        <v>8</v>
      </c>
      <c r="AD4062" s="5">
        <v>4.9022267943868565</v>
      </c>
      <c r="AE4062" s="5">
        <v>2.2369577943255772</v>
      </c>
      <c r="AF4062">
        <v>1</v>
      </c>
    </row>
    <row r="4063" spans="27:32" x14ac:dyDescent="0.3">
      <c r="AA4063" s="3">
        <v>34064.36</v>
      </c>
      <c r="AB4063">
        <v>1E-4</v>
      </c>
      <c r="AC4063">
        <v>7</v>
      </c>
      <c r="AD4063" s="5">
        <v>5.0226491019908401</v>
      </c>
      <c r="AE4063" s="5">
        <v>2.233144422044492</v>
      </c>
      <c r="AF4063">
        <v>1</v>
      </c>
    </row>
    <row r="4064" spans="27:32" x14ac:dyDescent="0.3">
      <c r="AA4064" s="3">
        <v>8897.053038266522</v>
      </c>
      <c r="AB4064">
        <v>1E-4</v>
      </c>
      <c r="AC4064">
        <v>8</v>
      </c>
      <c r="AD4064" s="5">
        <v>5.1430883515182302</v>
      </c>
      <c r="AE4064" s="5">
        <v>2.2417691405088451</v>
      </c>
      <c r="AF4064">
        <v>0</v>
      </c>
    </row>
    <row r="4065" spans="27:32" x14ac:dyDescent="0.3">
      <c r="AA4065" s="3">
        <v>-8558.2999999999993</v>
      </c>
      <c r="AB4065">
        <v>1E-4</v>
      </c>
      <c r="AC4065">
        <v>9</v>
      </c>
      <c r="AD4065" s="5">
        <v>4.8696185052667698</v>
      </c>
      <c r="AE4065" s="5">
        <v>2.2494596002774911</v>
      </c>
      <c r="AF4065">
        <v>1</v>
      </c>
    </row>
    <row r="4066" spans="27:32" x14ac:dyDescent="0.3">
      <c r="AA4066" s="3">
        <v>-4440.1499999999996</v>
      </c>
      <c r="AB4066">
        <v>1E-4</v>
      </c>
      <c r="AC4066">
        <v>9</v>
      </c>
      <c r="AD4066" s="5">
        <v>4.9257687259202827</v>
      </c>
      <c r="AE4066" s="5">
        <v>2.1599691421517901</v>
      </c>
      <c r="AF4066">
        <v>1</v>
      </c>
    </row>
    <row r="4067" spans="27:32" x14ac:dyDescent="0.3">
      <c r="AA4067" s="3">
        <v>32671.38</v>
      </c>
      <c r="AB4067">
        <v>1E-4</v>
      </c>
      <c r="AC4067">
        <v>7</v>
      </c>
      <c r="AD4067" s="5">
        <v>5.1724595261589004</v>
      </c>
      <c r="AE4067" s="5">
        <v>2.1262660759338301</v>
      </c>
      <c r="AF4067">
        <v>1</v>
      </c>
    </row>
    <row r="4068" spans="27:32" x14ac:dyDescent="0.3">
      <c r="AA4068" s="3">
        <v>618.64</v>
      </c>
      <c r="AB4068">
        <v>1E-4</v>
      </c>
      <c r="AC4068">
        <v>8</v>
      </c>
      <c r="AD4068" s="5">
        <v>5.0515197227804283</v>
      </c>
      <c r="AE4068" s="5">
        <v>2.2216491649465286</v>
      </c>
      <c r="AF4068">
        <v>1</v>
      </c>
    </row>
    <row r="4069" spans="27:32" x14ac:dyDescent="0.3">
      <c r="AA4069" s="3">
        <v>12156.83</v>
      </c>
      <c r="AB4069">
        <v>1E-4</v>
      </c>
      <c r="AC4069">
        <v>8</v>
      </c>
      <c r="AD4069" s="5">
        <v>5.1126743301844355</v>
      </c>
      <c r="AE4069" s="5">
        <v>2.3144141720179845</v>
      </c>
      <c r="AF4069">
        <v>1</v>
      </c>
    </row>
    <row r="4070" spans="27:32" x14ac:dyDescent="0.3">
      <c r="AA4070" s="3">
        <v>17394.8</v>
      </c>
      <c r="AB4070">
        <v>1E-4</v>
      </c>
      <c r="AC4070">
        <v>8</v>
      </c>
      <c r="AD4070" s="5">
        <v>5.0631138756727205</v>
      </c>
      <c r="AE4070" s="5">
        <v>2.1575939760029939</v>
      </c>
      <c r="AF4070">
        <v>1</v>
      </c>
    </row>
    <row r="4071" spans="27:32" x14ac:dyDescent="0.3">
      <c r="AA4071" s="3">
        <v>-3597.06</v>
      </c>
      <c r="AB4071">
        <v>1E-4</v>
      </c>
      <c r="AC4071">
        <v>9</v>
      </c>
      <c r="AD4071" s="5">
        <v>5.1246185438371876</v>
      </c>
      <c r="AE4071" s="5">
        <v>2.2414366100394525</v>
      </c>
      <c r="AF4071">
        <v>1</v>
      </c>
    </row>
    <row r="4072" spans="27:32" x14ac:dyDescent="0.3">
      <c r="AA4072" s="3">
        <v>23843.19</v>
      </c>
      <c r="AB4072">
        <v>1E-4</v>
      </c>
      <c r="AC4072">
        <v>8</v>
      </c>
      <c r="AD4072" s="5">
        <v>4.9277925933969238</v>
      </c>
      <c r="AE4072" s="5">
        <v>2.2964448212755748</v>
      </c>
      <c r="AF4072">
        <v>1</v>
      </c>
    </row>
    <row r="4073" spans="27:32" x14ac:dyDescent="0.3">
      <c r="AA4073" s="3">
        <v>6598.51</v>
      </c>
      <c r="AB4073">
        <v>1E-4</v>
      </c>
      <c r="AC4073">
        <v>8</v>
      </c>
      <c r="AD4073" s="5">
        <v>4.8918343923448635</v>
      </c>
      <c r="AE4073" s="5">
        <v>2.247761624997326</v>
      </c>
      <c r="AF4073">
        <v>1</v>
      </c>
    </row>
    <row r="4074" spans="27:32" x14ac:dyDescent="0.3">
      <c r="AA4074" s="3">
        <v>18413.490000000002</v>
      </c>
      <c r="AB4074">
        <v>1E-4</v>
      </c>
      <c r="AC4074">
        <v>8</v>
      </c>
      <c r="AD4074" s="5">
        <v>5.2168547129149427</v>
      </c>
      <c r="AE4074" s="5">
        <v>2.1328794981766319</v>
      </c>
      <c r="AF4074">
        <v>1</v>
      </c>
    </row>
    <row r="4075" spans="27:32" x14ac:dyDescent="0.3">
      <c r="AA4075" s="3">
        <v>-875.83</v>
      </c>
      <c r="AB4075">
        <v>1E-4</v>
      </c>
      <c r="AC4075">
        <v>9</v>
      </c>
      <c r="AD4075" s="5">
        <v>4.999591939784116</v>
      </c>
      <c r="AE4075" s="5">
        <v>2.2473797325960008</v>
      </c>
      <c r="AF4075">
        <v>1</v>
      </c>
    </row>
    <row r="4076" spans="27:32" x14ac:dyDescent="0.3">
      <c r="AA4076" s="3">
        <v>27713.4</v>
      </c>
      <c r="AB4076">
        <v>1E-4</v>
      </c>
      <c r="AC4076">
        <v>8</v>
      </c>
      <c r="AD4076" s="5">
        <v>4.9146217754236785</v>
      </c>
      <c r="AE4076" s="5">
        <v>2.3010903470323831</v>
      </c>
      <c r="AF4076">
        <v>1</v>
      </c>
    </row>
    <row r="4077" spans="27:32" x14ac:dyDescent="0.3">
      <c r="AA4077" s="3">
        <v>-2653.75</v>
      </c>
      <c r="AB4077">
        <v>1E-4</v>
      </c>
      <c r="AC4077">
        <v>9</v>
      </c>
      <c r="AD4077" s="5">
        <v>4.9950330041854762</v>
      </c>
      <c r="AE4077" s="5">
        <v>2.0771334747465371</v>
      </c>
      <c r="AF4077">
        <v>1</v>
      </c>
    </row>
    <row r="4078" spans="27:32" x14ac:dyDescent="0.3">
      <c r="AA4078" s="3">
        <v>14025.38</v>
      </c>
      <c r="AB4078">
        <v>1E-4</v>
      </c>
      <c r="AC4078">
        <v>8</v>
      </c>
      <c r="AD4078" s="5">
        <v>4.9853756378803613</v>
      </c>
      <c r="AE4078" s="5">
        <v>2.2447678076797479</v>
      </c>
      <c r="AF4078">
        <v>1</v>
      </c>
    </row>
    <row r="4079" spans="27:32" x14ac:dyDescent="0.3">
      <c r="AA4079" s="3">
        <v>2522.7800000000002</v>
      </c>
      <c r="AB4079">
        <v>1E-4</v>
      </c>
      <c r="AC4079">
        <v>8</v>
      </c>
      <c r="AD4079" s="5">
        <v>5.0167158019470355</v>
      </c>
      <c r="AE4079" s="5">
        <v>2.2291322898994608</v>
      </c>
      <c r="AF4079">
        <v>1</v>
      </c>
    </row>
    <row r="4080" spans="27:32" x14ac:dyDescent="0.3">
      <c r="AA4080" s="3">
        <v>-16150.61</v>
      </c>
      <c r="AB4080">
        <v>1E-4</v>
      </c>
      <c r="AC4080">
        <v>9</v>
      </c>
      <c r="AD4080" s="5">
        <v>4.8646507812917825</v>
      </c>
      <c r="AE4080" s="5">
        <v>2.1300404230900822</v>
      </c>
      <c r="AF4080">
        <v>1</v>
      </c>
    </row>
    <row r="4081" spans="27:32" x14ac:dyDescent="0.3">
      <c r="AA4081" s="3">
        <v>28358.83</v>
      </c>
      <c r="AB4081">
        <v>1E-4</v>
      </c>
      <c r="AC4081">
        <v>8</v>
      </c>
      <c r="AD4081" s="5">
        <v>5.1842650202500922</v>
      </c>
      <c r="AE4081" s="5">
        <v>2.2109054536859514</v>
      </c>
      <c r="AF4081">
        <v>1</v>
      </c>
    </row>
    <row r="4082" spans="27:32" x14ac:dyDescent="0.3">
      <c r="AA4082" s="3">
        <v>18987.09</v>
      </c>
      <c r="AB4082">
        <v>1E-4</v>
      </c>
      <c r="AC4082">
        <v>8</v>
      </c>
      <c r="AD4082" s="5">
        <v>4.99606817613099</v>
      </c>
      <c r="AE4082" s="5">
        <v>2.2333280382924534</v>
      </c>
      <c r="AF4082">
        <v>1</v>
      </c>
    </row>
    <row r="4083" spans="27:32" x14ac:dyDescent="0.3">
      <c r="AA4083" s="3">
        <v>9121.3700000000008</v>
      </c>
      <c r="AB4083">
        <v>1E-4</v>
      </c>
      <c r="AC4083">
        <v>8</v>
      </c>
      <c r="AD4083" s="5">
        <v>4.9433716799365977</v>
      </c>
      <c r="AE4083" s="5">
        <v>2.1727398594495968</v>
      </c>
      <c r="AF4083">
        <v>1</v>
      </c>
    </row>
    <row r="4084" spans="27:32" x14ac:dyDescent="0.3">
      <c r="AA4084" s="3">
        <v>31052.77</v>
      </c>
      <c r="AB4084">
        <v>1E-4</v>
      </c>
      <c r="AC4084">
        <v>7</v>
      </c>
      <c r="AD4084" s="5">
        <v>4.9882022736379232</v>
      </c>
      <c r="AE4084" s="5">
        <v>2.1799521231360113</v>
      </c>
      <c r="AF4084">
        <v>1</v>
      </c>
    </row>
    <row r="4085" spans="27:32" x14ac:dyDescent="0.3">
      <c r="AA4085" s="3">
        <v>2724.11</v>
      </c>
      <c r="AB4085">
        <v>1E-4</v>
      </c>
      <c r="AC4085">
        <v>8</v>
      </c>
      <c r="AD4085" s="5">
        <v>4.8784121747861304</v>
      </c>
      <c r="AE4085" s="5">
        <v>2.2354618903922678</v>
      </c>
      <c r="AF4085">
        <v>1</v>
      </c>
    </row>
    <row r="4086" spans="27:32" x14ac:dyDescent="0.3">
      <c r="AA4086" s="3">
        <v>-21698.193993601097</v>
      </c>
      <c r="AB4086">
        <v>1E-4</v>
      </c>
      <c r="AC4086">
        <v>9</v>
      </c>
      <c r="AD4086" s="5">
        <v>4.9913578372833758</v>
      </c>
      <c r="AE4086" s="5">
        <v>2.187437251617895</v>
      </c>
      <c r="AF4086">
        <v>0</v>
      </c>
    </row>
    <row r="4087" spans="27:32" x14ac:dyDescent="0.3">
      <c r="AA4087" s="3">
        <v>35947.54</v>
      </c>
      <c r="AB4087">
        <v>1E-4</v>
      </c>
      <c r="AC4087">
        <v>7</v>
      </c>
      <c r="AD4087" s="5">
        <v>5.0831755124384994</v>
      </c>
      <c r="AE4087" s="5">
        <v>2.1852215501295889</v>
      </c>
      <c r="AF4087">
        <v>1</v>
      </c>
    </row>
    <row r="4088" spans="27:32" x14ac:dyDescent="0.3">
      <c r="AA4088" s="3">
        <v>13479.31</v>
      </c>
      <c r="AB4088">
        <v>1E-4</v>
      </c>
      <c r="AC4088">
        <v>8</v>
      </c>
      <c r="AD4088" s="5">
        <v>5.0238103008649198</v>
      </c>
      <c r="AE4088" s="5">
        <v>2.1466335354162429</v>
      </c>
      <c r="AF4088">
        <v>1</v>
      </c>
    </row>
    <row r="4089" spans="27:32" x14ac:dyDescent="0.3">
      <c r="AA4089" s="3">
        <v>5715.31</v>
      </c>
      <c r="AB4089">
        <v>1E-4</v>
      </c>
      <c r="AC4089">
        <v>8</v>
      </c>
      <c r="AD4089" s="5">
        <v>5.0733174695060148</v>
      </c>
      <c r="AE4089" s="5">
        <v>2.2680073369941796</v>
      </c>
      <c r="AF4089">
        <v>1</v>
      </c>
    </row>
    <row r="4090" spans="27:32" x14ac:dyDescent="0.3">
      <c r="AA4090" s="3">
        <v>23265.98</v>
      </c>
      <c r="AB4090">
        <v>1E-4</v>
      </c>
      <c r="AC4090">
        <v>8</v>
      </c>
      <c r="AD4090" s="5">
        <v>4.8657329731358026</v>
      </c>
      <c r="AE4090" s="5">
        <v>2.175080151660802</v>
      </c>
      <c r="AF4090">
        <v>1</v>
      </c>
    </row>
    <row r="4091" spans="27:32" x14ac:dyDescent="0.3">
      <c r="AA4091" s="3">
        <v>3674.16</v>
      </c>
      <c r="AB4091">
        <v>1E-4</v>
      </c>
      <c r="AC4091">
        <v>8</v>
      </c>
      <c r="AD4091" s="5">
        <v>5.0759508834509894</v>
      </c>
      <c r="AE4091" s="5">
        <v>2.1908851412948724</v>
      </c>
      <c r="AF4091">
        <v>1</v>
      </c>
    </row>
    <row r="4092" spans="27:32" x14ac:dyDescent="0.3">
      <c r="AA4092" s="3">
        <v>-16084.89</v>
      </c>
      <c r="AB4092">
        <v>1E-4</v>
      </c>
      <c r="AC4092">
        <v>9</v>
      </c>
      <c r="AD4092" s="5">
        <v>5.0363050596193721</v>
      </c>
      <c r="AE4092" s="5">
        <v>2.2740024851364664</v>
      </c>
      <c r="AF4092">
        <v>1</v>
      </c>
    </row>
    <row r="4093" spans="27:32" x14ac:dyDescent="0.3">
      <c r="AA4093" s="3">
        <v>18367.11</v>
      </c>
      <c r="AB4093">
        <v>1E-4</v>
      </c>
      <c r="AC4093">
        <v>8</v>
      </c>
      <c r="AD4093" s="5">
        <v>5.061464205281875</v>
      </c>
      <c r="AE4093" s="5">
        <v>2.2078600940306421</v>
      </c>
      <c r="AF4093">
        <v>1</v>
      </c>
    </row>
    <row r="4094" spans="27:32" x14ac:dyDescent="0.3">
      <c r="AA4094" s="3">
        <v>9240.16</v>
      </c>
      <c r="AB4094">
        <v>1E-4</v>
      </c>
      <c r="AC4094">
        <v>8</v>
      </c>
      <c r="AD4094" s="5">
        <v>4.9962015563245172</v>
      </c>
      <c r="AE4094" s="5">
        <v>2.137855567068025</v>
      </c>
      <c r="AF4094">
        <v>1</v>
      </c>
    </row>
    <row r="4095" spans="27:32" x14ac:dyDescent="0.3">
      <c r="AA4095" s="3">
        <v>18012.59</v>
      </c>
      <c r="AB4095">
        <v>1E-4</v>
      </c>
      <c r="AC4095">
        <v>8</v>
      </c>
      <c r="AD4095" s="5">
        <v>4.9719725271193473</v>
      </c>
      <c r="AE4095" s="5">
        <v>2.2013421949949752</v>
      </c>
      <c r="AF4095">
        <v>1</v>
      </c>
    </row>
    <row r="4096" spans="27:32" x14ac:dyDescent="0.3">
      <c r="AA4096" s="3">
        <v>3238.53</v>
      </c>
      <c r="AB4096">
        <v>1E-4</v>
      </c>
      <c r="AC4096">
        <v>8</v>
      </c>
      <c r="AD4096" s="5">
        <v>4.9481882104863226</v>
      </c>
      <c r="AE4096" s="5">
        <v>2.1664216577800572</v>
      </c>
      <c r="AF4096">
        <v>1</v>
      </c>
    </row>
    <row r="4097" spans="27:32" x14ac:dyDescent="0.3">
      <c r="AA4097" s="3">
        <v>11570.52</v>
      </c>
      <c r="AB4097">
        <v>1E-4</v>
      </c>
      <c r="AC4097">
        <v>8</v>
      </c>
      <c r="AD4097" s="5">
        <v>4.9928456315027114</v>
      </c>
      <c r="AE4097" s="5">
        <v>2.2307911647584038</v>
      </c>
      <c r="AF4097">
        <v>1</v>
      </c>
    </row>
    <row r="4098" spans="27:32" x14ac:dyDescent="0.3">
      <c r="AA4098" s="3">
        <v>8162.51</v>
      </c>
      <c r="AB4098">
        <v>1E-4</v>
      </c>
      <c r="AC4098">
        <v>8</v>
      </c>
      <c r="AD4098" s="5">
        <v>4.9723056172315143</v>
      </c>
      <c r="AE4098" s="5">
        <v>2.2264500138934546</v>
      </c>
      <c r="AF4098">
        <v>1</v>
      </c>
    </row>
    <row r="4099" spans="27:32" x14ac:dyDescent="0.3">
      <c r="AA4099" s="3">
        <v>456.78</v>
      </c>
      <c r="AB4099">
        <v>1E-4</v>
      </c>
      <c r="AC4099">
        <v>8</v>
      </c>
      <c r="AD4099" s="5">
        <v>5.1267096925585998</v>
      </c>
      <c r="AE4099" s="5">
        <v>2.233098707362382</v>
      </c>
      <c r="AF4099">
        <v>1</v>
      </c>
    </row>
    <row r="4100" spans="27:32" x14ac:dyDescent="0.3">
      <c r="AA4100" s="3">
        <v>545.08000000000004</v>
      </c>
      <c r="AB4100">
        <v>1E-4</v>
      </c>
      <c r="AC4100">
        <v>8</v>
      </c>
      <c r="AD4100" s="5">
        <v>4.8873325471609013</v>
      </c>
      <c r="AE4100" s="5">
        <v>2.2001939737646894</v>
      </c>
      <c r="AF4100">
        <v>1</v>
      </c>
    </row>
    <row r="4101" spans="27:32" x14ac:dyDescent="0.3">
      <c r="AA4101" s="3">
        <v>35697.160000000003</v>
      </c>
      <c r="AB4101">
        <v>1E-4</v>
      </c>
      <c r="AC4101">
        <v>7</v>
      </c>
      <c r="AD4101" s="5">
        <v>4.9321694023005591</v>
      </c>
      <c r="AE4101" s="5">
        <v>2.1167799943442294</v>
      </c>
      <c r="AF4101">
        <v>1</v>
      </c>
    </row>
    <row r="4102" spans="27:32" x14ac:dyDescent="0.3">
      <c r="AA4102" s="3">
        <v>34273.67</v>
      </c>
      <c r="AB4102">
        <v>1E-4</v>
      </c>
      <c r="AC4102">
        <v>7</v>
      </c>
      <c r="AD4102" s="5">
        <v>5.2374124477985253</v>
      </c>
      <c r="AE4102" s="5">
        <v>2.2411545357331817</v>
      </c>
      <c r="AF4102">
        <v>1</v>
      </c>
    </row>
    <row r="4103" spans="27:32" x14ac:dyDescent="0.3">
      <c r="AA4103" s="3">
        <v>-14679.26</v>
      </c>
      <c r="AB4103">
        <v>1E-4</v>
      </c>
      <c r="AC4103">
        <v>9</v>
      </c>
      <c r="AD4103" s="5">
        <v>5.1041498587000529</v>
      </c>
      <c r="AE4103" s="5">
        <v>2.3541125550911439</v>
      </c>
      <c r="AF4103">
        <v>1</v>
      </c>
    </row>
    <row r="4104" spans="27:32" x14ac:dyDescent="0.3">
      <c r="AA4104" s="3">
        <v>30082.5</v>
      </c>
      <c r="AB4104">
        <v>1E-4</v>
      </c>
      <c r="AC4104">
        <v>7</v>
      </c>
      <c r="AD4104" s="5">
        <v>4.9793721946425729</v>
      </c>
      <c r="AE4104" s="5">
        <v>2.2185661104832932</v>
      </c>
      <c r="AF4104">
        <v>1</v>
      </c>
    </row>
    <row r="4105" spans="27:32" x14ac:dyDescent="0.3">
      <c r="AA4105" s="3">
        <v>17311.740000000002</v>
      </c>
      <c r="AB4105">
        <v>1E-4</v>
      </c>
      <c r="AC4105">
        <v>8</v>
      </c>
      <c r="AD4105" s="5">
        <v>4.9948962479439212</v>
      </c>
      <c r="AE4105" s="5">
        <v>2.1935490088037586</v>
      </c>
      <c r="AF4105">
        <v>1</v>
      </c>
    </row>
    <row r="4106" spans="27:32" x14ac:dyDescent="0.3">
      <c r="AA4106" s="3">
        <v>28206.93</v>
      </c>
      <c r="AB4106">
        <v>1E-4</v>
      </c>
      <c r="AC4106">
        <v>8</v>
      </c>
      <c r="AD4106" s="5">
        <v>5.0092986975101441</v>
      </c>
      <c r="AE4106" s="5">
        <v>2.2091773391642433</v>
      </c>
      <c r="AF4106">
        <v>1</v>
      </c>
    </row>
    <row r="4107" spans="27:32" x14ac:dyDescent="0.3">
      <c r="AA4107" s="3">
        <v>5261.16</v>
      </c>
      <c r="AB4107">
        <v>1E-4</v>
      </c>
      <c r="AC4107">
        <v>8</v>
      </c>
      <c r="AD4107" s="5">
        <v>4.9082410693197245</v>
      </c>
      <c r="AE4107" s="5">
        <v>2.2714213672892547</v>
      </c>
      <c r="AF4107">
        <v>1</v>
      </c>
    </row>
    <row r="4108" spans="27:32" x14ac:dyDescent="0.3">
      <c r="AA4108" s="3">
        <v>-2388.56</v>
      </c>
      <c r="AB4108">
        <v>1E-4</v>
      </c>
      <c r="AC4108">
        <v>9</v>
      </c>
      <c r="AD4108" s="5">
        <v>4.9101948993792828</v>
      </c>
      <c r="AE4108" s="5">
        <v>2.2555235858358271</v>
      </c>
      <c r="AF4108">
        <v>1</v>
      </c>
    </row>
    <row r="4109" spans="27:32" x14ac:dyDescent="0.3">
      <c r="AA4109" s="3">
        <v>37372.01</v>
      </c>
      <c r="AB4109">
        <v>1E-4</v>
      </c>
      <c r="AC4109">
        <v>7</v>
      </c>
      <c r="AD4109" s="5">
        <v>5.0382555096324539</v>
      </c>
      <c r="AE4109" s="5">
        <v>2.2485959128584194</v>
      </c>
      <c r="AF4109">
        <v>1</v>
      </c>
    </row>
    <row r="4110" spans="27:32" x14ac:dyDescent="0.3">
      <c r="AA4110" s="3">
        <v>31762.080000000002</v>
      </c>
      <c r="AB4110">
        <v>1E-4</v>
      </c>
      <c r="AC4110">
        <v>7</v>
      </c>
      <c r="AD4110" s="5">
        <v>5.1297618540249648</v>
      </c>
      <c r="AE4110" s="5">
        <v>2.2583458149544962</v>
      </c>
      <c r="AF4110">
        <v>1</v>
      </c>
    </row>
    <row r="4111" spans="27:32" x14ac:dyDescent="0.3">
      <c r="AA4111" s="3">
        <v>-3921.63</v>
      </c>
      <c r="AB4111">
        <v>1E-4</v>
      </c>
      <c r="AC4111">
        <v>9</v>
      </c>
      <c r="AD4111" s="5">
        <v>5.0411776461657816</v>
      </c>
      <c r="AE4111" s="5">
        <v>2.2387349232439413</v>
      </c>
      <c r="AF4111">
        <v>1</v>
      </c>
    </row>
    <row r="4112" spans="27:32" x14ac:dyDescent="0.3">
      <c r="AA4112" s="3">
        <v>25472.59</v>
      </c>
      <c r="AB4112">
        <v>1E-4</v>
      </c>
      <c r="AC4112">
        <v>8</v>
      </c>
      <c r="AD4112" s="5">
        <v>5.0663670368174225</v>
      </c>
      <c r="AE4112" s="5">
        <v>2.1370434078548235</v>
      </c>
      <c r="AF4112">
        <v>1</v>
      </c>
    </row>
    <row r="4113" spans="27:32" x14ac:dyDescent="0.3">
      <c r="AA4113" s="3">
        <v>6945.55</v>
      </c>
      <c r="AB4113">
        <v>1E-4</v>
      </c>
      <c r="AC4113">
        <v>8</v>
      </c>
      <c r="AD4113" s="5">
        <v>4.872683662116156</v>
      </c>
      <c r="AE4113" s="5">
        <v>2.2268114838736284</v>
      </c>
      <c r="AF4113">
        <v>1</v>
      </c>
    </row>
    <row r="4114" spans="27:32" x14ac:dyDescent="0.3">
      <c r="AA4114" s="3">
        <v>14395.33</v>
      </c>
      <c r="AB4114">
        <v>1E-4</v>
      </c>
      <c r="AC4114">
        <v>8</v>
      </c>
      <c r="AD4114" s="5">
        <v>4.9590138415344533</v>
      </c>
      <c r="AE4114" s="5">
        <v>2.1566093836921763</v>
      </c>
      <c r="AF4114">
        <v>1</v>
      </c>
    </row>
    <row r="4115" spans="27:32" x14ac:dyDescent="0.3">
      <c r="AA4115" s="3">
        <v>32204.13</v>
      </c>
      <c r="AB4115">
        <v>1E-4</v>
      </c>
      <c r="AC4115">
        <v>7</v>
      </c>
      <c r="AD4115" s="5">
        <v>5.0916793594524226</v>
      </c>
      <c r="AE4115" s="5">
        <v>2.157911628009336</v>
      </c>
      <c r="AF4115">
        <v>1</v>
      </c>
    </row>
    <row r="4116" spans="27:32" x14ac:dyDescent="0.3">
      <c r="AA4116" s="3">
        <v>10926.88</v>
      </c>
      <c r="AB4116">
        <v>1E-4</v>
      </c>
      <c r="AC4116">
        <v>8</v>
      </c>
      <c r="AD4116" s="5">
        <v>5.1572325008381066</v>
      </c>
      <c r="AE4116" s="5">
        <v>2.1533820464698845</v>
      </c>
      <c r="AF4116">
        <v>1</v>
      </c>
    </row>
    <row r="4117" spans="27:32" x14ac:dyDescent="0.3">
      <c r="AA4117" s="3">
        <v>5402.7</v>
      </c>
      <c r="AB4117">
        <v>1E-4</v>
      </c>
      <c r="AC4117">
        <v>8</v>
      </c>
      <c r="AD4117" s="5">
        <v>4.8789661948398351</v>
      </c>
      <c r="AE4117" s="5">
        <v>2.1587248664740493</v>
      </c>
      <c r="AF4117">
        <v>1</v>
      </c>
    </row>
    <row r="4118" spans="27:32" x14ac:dyDescent="0.3">
      <c r="AA4118" s="3">
        <v>23851.09</v>
      </c>
      <c r="AB4118">
        <v>1E-4</v>
      </c>
      <c r="AC4118">
        <v>8</v>
      </c>
      <c r="AD4118" s="5">
        <v>4.9226821169926165</v>
      </c>
      <c r="AE4118" s="5">
        <v>2.2268360472785695</v>
      </c>
      <c r="AF4118">
        <v>1</v>
      </c>
    </row>
    <row r="4119" spans="27:32" x14ac:dyDescent="0.3">
      <c r="AA4119" s="3">
        <v>4289.41</v>
      </c>
      <c r="AB4119">
        <v>1E-4</v>
      </c>
      <c r="AC4119">
        <v>8</v>
      </c>
      <c r="AD4119" s="5">
        <v>4.9932800718935599</v>
      </c>
      <c r="AE4119" s="5">
        <v>2.2007437145583655</v>
      </c>
      <c r="AF4119">
        <v>1</v>
      </c>
    </row>
    <row r="4120" spans="27:32" x14ac:dyDescent="0.3">
      <c r="AA4120" s="3">
        <v>22205.57</v>
      </c>
      <c r="AB4120">
        <v>1E-4</v>
      </c>
      <c r="AC4120">
        <v>8</v>
      </c>
      <c r="AD4120" s="5">
        <v>5.0545813664485664</v>
      </c>
      <c r="AE4120" s="5">
        <v>2.0975950931517131</v>
      </c>
      <c r="AF4120">
        <v>1</v>
      </c>
    </row>
    <row r="4121" spans="27:32" x14ac:dyDescent="0.3">
      <c r="AA4121" s="3">
        <v>18521.41</v>
      </c>
      <c r="AB4121">
        <v>1E-4</v>
      </c>
      <c r="AC4121">
        <v>8</v>
      </c>
      <c r="AD4121" s="5">
        <v>4.9416493902651926</v>
      </c>
      <c r="AE4121" s="5">
        <v>2.1651171108897049</v>
      </c>
      <c r="AF4121">
        <v>1</v>
      </c>
    </row>
    <row r="4122" spans="27:32" x14ac:dyDescent="0.3">
      <c r="AA4122" s="3">
        <v>7575.67</v>
      </c>
      <c r="AB4122">
        <v>1E-4</v>
      </c>
      <c r="AC4122">
        <v>8</v>
      </c>
      <c r="AD4122" s="5">
        <v>4.9997891392419671</v>
      </c>
      <c r="AE4122" s="5">
        <v>2.2356706612052939</v>
      </c>
      <c r="AF4122">
        <v>1</v>
      </c>
    </row>
    <row r="4123" spans="27:32" x14ac:dyDescent="0.3">
      <c r="AA4123" s="3">
        <v>12142.8</v>
      </c>
      <c r="AB4123">
        <v>1E-4</v>
      </c>
      <c r="AC4123">
        <v>8</v>
      </c>
      <c r="AD4123" s="5">
        <v>5.0028044867038171</v>
      </c>
      <c r="AE4123" s="5">
        <v>2.1860954213418893</v>
      </c>
      <c r="AF4123">
        <v>1</v>
      </c>
    </row>
    <row r="4124" spans="27:32" x14ac:dyDescent="0.3">
      <c r="AA4124" s="3">
        <v>22494.51</v>
      </c>
      <c r="AB4124">
        <v>1E-4</v>
      </c>
      <c r="AC4124">
        <v>8</v>
      </c>
      <c r="AD4124" s="5">
        <v>5.0153768132774292</v>
      </c>
      <c r="AE4124" s="5">
        <v>2.2216953660522849</v>
      </c>
      <c r="AF4124">
        <v>1</v>
      </c>
    </row>
    <row r="4125" spans="27:32" x14ac:dyDescent="0.3">
      <c r="AA4125" s="3">
        <v>18694.16</v>
      </c>
      <c r="AB4125">
        <v>1E-4</v>
      </c>
      <c r="AC4125">
        <v>8</v>
      </c>
      <c r="AD4125" s="5">
        <v>5.0321265810515641</v>
      </c>
      <c r="AE4125" s="5">
        <v>2.2755279940962638</v>
      </c>
      <c r="AF4125">
        <v>1</v>
      </c>
    </row>
    <row r="4126" spans="27:32" x14ac:dyDescent="0.3">
      <c r="AA4126" s="3">
        <v>48429.120000000003</v>
      </c>
      <c r="AB4126">
        <v>1E-4</v>
      </c>
      <c r="AC4126">
        <v>7</v>
      </c>
      <c r="AD4126" s="5">
        <v>5.0069531860993841</v>
      </c>
      <c r="AE4126" s="5">
        <v>2.2403163147313405</v>
      </c>
      <c r="AF4126">
        <v>1</v>
      </c>
    </row>
    <row r="4127" spans="27:32" x14ac:dyDescent="0.3">
      <c r="AA4127" s="3">
        <v>24889.48</v>
      </c>
      <c r="AB4127">
        <v>1E-4</v>
      </c>
      <c r="AC4127">
        <v>8</v>
      </c>
      <c r="AD4127" s="5">
        <v>4.9825574845892922</v>
      </c>
      <c r="AE4127" s="5">
        <v>2.2050848203192372</v>
      </c>
      <c r="AF4127">
        <v>1</v>
      </c>
    </row>
    <row r="4128" spans="27:32" x14ac:dyDescent="0.3">
      <c r="AA4128" s="3">
        <v>20204.150000000001</v>
      </c>
      <c r="AB4128">
        <v>1E-4</v>
      </c>
      <c r="AC4128">
        <v>8</v>
      </c>
      <c r="AD4128" s="5">
        <v>5.0913582233989123</v>
      </c>
      <c r="AE4128" s="5">
        <v>2.2291042068201992</v>
      </c>
      <c r="AF4128">
        <v>1</v>
      </c>
    </row>
    <row r="4129" spans="27:32" x14ac:dyDescent="0.3">
      <c r="AA4129" s="3">
        <v>17462.97</v>
      </c>
      <c r="AB4129">
        <v>1E-4</v>
      </c>
      <c r="AC4129">
        <v>8</v>
      </c>
      <c r="AD4129" s="5">
        <v>4.9916508614966251</v>
      </c>
      <c r="AE4129" s="5">
        <v>2.2390503669961177</v>
      </c>
      <c r="AF4129">
        <v>1</v>
      </c>
    </row>
    <row r="4130" spans="27:32" x14ac:dyDescent="0.3">
      <c r="AA4130" s="3">
        <v>8794.36</v>
      </c>
      <c r="AB4130">
        <v>1E-4</v>
      </c>
      <c r="AC4130">
        <v>8</v>
      </c>
      <c r="AD4130" s="5">
        <v>5.0229972315240303</v>
      </c>
      <c r="AE4130" s="5">
        <v>2.2141075072191674</v>
      </c>
      <c r="AF4130">
        <v>1</v>
      </c>
    </row>
    <row r="4131" spans="27:32" x14ac:dyDescent="0.3">
      <c r="AA4131" s="3">
        <v>13192.7</v>
      </c>
      <c r="AB4131">
        <v>1E-4</v>
      </c>
      <c r="AC4131">
        <v>8</v>
      </c>
      <c r="AD4131" s="5">
        <v>4.9348407600311894</v>
      </c>
      <c r="AE4131" s="5">
        <v>2.1421472895531282</v>
      </c>
      <c r="AF4131">
        <v>1</v>
      </c>
    </row>
    <row r="4132" spans="27:32" x14ac:dyDescent="0.3">
      <c r="AA4132" s="3">
        <v>-17711.14</v>
      </c>
      <c r="AB4132">
        <v>1E-4</v>
      </c>
      <c r="AC4132">
        <v>9</v>
      </c>
      <c r="AD4132" s="5">
        <v>4.7935356297012275</v>
      </c>
      <c r="AE4132" s="5">
        <v>2.2688755355400381</v>
      </c>
      <c r="AF4132">
        <v>1</v>
      </c>
    </row>
    <row r="4133" spans="27:32" x14ac:dyDescent="0.3">
      <c r="AA4133" s="3">
        <v>2617.38</v>
      </c>
      <c r="AB4133">
        <v>1E-4</v>
      </c>
      <c r="AC4133">
        <v>8</v>
      </c>
      <c r="AD4133" s="5">
        <v>4.988070422837473</v>
      </c>
      <c r="AE4133" s="5">
        <v>2.2074961117145468</v>
      </c>
      <c r="AF4133">
        <v>1</v>
      </c>
    </row>
    <row r="4134" spans="27:32" x14ac:dyDescent="0.3">
      <c r="AA4134" s="3">
        <v>6236.14</v>
      </c>
      <c r="AB4134">
        <v>1E-4</v>
      </c>
      <c r="AC4134">
        <v>8</v>
      </c>
      <c r="AD4134" s="5">
        <v>4.9668280121891657</v>
      </c>
      <c r="AE4134" s="5">
        <v>2.2275275981794174</v>
      </c>
      <c r="AF4134">
        <v>1</v>
      </c>
    </row>
    <row r="4135" spans="27:32" x14ac:dyDescent="0.3">
      <c r="AA4135" s="3">
        <v>13142.64</v>
      </c>
      <c r="AB4135">
        <v>1E-4</v>
      </c>
      <c r="AC4135">
        <v>8</v>
      </c>
      <c r="AD4135" s="5">
        <v>5.0301418694488111</v>
      </c>
      <c r="AE4135" s="5">
        <v>2.1392985936783511</v>
      </c>
      <c r="AF4135">
        <v>1</v>
      </c>
    </row>
    <row r="4136" spans="27:32" x14ac:dyDescent="0.3">
      <c r="AA4136" s="3">
        <v>18508.88</v>
      </c>
      <c r="AB4136">
        <v>1E-4</v>
      </c>
      <c r="AC4136">
        <v>8</v>
      </c>
      <c r="AD4136" s="5">
        <v>4.9418628232026336</v>
      </c>
      <c r="AE4136" s="5">
        <v>2.2299712723874525</v>
      </c>
      <c r="AF4136">
        <v>1</v>
      </c>
    </row>
    <row r="4137" spans="27:32" x14ac:dyDescent="0.3">
      <c r="AA4137" s="3">
        <v>22678.59</v>
      </c>
      <c r="AB4137">
        <v>1E-4</v>
      </c>
      <c r="AC4137">
        <v>8</v>
      </c>
      <c r="AD4137" s="5">
        <v>5.026460326593579</v>
      </c>
      <c r="AE4137" s="5">
        <v>2.1710774248309082</v>
      </c>
      <c r="AF4137">
        <v>1</v>
      </c>
    </row>
    <row r="4138" spans="27:32" x14ac:dyDescent="0.3">
      <c r="AA4138" s="3">
        <v>23962.59</v>
      </c>
      <c r="AB4138">
        <v>1E-4</v>
      </c>
      <c r="AC4138">
        <v>8</v>
      </c>
      <c r="AD4138" s="5">
        <v>5.0632006082704262</v>
      </c>
      <c r="AE4138" s="5">
        <v>2.1660125555819314</v>
      </c>
      <c r="AF4138">
        <v>1</v>
      </c>
    </row>
    <row r="4139" spans="27:32" x14ac:dyDescent="0.3">
      <c r="AA4139" s="3">
        <v>37295</v>
      </c>
      <c r="AB4139">
        <v>1E-4</v>
      </c>
      <c r="AC4139">
        <v>7</v>
      </c>
      <c r="AD4139" s="5">
        <v>5.1795949403861847</v>
      </c>
      <c r="AE4139" s="5">
        <v>2.1706236577821909</v>
      </c>
      <c r="AF4139">
        <v>1</v>
      </c>
    </row>
    <row r="4140" spans="27:32" x14ac:dyDescent="0.3">
      <c r="AA4140" s="3">
        <v>29281.87</v>
      </c>
      <c r="AB4140">
        <v>1E-4</v>
      </c>
      <c r="AC4140">
        <v>8</v>
      </c>
      <c r="AD4140" s="5">
        <v>4.9684698867950754</v>
      </c>
      <c r="AE4140" s="5">
        <v>2.1481168131235537</v>
      </c>
      <c r="AF4140">
        <v>1</v>
      </c>
    </row>
    <row r="4141" spans="27:32" x14ac:dyDescent="0.3">
      <c r="AA4141" s="3">
        <v>9465.2800000000007</v>
      </c>
      <c r="AB4141">
        <v>1E-4</v>
      </c>
      <c r="AC4141">
        <v>8</v>
      </c>
      <c r="AD4141" s="5">
        <v>4.8851028153223099</v>
      </c>
      <c r="AE4141" s="5">
        <v>2.1712757781939436</v>
      </c>
      <c r="AF4141">
        <v>1</v>
      </c>
    </row>
    <row r="4142" spans="27:32" x14ac:dyDescent="0.3">
      <c r="AA4142" s="3">
        <v>64.31</v>
      </c>
      <c r="AB4142">
        <v>1E-4</v>
      </c>
      <c r="AC4142">
        <v>8</v>
      </c>
      <c r="AD4142" s="5">
        <v>4.8279237491702718</v>
      </c>
      <c r="AE4142" s="5">
        <v>2.2751328581328276</v>
      </c>
      <c r="AF4142">
        <v>1</v>
      </c>
    </row>
    <row r="4143" spans="27:32" x14ac:dyDescent="0.3">
      <c r="AA4143" s="3">
        <v>5531.97</v>
      </c>
      <c r="AB4143">
        <v>1E-4</v>
      </c>
      <c r="AC4143">
        <v>8</v>
      </c>
      <c r="AD4143" s="5">
        <v>4.8554752972710471</v>
      </c>
      <c r="AE4143" s="5">
        <v>2.2566973984632765</v>
      </c>
      <c r="AF4143">
        <v>1</v>
      </c>
    </row>
    <row r="4144" spans="27:32" x14ac:dyDescent="0.3">
      <c r="AA4144" s="3">
        <v>16776.759999999998</v>
      </c>
      <c r="AB4144">
        <v>1E-4</v>
      </c>
      <c r="AC4144">
        <v>8</v>
      </c>
      <c r="AD4144" s="5">
        <v>4.9756081066254794</v>
      </c>
      <c r="AE4144" s="5">
        <v>2.2598221769460376</v>
      </c>
      <c r="AF4144">
        <v>1</v>
      </c>
    </row>
    <row r="4145" spans="27:32" x14ac:dyDescent="0.3">
      <c r="AA4145" s="3">
        <v>18018.740000000002</v>
      </c>
      <c r="AB4145">
        <v>1E-4</v>
      </c>
      <c r="AC4145">
        <v>8</v>
      </c>
      <c r="AD4145" s="5">
        <v>5.0828982916488155</v>
      </c>
      <c r="AE4145" s="5">
        <v>2.192635533839538</v>
      </c>
      <c r="AF4145">
        <v>1</v>
      </c>
    </row>
    <row r="4146" spans="27:32" x14ac:dyDescent="0.3">
      <c r="AA4146" s="3">
        <v>19455</v>
      </c>
      <c r="AB4146">
        <v>1E-4</v>
      </c>
      <c r="AC4146">
        <v>8</v>
      </c>
      <c r="AD4146" s="5">
        <v>5.1260984203704787</v>
      </c>
      <c r="AE4146" s="5">
        <v>2.2969266978336806</v>
      </c>
      <c r="AF4146">
        <v>1</v>
      </c>
    </row>
    <row r="4147" spans="27:32" x14ac:dyDescent="0.3">
      <c r="AA4147" s="3">
        <v>34809.32</v>
      </c>
      <c r="AB4147">
        <v>1E-4</v>
      </c>
      <c r="AC4147">
        <v>7</v>
      </c>
      <c r="AD4147" s="5">
        <v>4.9752979154814616</v>
      </c>
      <c r="AE4147" s="5">
        <v>2.227944766467731</v>
      </c>
      <c r="AF4147">
        <v>1</v>
      </c>
    </row>
    <row r="4148" spans="27:32" x14ac:dyDescent="0.3">
      <c r="AA4148" s="3">
        <v>43998.9</v>
      </c>
      <c r="AB4148">
        <v>1E-4</v>
      </c>
      <c r="AC4148">
        <v>7</v>
      </c>
      <c r="AD4148" s="5">
        <v>4.9440453396743331</v>
      </c>
      <c r="AE4148" s="5">
        <v>2.1724374314944566</v>
      </c>
      <c r="AF4148">
        <v>1</v>
      </c>
    </row>
    <row r="4149" spans="27:32" x14ac:dyDescent="0.3">
      <c r="AA4149" s="3">
        <v>1704.2</v>
      </c>
      <c r="AB4149">
        <v>1E-4</v>
      </c>
      <c r="AC4149">
        <v>8</v>
      </c>
      <c r="AD4149" s="5">
        <v>4.9182336388723069</v>
      </c>
      <c r="AE4149" s="5">
        <v>2.2126114096086593</v>
      </c>
      <c r="AF4149">
        <v>1</v>
      </c>
    </row>
    <row r="4150" spans="27:32" x14ac:dyDescent="0.3">
      <c r="AA4150" s="3">
        <v>-2222.2199999999998</v>
      </c>
      <c r="AB4150">
        <v>1E-4</v>
      </c>
      <c r="AC4150">
        <v>9</v>
      </c>
      <c r="AD4150" s="5">
        <v>4.7656387099069555</v>
      </c>
      <c r="AE4150" s="5">
        <v>2.2171590533234125</v>
      </c>
      <c r="AF4150">
        <v>1</v>
      </c>
    </row>
    <row r="4151" spans="27:32" x14ac:dyDescent="0.3">
      <c r="AA4151" s="3">
        <v>18155.23</v>
      </c>
      <c r="AB4151">
        <v>1E-4</v>
      </c>
      <c r="AC4151">
        <v>8</v>
      </c>
      <c r="AD4151" s="5">
        <v>4.8332762825084936</v>
      </c>
      <c r="AE4151" s="5">
        <v>2.1447401299404736</v>
      </c>
      <c r="AF4151">
        <v>1</v>
      </c>
    </row>
    <row r="4152" spans="27:32" x14ac:dyDescent="0.3">
      <c r="AA4152" s="3">
        <v>14855.38</v>
      </c>
      <c r="AB4152">
        <v>1E-4</v>
      </c>
      <c r="AC4152">
        <v>8</v>
      </c>
      <c r="AD4152" s="5">
        <v>5.151226731534857</v>
      </c>
      <c r="AE4152" s="5">
        <v>2.3424821371584508</v>
      </c>
      <c r="AF4152">
        <v>1</v>
      </c>
    </row>
    <row r="4153" spans="27:32" x14ac:dyDescent="0.3">
      <c r="AA4153" s="3">
        <v>12504.04</v>
      </c>
      <c r="AB4153">
        <v>1E-4</v>
      </c>
      <c r="AC4153">
        <v>8</v>
      </c>
      <c r="AD4153" s="5">
        <v>5.1135650226154494</v>
      </c>
      <c r="AE4153" s="5">
        <v>2.2082950624073669</v>
      </c>
      <c r="AF4153">
        <v>1</v>
      </c>
    </row>
    <row r="4154" spans="27:32" x14ac:dyDescent="0.3">
      <c r="AA4154" s="3">
        <v>18551.11</v>
      </c>
      <c r="AB4154">
        <v>1E-4</v>
      </c>
      <c r="AC4154">
        <v>8</v>
      </c>
      <c r="AD4154" s="5">
        <v>5.0207412349296003</v>
      </c>
      <c r="AE4154" s="5">
        <v>2.2043719140491769</v>
      </c>
      <c r="AF4154">
        <v>1</v>
      </c>
    </row>
    <row r="4155" spans="27:32" x14ac:dyDescent="0.3">
      <c r="AA4155" s="3">
        <v>6855.11</v>
      </c>
      <c r="AB4155">
        <v>1E-4</v>
      </c>
      <c r="AC4155">
        <v>8</v>
      </c>
      <c r="AD4155" s="5">
        <v>4.8242397198803815</v>
      </c>
      <c r="AE4155" s="5">
        <v>2.1065003228071988</v>
      </c>
      <c r="AF4155">
        <v>1</v>
      </c>
    </row>
    <row r="4156" spans="27:32" x14ac:dyDescent="0.3">
      <c r="AA4156" s="3">
        <v>1138.67</v>
      </c>
      <c r="AB4156">
        <v>1E-4</v>
      </c>
      <c r="AC4156">
        <v>8</v>
      </c>
      <c r="AD4156" s="5">
        <v>4.9949463604412996</v>
      </c>
      <c r="AE4156" s="5">
        <v>2.2155073093359454</v>
      </c>
      <c r="AF4156">
        <v>1</v>
      </c>
    </row>
    <row r="4157" spans="27:32" x14ac:dyDescent="0.3">
      <c r="AA4157" s="3">
        <v>13564.55</v>
      </c>
      <c r="AB4157">
        <v>1E-4</v>
      </c>
      <c r="AC4157">
        <v>8</v>
      </c>
      <c r="AD4157" s="5">
        <v>5.0588577726258164</v>
      </c>
      <c r="AE4157" s="5">
        <v>2.1872543722259077</v>
      </c>
      <c r="AF4157">
        <v>1</v>
      </c>
    </row>
    <row r="4158" spans="27:32" x14ac:dyDescent="0.3">
      <c r="AA4158" s="3">
        <v>-3347.12</v>
      </c>
      <c r="AB4158">
        <v>1E-4</v>
      </c>
      <c r="AC4158">
        <v>9</v>
      </c>
      <c r="AD4158" s="5">
        <v>5.0396724078052006</v>
      </c>
      <c r="AE4158" s="5">
        <v>2.243318490696705</v>
      </c>
      <c r="AF4158">
        <v>1</v>
      </c>
    </row>
    <row r="4159" spans="27:32" x14ac:dyDescent="0.3">
      <c r="AA4159" s="3">
        <v>-7181.07</v>
      </c>
      <c r="AB4159">
        <v>1E-4</v>
      </c>
      <c r="AC4159">
        <v>9</v>
      </c>
      <c r="AD4159" s="5">
        <v>4.936081867079495</v>
      </c>
      <c r="AE4159" s="5">
        <v>2.1841387184656127</v>
      </c>
      <c r="AF4159">
        <v>1</v>
      </c>
    </row>
    <row r="4160" spans="27:32" x14ac:dyDescent="0.3">
      <c r="AA4160" s="3">
        <v>-6721.33</v>
      </c>
      <c r="AB4160">
        <v>1E-4</v>
      </c>
      <c r="AC4160">
        <v>9</v>
      </c>
      <c r="AD4160" s="5">
        <v>4.9700356817293017</v>
      </c>
      <c r="AE4160" s="5">
        <v>2.1573214327557819</v>
      </c>
      <c r="AF4160">
        <v>1</v>
      </c>
    </row>
    <row r="4161" spans="27:32" x14ac:dyDescent="0.3">
      <c r="AA4161" s="3">
        <v>-7566.21</v>
      </c>
      <c r="AB4161">
        <v>1E-4</v>
      </c>
      <c r="AC4161">
        <v>9</v>
      </c>
      <c r="AD4161" s="5">
        <v>5.0712388366476766</v>
      </c>
      <c r="AE4161" s="5">
        <v>2.2290081612159276</v>
      </c>
      <c r="AF4161">
        <v>1</v>
      </c>
    </row>
    <row r="4162" spans="27:32" x14ac:dyDescent="0.3">
      <c r="AA4162" s="3">
        <v>10488.3</v>
      </c>
      <c r="AB4162">
        <v>1E-4</v>
      </c>
      <c r="AC4162">
        <v>8</v>
      </c>
      <c r="AD4162" s="5">
        <v>5.0632810598161111</v>
      </c>
      <c r="AE4162" s="5">
        <v>2.1460053149180536</v>
      </c>
      <c r="AF4162">
        <v>1</v>
      </c>
    </row>
    <row r="4163" spans="27:32" x14ac:dyDescent="0.3">
      <c r="AA4163" s="3">
        <v>17292.150000000001</v>
      </c>
      <c r="AB4163">
        <v>1E-4</v>
      </c>
      <c r="AC4163">
        <v>8</v>
      </c>
      <c r="AD4163" s="5">
        <v>4.868146210664694</v>
      </c>
      <c r="AE4163" s="5">
        <v>2.0688175759735228</v>
      </c>
      <c r="AF4163">
        <v>1</v>
      </c>
    </row>
    <row r="4164" spans="27:32" x14ac:dyDescent="0.3">
      <c r="AA4164" s="3">
        <v>-13499.72</v>
      </c>
      <c r="AB4164">
        <v>1E-4</v>
      </c>
      <c r="AC4164">
        <v>9</v>
      </c>
      <c r="AD4164" s="5">
        <v>4.8285880246259332</v>
      </c>
      <c r="AE4164" s="5">
        <v>2.2436156476943494</v>
      </c>
      <c r="AF4164">
        <v>1</v>
      </c>
    </row>
    <row r="4165" spans="27:32" x14ac:dyDescent="0.3">
      <c r="AA4165" s="3">
        <v>5065.82</v>
      </c>
      <c r="AB4165">
        <v>1E-4</v>
      </c>
      <c r="AC4165">
        <v>8</v>
      </c>
      <c r="AD4165" s="5">
        <v>5.0044322685470286</v>
      </c>
      <c r="AE4165" s="5">
        <v>2.1861539853984415</v>
      </c>
      <c r="AF4165">
        <v>1</v>
      </c>
    </row>
    <row r="4166" spans="27:32" x14ac:dyDescent="0.3">
      <c r="AA4166" s="3">
        <v>9891.89</v>
      </c>
      <c r="AB4166">
        <v>1E-4</v>
      </c>
      <c r="AC4166">
        <v>8</v>
      </c>
      <c r="AD4166" s="5">
        <v>4.8258721891618395</v>
      </c>
      <c r="AE4166" s="5">
        <v>2.1999419212011611</v>
      </c>
      <c r="AF4166">
        <v>1</v>
      </c>
    </row>
    <row r="4167" spans="27:32" x14ac:dyDescent="0.3">
      <c r="AA4167" s="3">
        <v>5736.34</v>
      </c>
      <c r="AB4167">
        <v>1E-4</v>
      </c>
      <c r="AC4167">
        <v>8</v>
      </c>
      <c r="AD4167" s="5">
        <v>4.9394601635612823</v>
      </c>
      <c r="AE4167" s="5">
        <v>2.1767217484196357</v>
      </c>
      <c r="AF4167">
        <v>1</v>
      </c>
    </row>
    <row r="4168" spans="27:32" x14ac:dyDescent="0.3">
      <c r="AA4168" s="3">
        <v>-1790.24</v>
      </c>
      <c r="AB4168">
        <v>1E-4</v>
      </c>
      <c r="AC4168">
        <v>9</v>
      </c>
      <c r="AD4168" s="5">
        <v>5.0097723767163487</v>
      </c>
      <c r="AE4168" s="5">
        <v>2.2210130054848047</v>
      </c>
      <c r="AF4168">
        <v>1</v>
      </c>
    </row>
    <row r="4169" spans="27:32" x14ac:dyDescent="0.3">
      <c r="AA4169" s="3">
        <v>43794.13</v>
      </c>
      <c r="AB4169">
        <v>1E-4</v>
      </c>
      <c r="AC4169">
        <v>7</v>
      </c>
      <c r="AD4169" s="5">
        <v>4.9889893966600285</v>
      </c>
      <c r="AE4169" s="5">
        <v>2.2002556805608542</v>
      </c>
      <c r="AF4169">
        <v>1</v>
      </c>
    </row>
    <row r="4170" spans="27:32" x14ac:dyDescent="0.3">
      <c r="AA4170" s="3">
        <v>28839.03</v>
      </c>
      <c r="AB4170">
        <v>1E-4</v>
      </c>
      <c r="AC4170">
        <v>7</v>
      </c>
      <c r="AD4170" s="5">
        <v>4.9335945485613326</v>
      </c>
      <c r="AE4170" s="5">
        <v>2.1550076100139641</v>
      </c>
      <c r="AF4170">
        <v>1</v>
      </c>
    </row>
    <row r="4171" spans="27:32" x14ac:dyDescent="0.3">
      <c r="AA4171" s="3">
        <v>25532.37</v>
      </c>
      <c r="AB4171">
        <v>1E-4</v>
      </c>
      <c r="AC4171">
        <v>8</v>
      </c>
      <c r="AD4171" s="5">
        <v>4.9701576111755337</v>
      </c>
      <c r="AE4171" s="5">
        <v>2.2067041493209349</v>
      </c>
      <c r="AF4171">
        <v>1</v>
      </c>
    </row>
    <row r="4172" spans="27:32" x14ac:dyDescent="0.3">
      <c r="AA4172" s="3">
        <v>-7158.38</v>
      </c>
      <c r="AB4172">
        <v>1E-4</v>
      </c>
      <c r="AC4172">
        <v>9</v>
      </c>
      <c r="AD4172" s="5">
        <v>4.9421702416080278</v>
      </c>
      <c r="AE4172" s="5">
        <v>2.2549508016511437</v>
      </c>
      <c r="AF4172">
        <v>1</v>
      </c>
    </row>
    <row r="4173" spans="27:32" x14ac:dyDescent="0.3">
      <c r="AA4173" s="3">
        <v>26353.360000000001</v>
      </c>
      <c r="AB4173">
        <v>1E-4</v>
      </c>
      <c r="AC4173">
        <v>8</v>
      </c>
      <c r="AD4173" s="5">
        <v>4.8288636820855935</v>
      </c>
      <c r="AE4173" s="5">
        <v>2.1882785309712141</v>
      </c>
      <c r="AF4173">
        <v>1</v>
      </c>
    </row>
    <row r="4174" spans="27:32" x14ac:dyDescent="0.3">
      <c r="AA4174" s="3">
        <v>18696.650000000001</v>
      </c>
      <c r="AB4174">
        <v>1E-4</v>
      </c>
      <c r="AC4174">
        <v>8</v>
      </c>
      <c r="AD4174" s="5">
        <v>5.1773317398813559</v>
      </c>
      <c r="AE4174" s="5">
        <v>2.2407653535403065</v>
      </c>
      <c r="AF4174">
        <v>1</v>
      </c>
    </row>
    <row r="4175" spans="27:32" x14ac:dyDescent="0.3">
      <c r="AA4175" s="3">
        <v>21906.71</v>
      </c>
      <c r="AB4175">
        <v>1E-4</v>
      </c>
      <c r="AC4175">
        <v>8</v>
      </c>
      <c r="AD4175" s="5">
        <v>5.0197149599886668</v>
      </c>
      <c r="AE4175" s="5">
        <v>2.1678419595226908</v>
      </c>
      <c r="AF4175">
        <v>1</v>
      </c>
    </row>
    <row r="4176" spans="27:32" x14ac:dyDescent="0.3">
      <c r="AA4176" s="3">
        <v>32396.46</v>
      </c>
      <c r="AB4176">
        <v>1E-4</v>
      </c>
      <c r="AC4176">
        <v>7</v>
      </c>
      <c r="AD4176" s="5">
        <v>4.9780496258046156</v>
      </c>
      <c r="AE4176" s="5">
        <v>2.1679516784103998</v>
      </c>
      <c r="AF4176">
        <v>1</v>
      </c>
    </row>
    <row r="4177" spans="27:32" x14ac:dyDescent="0.3">
      <c r="AA4177" s="3">
        <v>11833.33</v>
      </c>
      <c r="AB4177">
        <v>1E-4</v>
      </c>
      <c r="AC4177">
        <v>8</v>
      </c>
      <c r="AD4177" s="5">
        <v>5.0099226148282421</v>
      </c>
      <c r="AE4177" s="5">
        <v>2.14368056782128</v>
      </c>
      <c r="AF4177">
        <v>1</v>
      </c>
    </row>
    <row r="4178" spans="27:32" x14ac:dyDescent="0.3">
      <c r="AA4178" s="3">
        <v>24921.18</v>
      </c>
      <c r="AB4178">
        <v>1E-4</v>
      </c>
      <c r="AC4178">
        <v>8</v>
      </c>
      <c r="AD4178" s="5">
        <v>4.8903087343597829</v>
      </c>
      <c r="AE4178" s="5">
        <v>2.1853350988531837</v>
      </c>
      <c r="AF4178">
        <v>1</v>
      </c>
    </row>
    <row r="4179" spans="27:32" x14ac:dyDescent="0.3">
      <c r="AA4179" s="3">
        <v>-11816.5</v>
      </c>
      <c r="AB4179">
        <v>1E-4</v>
      </c>
      <c r="AC4179">
        <v>9</v>
      </c>
      <c r="AD4179" s="5">
        <v>5.0404299821123981</v>
      </c>
      <c r="AE4179" s="5">
        <v>2.164160381007155</v>
      </c>
      <c r="AF4179">
        <v>1</v>
      </c>
    </row>
    <row r="4180" spans="27:32" x14ac:dyDescent="0.3">
      <c r="AA4180" s="3">
        <v>6335.71</v>
      </c>
      <c r="AB4180">
        <v>1E-4</v>
      </c>
      <c r="AC4180">
        <v>8</v>
      </c>
      <c r="AD4180" s="5">
        <v>4.9137979297680401</v>
      </c>
      <c r="AE4180" s="5">
        <v>2.292813139507619</v>
      </c>
      <c r="AF4180">
        <v>1</v>
      </c>
    </row>
    <row r="4181" spans="27:32" x14ac:dyDescent="0.3">
      <c r="AA4181" s="3">
        <v>32305.35</v>
      </c>
      <c r="AB4181">
        <v>1E-4</v>
      </c>
      <c r="AC4181">
        <v>7</v>
      </c>
      <c r="AD4181" s="5">
        <v>5.0887943594857541</v>
      </c>
      <c r="AE4181" s="5">
        <v>2.2154673323573593</v>
      </c>
      <c r="AF4181">
        <v>1</v>
      </c>
    </row>
    <row r="4182" spans="27:32" x14ac:dyDescent="0.3">
      <c r="AA4182" s="3">
        <v>48193.38</v>
      </c>
      <c r="AB4182">
        <v>1E-4</v>
      </c>
      <c r="AC4182">
        <v>6</v>
      </c>
      <c r="AD4182" s="5">
        <v>5.212347341024655</v>
      </c>
      <c r="AE4182" s="5">
        <v>2.2651433762982434</v>
      </c>
      <c r="AF4182">
        <v>1</v>
      </c>
    </row>
    <row r="4183" spans="27:32" x14ac:dyDescent="0.3">
      <c r="AA4183" s="3">
        <v>5951.15</v>
      </c>
      <c r="AB4183">
        <v>1E-4</v>
      </c>
      <c r="AC4183">
        <v>8</v>
      </c>
      <c r="AD4183" s="5">
        <v>5.1587883215472345</v>
      </c>
      <c r="AE4183" s="5">
        <v>2.2095270772777713</v>
      </c>
      <c r="AF4183">
        <v>1</v>
      </c>
    </row>
    <row r="4184" spans="27:32" x14ac:dyDescent="0.3">
      <c r="AA4184" s="3">
        <v>24802.17</v>
      </c>
      <c r="AB4184">
        <v>1E-4</v>
      </c>
      <c r="AC4184">
        <v>8</v>
      </c>
      <c r="AD4184" s="5">
        <v>5.1022801498352601</v>
      </c>
      <c r="AE4184" s="5">
        <v>2.2627932128765171</v>
      </c>
      <c r="AF4184">
        <v>1</v>
      </c>
    </row>
    <row r="4185" spans="27:32" x14ac:dyDescent="0.3">
      <c r="AA4185" s="3">
        <v>-6516.99</v>
      </c>
      <c r="AB4185">
        <v>1E-4</v>
      </c>
      <c r="AC4185">
        <v>9</v>
      </c>
      <c r="AD4185" s="5">
        <v>5.1623867470498439</v>
      </c>
      <c r="AE4185" s="5">
        <v>2.3254255378960869</v>
      </c>
      <c r="AF4185">
        <v>1</v>
      </c>
    </row>
    <row r="4186" spans="27:32" x14ac:dyDescent="0.3">
      <c r="AA4186" s="3">
        <v>-17349.11</v>
      </c>
      <c r="AB4186">
        <v>1E-4</v>
      </c>
      <c r="AC4186">
        <v>9</v>
      </c>
      <c r="AD4186" s="5">
        <v>4.925115952585605</v>
      </c>
      <c r="AE4186" s="5">
        <v>2.1756158374754064</v>
      </c>
      <c r="AF4186">
        <v>1</v>
      </c>
    </row>
    <row r="4187" spans="27:32" x14ac:dyDescent="0.3">
      <c r="AA4187" s="3">
        <v>30803.79</v>
      </c>
      <c r="AB4187">
        <v>1E-4</v>
      </c>
      <c r="AC4187">
        <v>7</v>
      </c>
      <c r="AD4187" s="5">
        <v>4.8448943887813352</v>
      </c>
      <c r="AE4187" s="5">
        <v>2.1567104460468087</v>
      </c>
      <c r="AF4187">
        <v>1</v>
      </c>
    </row>
    <row r="4188" spans="27:32" x14ac:dyDescent="0.3">
      <c r="AA4188" s="3">
        <v>33116.43</v>
      </c>
      <c r="AB4188">
        <v>1E-4</v>
      </c>
      <c r="AC4188">
        <v>7</v>
      </c>
      <c r="AD4188" s="5">
        <v>4.8673428256118365</v>
      </c>
      <c r="AE4188" s="5">
        <v>2.2136123081895027</v>
      </c>
      <c r="AF4188">
        <v>1</v>
      </c>
    </row>
    <row r="4189" spans="27:32" x14ac:dyDescent="0.3">
      <c r="AA4189" s="3">
        <v>29652.560000000001</v>
      </c>
      <c r="AB4189">
        <v>1E-4</v>
      </c>
      <c r="AC4189">
        <v>8</v>
      </c>
      <c r="AD4189" s="5">
        <v>4.909344430752598</v>
      </c>
      <c r="AE4189" s="5">
        <v>2.1740605183566348</v>
      </c>
      <c r="AF4189">
        <v>1</v>
      </c>
    </row>
    <row r="4190" spans="27:32" x14ac:dyDescent="0.3">
      <c r="AA4190" s="3">
        <v>53006.23</v>
      </c>
      <c r="AB4190">
        <v>1E-4</v>
      </c>
      <c r="AC4190">
        <v>6</v>
      </c>
      <c r="AD4190" s="5">
        <v>5.1208076148048631</v>
      </c>
      <c r="AE4190" s="5">
        <v>2.1580260643457523</v>
      </c>
      <c r="AF4190">
        <v>1</v>
      </c>
    </row>
    <row r="4191" spans="27:32" x14ac:dyDescent="0.3">
      <c r="AA4191" s="3">
        <v>33257.279999999999</v>
      </c>
      <c r="AB4191">
        <v>1E-4</v>
      </c>
      <c r="AC4191">
        <v>7</v>
      </c>
      <c r="AD4191" s="5">
        <v>5.1959331400098918</v>
      </c>
      <c r="AE4191" s="5">
        <v>2.1446641549646435</v>
      </c>
      <c r="AF4191">
        <v>1</v>
      </c>
    </row>
    <row r="4192" spans="27:32" x14ac:dyDescent="0.3">
      <c r="AA4192" s="3">
        <v>7326.28</v>
      </c>
      <c r="AB4192">
        <v>1E-4</v>
      </c>
      <c r="AC4192">
        <v>8</v>
      </c>
      <c r="AD4192" s="5">
        <v>4.962204316197373</v>
      </c>
      <c r="AE4192" s="5">
        <v>2.1034674477907855</v>
      </c>
      <c r="AF4192">
        <v>1</v>
      </c>
    </row>
    <row r="4193" spans="27:32" x14ac:dyDescent="0.3">
      <c r="AA4193" s="3">
        <v>12327.38</v>
      </c>
      <c r="AB4193">
        <v>1E-4</v>
      </c>
      <c r="AC4193">
        <v>8</v>
      </c>
      <c r="AD4193" s="5">
        <v>4.9698871997711338</v>
      </c>
      <c r="AE4193" s="5">
        <v>2.2370155585166196</v>
      </c>
      <c r="AF4193">
        <v>1</v>
      </c>
    </row>
    <row r="4194" spans="27:32" x14ac:dyDescent="0.3">
      <c r="AA4194" s="3">
        <v>-5336.75</v>
      </c>
      <c r="AB4194">
        <v>1E-4</v>
      </c>
      <c r="AC4194">
        <v>9</v>
      </c>
      <c r="AD4194" s="5">
        <v>4.9926901254096894</v>
      </c>
      <c r="AE4194" s="5">
        <v>2.1778018720530801</v>
      </c>
      <c r="AF4194">
        <v>1</v>
      </c>
    </row>
    <row r="4195" spans="27:32" x14ac:dyDescent="0.3">
      <c r="AA4195" s="3">
        <v>41146.6</v>
      </c>
      <c r="AB4195">
        <v>1E-4</v>
      </c>
      <c r="AC4195">
        <v>7</v>
      </c>
      <c r="AD4195" s="5">
        <v>4.8732416551059767</v>
      </c>
      <c r="AE4195" s="5">
        <v>2.1719073301546787</v>
      </c>
      <c r="AF4195">
        <v>1</v>
      </c>
    </row>
    <row r="4196" spans="27:32" x14ac:dyDescent="0.3">
      <c r="AA4196" s="3">
        <v>1528.2952321596913</v>
      </c>
      <c r="AB4196">
        <v>1E-4</v>
      </c>
      <c r="AC4196">
        <v>8</v>
      </c>
      <c r="AD4196" s="5">
        <v>4.9323586693627197</v>
      </c>
      <c r="AE4196" s="5">
        <v>2.2186351027135771</v>
      </c>
      <c r="AF4196">
        <v>0</v>
      </c>
    </row>
    <row r="4197" spans="27:32" x14ac:dyDescent="0.3">
      <c r="AA4197" s="3">
        <v>3565.15</v>
      </c>
      <c r="AB4197">
        <v>1E-4</v>
      </c>
      <c r="AC4197">
        <v>8</v>
      </c>
      <c r="AD4197" s="5">
        <v>5.1000069177364287</v>
      </c>
      <c r="AE4197" s="5">
        <v>2.1290625810089199</v>
      </c>
      <c r="AF4197">
        <v>1</v>
      </c>
    </row>
    <row r="4198" spans="27:32" x14ac:dyDescent="0.3">
      <c r="AA4198" s="3">
        <v>2765.11</v>
      </c>
      <c r="AB4198">
        <v>1E-4</v>
      </c>
      <c r="AC4198">
        <v>8</v>
      </c>
      <c r="AD4198" s="5">
        <v>5.059429634706575</v>
      </c>
      <c r="AE4198" s="5">
        <v>2.1621118472636049</v>
      </c>
      <c r="AF4198">
        <v>1</v>
      </c>
    </row>
    <row r="4199" spans="27:32" x14ac:dyDescent="0.3">
      <c r="AA4199" s="3">
        <v>-18541.704618402706</v>
      </c>
      <c r="AB4199">
        <v>1E-4</v>
      </c>
      <c r="AC4199">
        <v>8</v>
      </c>
      <c r="AD4199" s="5">
        <v>4.9370244415101912</v>
      </c>
      <c r="AE4199" s="5">
        <v>2.2010977410976471</v>
      </c>
      <c r="AF4199">
        <v>0</v>
      </c>
    </row>
    <row r="4200" spans="27:32" x14ac:dyDescent="0.3">
      <c r="AA4200" s="3">
        <v>18760.21</v>
      </c>
      <c r="AB4200">
        <v>1E-4</v>
      </c>
      <c r="AC4200">
        <v>8</v>
      </c>
      <c r="AD4200" s="5">
        <v>5.0042251592124147</v>
      </c>
      <c r="AE4200" s="5">
        <v>2.1657776480436608</v>
      </c>
      <c r="AF4200">
        <v>1</v>
      </c>
    </row>
    <row r="4201" spans="27:32" x14ac:dyDescent="0.3">
      <c r="AA4201" s="3">
        <v>4744.37</v>
      </c>
      <c r="AB4201">
        <v>1E-4</v>
      </c>
      <c r="AC4201">
        <v>8</v>
      </c>
      <c r="AD4201" s="5">
        <v>5.0417147975656738</v>
      </c>
      <c r="AE4201" s="5">
        <v>2.2054105928805838</v>
      </c>
      <c r="AF4201">
        <v>1</v>
      </c>
    </row>
    <row r="4202" spans="27:32" x14ac:dyDescent="0.3">
      <c r="AA4202" s="3">
        <v>28122.99</v>
      </c>
      <c r="AB4202">
        <v>1E-4</v>
      </c>
      <c r="AC4202">
        <v>8</v>
      </c>
      <c r="AD4202" s="5">
        <v>4.9136919985454197</v>
      </c>
      <c r="AE4202" s="5">
        <v>2.2071267662720953</v>
      </c>
      <c r="AF4202">
        <v>1</v>
      </c>
    </row>
    <row r="4203" spans="27:32" x14ac:dyDescent="0.3">
      <c r="AA4203" s="3">
        <v>-9304.61</v>
      </c>
      <c r="AB4203">
        <v>1E-4</v>
      </c>
      <c r="AC4203">
        <v>9</v>
      </c>
      <c r="AD4203" s="5">
        <v>4.9290265624465608</v>
      </c>
      <c r="AE4203" s="5">
        <v>2.2213579605039491</v>
      </c>
      <c r="AF4203">
        <v>1</v>
      </c>
    </row>
    <row r="4204" spans="27:32" x14ac:dyDescent="0.3">
      <c r="AA4204" s="3">
        <v>-2690.2</v>
      </c>
      <c r="AB4204">
        <v>1E-4</v>
      </c>
      <c r="AC4204">
        <v>9</v>
      </c>
      <c r="AD4204" s="5">
        <v>4.9980846673696329</v>
      </c>
      <c r="AE4204" s="5">
        <v>2.2329241747160702</v>
      </c>
      <c r="AF4204">
        <v>1</v>
      </c>
    </row>
    <row r="4205" spans="27:32" x14ac:dyDescent="0.3">
      <c r="AA4205" s="3">
        <v>8359.11</v>
      </c>
      <c r="AB4205">
        <v>1E-4</v>
      </c>
      <c r="AC4205">
        <v>8</v>
      </c>
      <c r="AD4205" s="5">
        <v>4.8964000589601788</v>
      </c>
      <c r="AE4205" s="5">
        <v>2.2966741732142264</v>
      </c>
      <c r="AF4205">
        <v>1</v>
      </c>
    </row>
    <row r="4206" spans="27:32" x14ac:dyDescent="0.3">
      <c r="AA4206" s="3">
        <v>17416.54</v>
      </c>
      <c r="AB4206">
        <v>1E-4</v>
      </c>
      <c r="AC4206">
        <v>8</v>
      </c>
      <c r="AD4206" s="5">
        <v>5.0756089369995578</v>
      </c>
      <c r="AE4206" s="5">
        <v>2.2635716358081317</v>
      </c>
      <c r="AF4206">
        <v>1</v>
      </c>
    </row>
    <row r="4207" spans="27:32" x14ac:dyDescent="0.3">
      <c r="AA4207" s="3">
        <v>34755.040000000001</v>
      </c>
      <c r="AB4207">
        <v>1E-4</v>
      </c>
      <c r="AC4207">
        <v>7</v>
      </c>
      <c r="AD4207" s="5">
        <v>5.149874870599974</v>
      </c>
      <c r="AE4207" s="5">
        <v>2.1695104762021677</v>
      </c>
      <c r="AF4207">
        <v>1</v>
      </c>
    </row>
    <row r="4208" spans="27:32" x14ac:dyDescent="0.3">
      <c r="AA4208" s="3">
        <v>26620.27</v>
      </c>
      <c r="AB4208">
        <v>1E-4</v>
      </c>
      <c r="AC4208">
        <v>8</v>
      </c>
      <c r="AD4208" s="5">
        <v>4.8420771529161879</v>
      </c>
      <c r="AE4208" s="5">
        <v>2.2299449863763248</v>
      </c>
      <c r="AF4208">
        <v>1</v>
      </c>
    </row>
    <row r="4209" spans="27:32" x14ac:dyDescent="0.3">
      <c r="AA4209" s="3">
        <v>12118.2</v>
      </c>
      <c r="AB4209">
        <v>1E-4</v>
      </c>
      <c r="AC4209">
        <v>8</v>
      </c>
      <c r="AD4209" s="5">
        <v>4.9707549027117812</v>
      </c>
      <c r="AE4209" s="5">
        <v>2.1642920399507912</v>
      </c>
      <c r="AF4209">
        <v>1</v>
      </c>
    </row>
    <row r="4210" spans="27:32" x14ac:dyDescent="0.3">
      <c r="AA4210" s="3">
        <v>29841.54</v>
      </c>
      <c r="AB4210">
        <v>1E-4</v>
      </c>
      <c r="AC4210">
        <v>8</v>
      </c>
      <c r="AD4210" s="5">
        <v>4.9526232720496468</v>
      </c>
      <c r="AE4210" s="5">
        <v>2.1310338515617113</v>
      </c>
      <c r="AF4210">
        <v>1</v>
      </c>
    </row>
    <row r="4211" spans="27:32" x14ac:dyDescent="0.3">
      <c r="AA4211" s="3">
        <v>550.03</v>
      </c>
      <c r="AB4211">
        <v>1E-4</v>
      </c>
      <c r="AC4211">
        <v>8</v>
      </c>
      <c r="AD4211" s="5">
        <v>4.7616991559046733</v>
      </c>
      <c r="AE4211" s="5">
        <v>2.1689403322619487</v>
      </c>
      <c r="AF4211">
        <v>1</v>
      </c>
    </row>
    <row r="4212" spans="27:32" x14ac:dyDescent="0.3">
      <c r="AA4212" s="3">
        <v>17761.669999999998</v>
      </c>
      <c r="AB4212">
        <v>1E-4</v>
      </c>
      <c r="AC4212">
        <v>8</v>
      </c>
      <c r="AD4212" s="5">
        <v>4.8326769099105933</v>
      </c>
      <c r="AE4212" s="5">
        <v>2.2372883368422687</v>
      </c>
      <c r="AF4212">
        <v>1</v>
      </c>
    </row>
    <row r="4213" spans="27:32" x14ac:dyDescent="0.3">
      <c r="AA4213" s="3">
        <v>-17310.919999999998</v>
      </c>
      <c r="AB4213">
        <v>1E-4</v>
      </c>
      <c r="AC4213">
        <v>9</v>
      </c>
      <c r="AD4213" s="5">
        <v>4.8912971813903505</v>
      </c>
      <c r="AE4213" s="5">
        <v>2.1944780578460046</v>
      </c>
      <c r="AF4213">
        <v>1</v>
      </c>
    </row>
    <row r="4214" spans="27:32" x14ac:dyDescent="0.3">
      <c r="AA4214" s="3">
        <v>28164.880000000001</v>
      </c>
      <c r="AB4214">
        <v>1E-4</v>
      </c>
      <c r="AC4214">
        <v>8</v>
      </c>
      <c r="AD4214" s="5">
        <v>5.134410335132312</v>
      </c>
      <c r="AE4214" s="5">
        <v>2.1866833883720709</v>
      </c>
      <c r="AF4214">
        <v>1</v>
      </c>
    </row>
    <row r="4215" spans="27:32" x14ac:dyDescent="0.3">
      <c r="AA4215" s="3">
        <v>-11924.99</v>
      </c>
      <c r="AB4215">
        <v>1E-4</v>
      </c>
      <c r="AC4215">
        <v>9</v>
      </c>
      <c r="AD4215" s="5">
        <v>4.8856412307544801</v>
      </c>
      <c r="AE4215" s="5">
        <v>2.1844737283530589</v>
      </c>
      <c r="AF4215">
        <v>1</v>
      </c>
    </row>
    <row r="4216" spans="27:32" x14ac:dyDescent="0.3">
      <c r="AA4216" s="3">
        <v>20872.11</v>
      </c>
      <c r="AB4216">
        <v>1E-4</v>
      </c>
      <c r="AC4216">
        <v>8</v>
      </c>
      <c r="AD4216" s="5">
        <v>4.9607308981813931</v>
      </c>
      <c r="AE4216" s="5">
        <v>2.1583327286795133</v>
      </c>
      <c r="AF4216">
        <v>1</v>
      </c>
    </row>
    <row r="4217" spans="27:32" x14ac:dyDescent="0.3">
      <c r="AA4217" s="3">
        <v>26893.54</v>
      </c>
      <c r="AB4217">
        <v>1E-4</v>
      </c>
      <c r="AC4217">
        <v>7</v>
      </c>
      <c r="AD4217" s="5">
        <v>5.0929777502344677</v>
      </c>
      <c r="AE4217" s="5">
        <v>2.1956660932233496</v>
      </c>
      <c r="AF4217">
        <v>1</v>
      </c>
    </row>
    <row r="4218" spans="27:32" x14ac:dyDescent="0.3">
      <c r="AA4218" s="3">
        <v>-1760.24</v>
      </c>
      <c r="AB4218">
        <v>1E-4</v>
      </c>
      <c r="AC4218">
        <v>9</v>
      </c>
      <c r="AD4218" s="5">
        <v>4.9745827586303077</v>
      </c>
      <c r="AE4218" s="5">
        <v>2.2620663216728487</v>
      </c>
      <c r="AF4218">
        <v>1</v>
      </c>
    </row>
    <row r="4219" spans="27:32" x14ac:dyDescent="0.3">
      <c r="AA4219" s="3">
        <v>13695.19</v>
      </c>
      <c r="AB4219">
        <v>1E-4</v>
      </c>
      <c r="AC4219">
        <v>8</v>
      </c>
      <c r="AD4219" s="5">
        <v>4.9155624810224401</v>
      </c>
      <c r="AE4219" s="5">
        <v>2.2217812028622905</v>
      </c>
      <c r="AF4219">
        <v>1</v>
      </c>
    </row>
    <row r="4220" spans="27:32" x14ac:dyDescent="0.3">
      <c r="AA4220" s="3">
        <v>17499.419999999998</v>
      </c>
      <c r="AB4220">
        <v>1E-4</v>
      </c>
      <c r="AC4220">
        <v>8</v>
      </c>
      <c r="AD4220" s="5">
        <v>4.9769899614211992</v>
      </c>
      <c r="AE4220" s="5">
        <v>2.2154009372994792</v>
      </c>
      <c r="AF4220">
        <v>1</v>
      </c>
    </row>
    <row r="4221" spans="27:32" x14ac:dyDescent="0.3">
      <c r="AA4221" s="3">
        <v>-6892.93</v>
      </c>
      <c r="AB4221">
        <v>1E-4</v>
      </c>
      <c r="AC4221">
        <v>9</v>
      </c>
      <c r="AD4221" s="5">
        <v>4.9202834168443195</v>
      </c>
      <c r="AE4221" s="5">
        <v>2.1879249155968075</v>
      </c>
      <c r="AF4221">
        <v>1</v>
      </c>
    </row>
    <row r="4222" spans="27:32" x14ac:dyDescent="0.3">
      <c r="AA4222" s="3">
        <v>284.66000000000003</v>
      </c>
      <c r="AB4222">
        <v>1E-4</v>
      </c>
      <c r="AC4222">
        <v>8</v>
      </c>
      <c r="AD4222" s="5">
        <v>4.7886148702918634</v>
      </c>
      <c r="AE4222" s="5">
        <v>2.2191396092117506</v>
      </c>
      <c r="AF4222">
        <v>1</v>
      </c>
    </row>
    <row r="4223" spans="27:32" x14ac:dyDescent="0.3">
      <c r="AA4223" s="3">
        <v>38092.769999999997</v>
      </c>
      <c r="AB4223">
        <v>1E-4</v>
      </c>
      <c r="AC4223">
        <v>7</v>
      </c>
      <c r="AD4223" s="5">
        <v>5.122322212604268</v>
      </c>
      <c r="AE4223" s="5">
        <v>2.1405313015532688</v>
      </c>
      <c r="AF4223">
        <v>1</v>
      </c>
    </row>
    <row r="4224" spans="27:32" x14ac:dyDescent="0.3">
      <c r="AA4224" s="3">
        <v>27656.42</v>
      </c>
      <c r="AB4224">
        <v>1E-4</v>
      </c>
      <c r="AC4224">
        <v>8</v>
      </c>
      <c r="AD4224" s="5">
        <v>5.0438485990065729</v>
      </c>
      <c r="AE4224" s="5">
        <v>2.1259346751755301</v>
      </c>
      <c r="AF4224">
        <v>1</v>
      </c>
    </row>
    <row r="4225" spans="27:32" x14ac:dyDescent="0.3">
      <c r="AA4225" s="3">
        <v>20843.849999999999</v>
      </c>
      <c r="AB4225">
        <v>1E-4</v>
      </c>
      <c r="AC4225">
        <v>8</v>
      </c>
      <c r="AD4225" s="5">
        <v>5.103931260664778</v>
      </c>
      <c r="AE4225" s="5">
        <v>2.2451839282049124</v>
      </c>
      <c r="AF4225">
        <v>1</v>
      </c>
    </row>
    <row r="4226" spans="27:32" x14ac:dyDescent="0.3">
      <c r="AA4226" s="3">
        <v>4990.2299999999996</v>
      </c>
      <c r="AB4226">
        <v>1E-4</v>
      </c>
      <c r="AC4226">
        <v>8</v>
      </c>
      <c r="AD4226" s="5">
        <v>5.0420642303255025</v>
      </c>
      <c r="AE4226" s="5">
        <v>2.171498618218727</v>
      </c>
      <c r="AF4226">
        <v>1</v>
      </c>
    </row>
    <row r="4227" spans="27:32" x14ac:dyDescent="0.3">
      <c r="AA4227" s="3">
        <v>34497.08</v>
      </c>
      <c r="AB4227">
        <v>1E-4</v>
      </c>
      <c r="AC4227">
        <v>7</v>
      </c>
      <c r="AD4227" s="5">
        <v>4.9369262867122021</v>
      </c>
      <c r="AE4227" s="5">
        <v>2.1554815851855245</v>
      </c>
      <c r="AF4227">
        <v>1</v>
      </c>
    </row>
    <row r="4228" spans="27:32" x14ac:dyDescent="0.3">
      <c r="AA4228" s="3">
        <v>34361.57</v>
      </c>
      <c r="AB4228">
        <v>1E-4</v>
      </c>
      <c r="AC4228">
        <v>7</v>
      </c>
      <c r="AD4228" s="5">
        <v>5.0018341998002755</v>
      </c>
      <c r="AE4228" s="5">
        <v>2.1093157126852407</v>
      </c>
      <c r="AF4228">
        <v>1</v>
      </c>
    </row>
    <row r="4229" spans="27:32" x14ac:dyDescent="0.3">
      <c r="AA4229" s="3">
        <v>22905.21</v>
      </c>
      <c r="AB4229">
        <v>1E-4</v>
      </c>
      <c r="AC4229">
        <v>8</v>
      </c>
      <c r="AD4229" s="5">
        <v>4.9651989655047615</v>
      </c>
      <c r="AE4229" s="5">
        <v>2.2072585528035868</v>
      </c>
      <c r="AF4229">
        <v>1</v>
      </c>
    </row>
    <row r="4230" spans="27:32" x14ac:dyDescent="0.3">
      <c r="AA4230" s="3">
        <v>-841.5</v>
      </c>
      <c r="AB4230">
        <v>1E-4</v>
      </c>
      <c r="AC4230">
        <v>9</v>
      </c>
      <c r="AD4230" s="5">
        <v>4.8800451616826797</v>
      </c>
      <c r="AE4230" s="5">
        <v>2.2625831421458611</v>
      </c>
      <c r="AF4230">
        <v>1</v>
      </c>
    </row>
    <row r="4231" spans="27:32" x14ac:dyDescent="0.3">
      <c r="AA4231" s="3">
        <v>14574.19</v>
      </c>
      <c r="AB4231">
        <v>1E-4</v>
      </c>
      <c r="AC4231">
        <v>8</v>
      </c>
      <c r="AD4231" s="5">
        <v>5.048651313778131</v>
      </c>
      <c r="AE4231" s="5">
        <v>2.3089258784771847</v>
      </c>
      <c r="AF4231">
        <v>1</v>
      </c>
    </row>
    <row r="4232" spans="27:32" x14ac:dyDescent="0.3">
      <c r="AA4232" s="3">
        <v>16326.02</v>
      </c>
      <c r="AB4232">
        <v>1E-4</v>
      </c>
      <c r="AC4232">
        <v>8</v>
      </c>
      <c r="AD4232" s="5">
        <v>4.7578827450731591</v>
      </c>
      <c r="AE4232" s="5">
        <v>2.1860370235641495</v>
      </c>
      <c r="AF4232">
        <v>1</v>
      </c>
    </row>
    <row r="4233" spans="27:32" x14ac:dyDescent="0.3">
      <c r="AA4233" s="3">
        <v>29463.93</v>
      </c>
      <c r="AB4233">
        <v>1E-4</v>
      </c>
      <c r="AC4233">
        <v>8</v>
      </c>
      <c r="AD4233" s="5">
        <v>4.9615200012194736</v>
      </c>
      <c r="AE4233" s="5">
        <v>2.2002706748690062</v>
      </c>
      <c r="AF4233">
        <v>1</v>
      </c>
    </row>
    <row r="4234" spans="27:32" x14ac:dyDescent="0.3">
      <c r="AA4234" s="3">
        <v>3515.7</v>
      </c>
      <c r="AB4234">
        <v>1E-4</v>
      </c>
      <c r="AC4234">
        <v>8</v>
      </c>
      <c r="AD4234" s="5">
        <v>5.0544079536772619</v>
      </c>
      <c r="AE4234" s="5">
        <v>2.2094949152667342</v>
      </c>
      <c r="AF4234">
        <v>1</v>
      </c>
    </row>
    <row r="4235" spans="27:32" x14ac:dyDescent="0.3">
      <c r="AA4235" s="3">
        <v>39663.64</v>
      </c>
      <c r="AB4235">
        <v>1E-4</v>
      </c>
      <c r="AC4235">
        <v>7</v>
      </c>
      <c r="AD4235" s="5">
        <v>4.9391397724764587</v>
      </c>
      <c r="AE4235" s="5">
        <v>2.1228783177620567</v>
      </c>
      <c r="AF4235">
        <v>1</v>
      </c>
    </row>
    <row r="4236" spans="27:32" x14ac:dyDescent="0.3">
      <c r="AA4236" s="3">
        <v>12016.96</v>
      </c>
      <c r="AB4236">
        <v>1E-4</v>
      </c>
      <c r="AC4236">
        <v>8</v>
      </c>
      <c r="AD4236" s="5">
        <v>5.0740670913912398</v>
      </c>
      <c r="AE4236" s="5">
        <v>2.2092704857981658</v>
      </c>
      <c r="AF4236">
        <v>1</v>
      </c>
    </row>
    <row r="4237" spans="27:32" x14ac:dyDescent="0.3">
      <c r="AA4237" s="3">
        <v>-7518.55</v>
      </c>
      <c r="AB4237">
        <v>1E-4</v>
      </c>
      <c r="AC4237">
        <v>9</v>
      </c>
      <c r="AD4237" s="5">
        <v>5.0815816648403604</v>
      </c>
      <c r="AE4237" s="5">
        <v>2.2929572361243973</v>
      </c>
      <c r="AF4237">
        <v>1</v>
      </c>
    </row>
    <row r="4238" spans="27:32" x14ac:dyDescent="0.3">
      <c r="AA4238" s="3">
        <v>31508.29</v>
      </c>
      <c r="AB4238">
        <v>1E-4</v>
      </c>
      <c r="AC4238">
        <v>7</v>
      </c>
      <c r="AD4238" s="5">
        <v>4.9265798136945218</v>
      </c>
      <c r="AE4238" s="5">
        <v>2.1574345093096556</v>
      </c>
      <c r="AF4238">
        <v>1</v>
      </c>
    </row>
    <row r="4239" spans="27:32" x14ac:dyDescent="0.3">
      <c r="AA4239" s="3">
        <v>-6841.19</v>
      </c>
      <c r="AB4239">
        <v>1E-4</v>
      </c>
      <c r="AC4239">
        <v>9</v>
      </c>
      <c r="AD4239" s="5">
        <v>4.8551996425278059</v>
      </c>
      <c r="AE4239" s="5">
        <v>2.1374826010826493</v>
      </c>
      <c r="AF4239">
        <v>1</v>
      </c>
    </row>
    <row r="4240" spans="27:32" x14ac:dyDescent="0.3">
      <c r="AA4240" s="3">
        <v>40500.120000000003</v>
      </c>
      <c r="AB4240">
        <v>1E-4</v>
      </c>
      <c r="AC4240">
        <v>7</v>
      </c>
      <c r="AD4240" s="5">
        <v>4.8455128837748527</v>
      </c>
      <c r="AE4240" s="5">
        <v>2.2153845501546723</v>
      </c>
      <c r="AF4240">
        <v>1</v>
      </c>
    </row>
    <row r="4241" spans="27:32" x14ac:dyDescent="0.3">
      <c r="AA4241" s="3">
        <v>15189.53</v>
      </c>
      <c r="AB4241">
        <v>1E-4</v>
      </c>
      <c r="AC4241">
        <v>8</v>
      </c>
      <c r="AD4241" s="5">
        <v>4.9793888708375293</v>
      </c>
      <c r="AE4241" s="5">
        <v>2.0952399451391077</v>
      </c>
      <c r="AF4241">
        <v>1</v>
      </c>
    </row>
    <row r="4242" spans="27:32" x14ac:dyDescent="0.3">
      <c r="AA4242" s="3">
        <v>20506.47</v>
      </c>
      <c r="AB4242">
        <v>1E-4</v>
      </c>
      <c r="AC4242">
        <v>8</v>
      </c>
      <c r="AD4242" s="5">
        <v>5.0452782610856008</v>
      </c>
      <c r="AE4242" s="5">
        <v>2.1589017357579685</v>
      </c>
      <c r="AF4242">
        <v>1</v>
      </c>
    </row>
    <row r="4243" spans="27:32" x14ac:dyDescent="0.3">
      <c r="AA4243" s="3">
        <v>12227.67</v>
      </c>
      <c r="AB4243">
        <v>1E-4</v>
      </c>
      <c r="AC4243">
        <v>8</v>
      </c>
      <c r="AD4243" s="5">
        <v>5.2201972064517808</v>
      </c>
      <c r="AE4243" s="5">
        <v>2.2371495765639771</v>
      </c>
      <c r="AF4243">
        <v>1</v>
      </c>
    </row>
    <row r="4244" spans="27:32" x14ac:dyDescent="0.3">
      <c r="AA4244" s="3">
        <v>22419.67</v>
      </c>
      <c r="AB4244">
        <v>1E-4</v>
      </c>
      <c r="AC4244">
        <v>8</v>
      </c>
      <c r="AD4244" s="5">
        <v>5.0334266858409924</v>
      </c>
      <c r="AE4244" s="5">
        <v>2.1587371481130582</v>
      </c>
      <c r="AF4244">
        <v>1</v>
      </c>
    </row>
    <row r="4245" spans="27:32" x14ac:dyDescent="0.3">
      <c r="AA4245" s="3">
        <v>12316.8</v>
      </c>
      <c r="AB4245">
        <v>1E-4</v>
      </c>
      <c r="AC4245">
        <v>8</v>
      </c>
      <c r="AD4245" s="5">
        <v>5.1025893103758442</v>
      </c>
      <c r="AE4245" s="5">
        <v>2.1965287779544704</v>
      </c>
      <c r="AF4245">
        <v>1</v>
      </c>
    </row>
    <row r="4246" spans="27:32" x14ac:dyDescent="0.3">
      <c r="AA4246" s="3">
        <v>-2302.21</v>
      </c>
      <c r="AB4246">
        <v>1E-4</v>
      </c>
      <c r="AC4246">
        <v>9</v>
      </c>
      <c r="AD4246" s="5">
        <v>4.7755301634872911</v>
      </c>
      <c r="AE4246" s="5">
        <v>2.2503871157040347</v>
      </c>
      <c r="AF4246">
        <v>1</v>
      </c>
    </row>
    <row r="4247" spans="27:32" x14ac:dyDescent="0.3">
      <c r="AA4247" s="3">
        <v>10838.44</v>
      </c>
      <c r="AB4247">
        <v>1E-4</v>
      </c>
      <c r="AC4247">
        <v>8</v>
      </c>
      <c r="AD4247" s="5">
        <v>5.0480233547970412</v>
      </c>
      <c r="AE4247" s="5">
        <v>2.341716943694633</v>
      </c>
      <c r="AF4247">
        <v>1</v>
      </c>
    </row>
    <row r="4248" spans="27:32" x14ac:dyDescent="0.3">
      <c r="AA4248" s="3">
        <v>38784.199999999997</v>
      </c>
      <c r="AB4248">
        <v>1E-4</v>
      </c>
      <c r="AC4248">
        <v>7</v>
      </c>
      <c r="AD4248" s="5">
        <v>5.2325171809772852</v>
      </c>
      <c r="AE4248" s="5">
        <v>2.305904880325659</v>
      </c>
      <c r="AF4248">
        <v>1</v>
      </c>
    </row>
    <row r="4249" spans="27:32" x14ac:dyDescent="0.3">
      <c r="AA4249" s="3">
        <v>32667.29</v>
      </c>
      <c r="AB4249">
        <v>1E-4</v>
      </c>
      <c r="AC4249">
        <v>7</v>
      </c>
      <c r="AD4249" s="5">
        <v>5.084892499103046</v>
      </c>
      <c r="AE4249" s="5">
        <v>2.1272375411228475</v>
      </c>
      <c r="AF4249">
        <v>1</v>
      </c>
    </row>
    <row r="4250" spans="27:32" x14ac:dyDescent="0.3">
      <c r="AA4250" s="3">
        <v>4466.87</v>
      </c>
      <c r="AB4250">
        <v>1E-4</v>
      </c>
      <c r="AC4250">
        <v>8</v>
      </c>
      <c r="AD4250" s="5">
        <v>5.1128812383946602</v>
      </c>
      <c r="AE4250" s="5">
        <v>2.2618861707113043</v>
      </c>
      <c r="AF4250">
        <v>1</v>
      </c>
    </row>
    <row r="4251" spans="27:32" x14ac:dyDescent="0.3">
      <c r="AA4251" s="3">
        <v>18155.8</v>
      </c>
      <c r="AB4251">
        <v>1E-4</v>
      </c>
      <c r="AC4251">
        <v>8</v>
      </c>
      <c r="AD4251" s="5">
        <v>5.0817016510258632</v>
      </c>
      <c r="AE4251" s="5">
        <v>2.1792844084239378</v>
      </c>
      <c r="AF4251">
        <v>1</v>
      </c>
    </row>
    <row r="4252" spans="27:32" x14ac:dyDescent="0.3">
      <c r="AA4252" s="3">
        <v>-10221.19</v>
      </c>
      <c r="AB4252">
        <v>1E-4</v>
      </c>
      <c r="AC4252">
        <v>9</v>
      </c>
      <c r="AD4252" s="5">
        <v>5.145126353632409</v>
      </c>
      <c r="AE4252" s="5">
        <v>2.2266167129798089</v>
      </c>
      <c r="AF4252">
        <v>1</v>
      </c>
    </row>
    <row r="4253" spans="27:32" x14ac:dyDescent="0.3">
      <c r="AA4253" s="3">
        <v>29687.81</v>
      </c>
      <c r="AB4253">
        <v>1E-4</v>
      </c>
      <c r="AC4253">
        <v>8</v>
      </c>
      <c r="AD4253" s="5">
        <v>5.0690238314246248</v>
      </c>
      <c r="AE4253" s="5">
        <v>2.161141012123474</v>
      </c>
      <c r="AF4253">
        <v>1</v>
      </c>
    </row>
    <row r="4254" spans="27:32" x14ac:dyDescent="0.3">
      <c r="AA4254" s="3">
        <v>8438.8799999999992</v>
      </c>
      <c r="AB4254">
        <v>1E-4</v>
      </c>
      <c r="AC4254">
        <v>8</v>
      </c>
      <c r="AD4254" s="5">
        <v>4.9349166314508421</v>
      </c>
      <c r="AE4254" s="5">
        <v>2.2205987595651373</v>
      </c>
      <c r="AF4254">
        <v>1</v>
      </c>
    </row>
    <row r="4255" spans="27:32" x14ac:dyDescent="0.3">
      <c r="AA4255" s="3">
        <v>32134.67</v>
      </c>
      <c r="AB4255">
        <v>1E-4</v>
      </c>
      <c r="AC4255">
        <v>7</v>
      </c>
      <c r="AD4255" s="5">
        <v>4.9729754482766069</v>
      </c>
      <c r="AE4255" s="5">
        <v>2.2111036768533552</v>
      </c>
      <c r="AF4255">
        <v>1</v>
      </c>
    </row>
    <row r="4256" spans="27:32" x14ac:dyDescent="0.3">
      <c r="AA4256" s="3">
        <v>6365.5</v>
      </c>
      <c r="AB4256">
        <v>1E-4</v>
      </c>
      <c r="AC4256">
        <v>8</v>
      </c>
      <c r="AD4256" s="5">
        <v>4.8228564194229611</v>
      </c>
      <c r="AE4256" s="5">
        <v>2.2150100997469746</v>
      </c>
      <c r="AF4256">
        <v>1</v>
      </c>
    </row>
    <row r="4257" spans="27:32" x14ac:dyDescent="0.3">
      <c r="AA4257" s="3">
        <v>-1553.94</v>
      </c>
      <c r="AB4257">
        <v>1E-4</v>
      </c>
      <c r="AC4257">
        <v>9</v>
      </c>
      <c r="AD4257" s="5">
        <v>5.0290472474980499</v>
      </c>
      <c r="AE4257" s="5">
        <v>2.2022998913560756</v>
      </c>
      <c r="AF4257">
        <v>1</v>
      </c>
    </row>
    <row r="4258" spans="27:32" x14ac:dyDescent="0.3">
      <c r="AA4258" s="3">
        <v>6920.32</v>
      </c>
      <c r="AB4258">
        <v>1E-4</v>
      </c>
      <c r="AC4258">
        <v>8</v>
      </c>
      <c r="AD4258" s="5">
        <v>5.0070747041468939</v>
      </c>
      <c r="AE4258" s="5">
        <v>2.212208751221111</v>
      </c>
      <c r="AF4258">
        <v>1</v>
      </c>
    </row>
    <row r="4259" spans="27:32" x14ac:dyDescent="0.3">
      <c r="AA4259" s="3">
        <v>-7169.08</v>
      </c>
      <c r="AB4259">
        <v>1E-4</v>
      </c>
      <c r="AC4259">
        <v>9</v>
      </c>
      <c r="AD4259" s="5">
        <v>4.9908554716659266</v>
      </c>
      <c r="AE4259" s="5">
        <v>2.1939991427911898</v>
      </c>
      <c r="AF4259">
        <v>1</v>
      </c>
    </row>
    <row r="4260" spans="27:32" x14ac:dyDescent="0.3">
      <c r="AA4260" s="3">
        <v>45101.73</v>
      </c>
      <c r="AB4260">
        <v>1E-4</v>
      </c>
      <c r="AC4260">
        <v>7</v>
      </c>
      <c r="AD4260" s="5">
        <v>5.1141143359423413</v>
      </c>
      <c r="AE4260" s="5">
        <v>2.2512020437943061</v>
      </c>
      <c r="AF4260">
        <v>1</v>
      </c>
    </row>
    <row r="4261" spans="27:32" x14ac:dyDescent="0.3">
      <c r="AA4261" s="3">
        <v>12781.95</v>
      </c>
      <c r="AB4261">
        <v>1E-4</v>
      </c>
      <c r="AC4261">
        <v>8</v>
      </c>
      <c r="AD4261" s="5">
        <v>4.9369118700579726</v>
      </c>
      <c r="AE4261" s="5">
        <v>2.2257317665682077</v>
      </c>
      <c r="AF4261">
        <v>1</v>
      </c>
    </row>
    <row r="4262" spans="27:32" x14ac:dyDescent="0.3">
      <c r="AA4262" s="3">
        <v>38566.400000000001</v>
      </c>
      <c r="AB4262">
        <v>1E-4</v>
      </c>
      <c r="AC4262">
        <v>7</v>
      </c>
      <c r="AD4262" s="5">
        <v>5.0474034712773719</v>
      </c>
      <c r="AE4262" s="5">
        <v>2.1632149899981497</v>
      </c>
      <c r="AF4262">
        <v>1</v>
      </c>
    </row>
    <row r="4263" spans="27:32" x14ac:dyDescent="0.3">
      <c r="AA4263" s="3">
        <v>34971.43</v>
      </c>
      <c r="AB4263">
        <v>1E-4</v>
      </c>
      <c r="AC4263">
        <v>7</v>
      </c>
      <c r="AD4263" s="5">
        <v>4.9784082091201816</v>
      </c>
      <c r="AE4263" s="5">
        <v>2.1443307507290577</v>
      </c>
      <c r="AF4263">
        <v>1</v>
      </c>
    </row>
    <row r="4264" spans="27:32" x14ac:dyDescent="0.3">
      <c r="AA4264" s="3">
        <v>-9361.2000000000007</v>
      </c>
      <c r="AB4264">
        <v>1E-4</v>
      </c>
      <c r="AC4264">
        <v>9</v>
      </c>
      <c r="AD4264" s="5">
        <v>4.9677473852837677</v>
      </c>
      <c r="AE4264" s="5">
        <v>2.2052811125923752</v>
      </c>
      <c r="AF4264">
        <v>1</v>
      </c>
    </row>
    <row r="4265" spans="27:32" x14ac:dyDescent="0.3">
      <c r="AA4265" s="3">
        <v>24156.44</v>
      </c>
      <c r="AB4265">
        <v>1E-4</v>
      </c>
      <c r="AC4265">
        <v>8</v>
      </c>
      <c r="AD4265" s="5">
        <v>4.9497700350664564</v>
      </c>
      <c r="AE4265" s="5">
        <v>2.1071593563816835</v>
      </c>
      <c r="AF4265">
        <v>1</v>
      </c>
    </row>
    <row r="4266" spans="27:32" x14ac:dyDescent="0.3">
      <c r="AA4266" s="3">
        <v>62590.64</v>
      </c>
      <c r="AB4266">
        <v>1E-4</v>
      </c>
      <c r="AC4266">
        <v>6</v>
      </c>
      <c r="AD4266" s="5">
        <v>5.1883782833345737</v>
      </c>
      <c r="AE4266" s="5">
        <v>2.1753326447277486</v>
      </c>
      <c r="AF4266">
        <v>1</v>
      </c>
    </row>
    <row r="4267" spans="27:32" x14ac:dyDescent="0.3">
      <c r="AA4267" s="3">
        <v>29590.87</v>
      </c>
      <c r="AB4267">
        <v>1E-4</v>
      </c>
      <c r="AC4267">
        <v>8</v>
      </c>
      <c r="AD4267" s="5">
        <v>5.0960869069045849</v>
      </c>
      <c r="AE4267" s="5">
        <v>2.1819179575613274</v>
      </c>
      <c r="AF4267">
        <v>1</v>
      </c>
    </row>
    <row r="4268" spans="27:32" x14ac:dyDescent="0.3">
      <c r="AA4268" s="3">
        <v>26751.61</v>
      </c>
      <c r="AB4268">
        <v>1E-4</v>
      </c>
      <c r="AC4268">
        <v>8</v>
      </c>
      <c r="AD4268" s="5">
        <v>5.101102554895399</v>
      </c>
      <c r="AE4268" s="5">
        <v>2.2396373365740541</v>
      </c>
      <c r="AF4268">
        <v>1</v>
      </c>
    </row>
    <row r="4269" spans="27:32" x14ac:dyDescent="0.3">
      <c r="AA4269" s="3">
        <v>13334.79</v>
      </c>
      <c r="AB4269">
        <v>1E-4</v>
      </c>
      <c r="AC4269">
        <v>8</v>
      </c>
      <c r="AD4269" s="5">
        <v>4.7913645369598203</v>
      </c>
      <c r="AE4269" s="5">
        <v>2.2350235483383032</v>
      </c>
      <c r="AF4269">
        <v>1</v>
      </c>
    </row>
    <row r="4270" spans="27:32" x14ac:dyDescent="0.3">
      <c r="AA4270" s="3">
        <v>19211.650000000001</v>
      </c>
      <c r="AB4270">
        <v>1E-4</v>
      </c>
      <c r="AC4270">
        <v>8</v>
      </c>
      <c r="AD4270" s="5">
        <v>5.0702092497953153</v>
      </c>
      <c r="AE4270" s="5">
        <v>2.2198681907340081</v>
      </c>
      <c r="AF4270">
        <v>1</v>
      </c>
    </row>
    <row r="4271" spans="27:32" x14ac:dyDescent="0.3">
      <c r="AA4271" s="3">
        <v>15384.67</v>
      </c>
      <c r="AB4271">
        <v>1E-4</v>
      </c>
      <c r="AC4271">
        <v>8</v>
      </c>
      <c r="AD4271" s="5">
        <v>5.0316309937881396</v>
      </c>
      <c r="AE4271" s="5">
        <v>2.1826657017736655</v>
      </c>
      <c r="AF4271">
        <v>1</v>
      </c>
    </row>
    <row r="4272" spans="27:32" x14ac:dyDescent="0.3">
      <c r="AA4272" s="3">
        <v>30769.62</v>
      </c>
      <c r="AB4272">
        <v>1E-4</v>
      </c>
      <c r="AC4272">
        <v>8</v>
      </c>
      <c r="AD4272" s="5">
        <v>4.9671259079811163</v>
      </c>
      <c r="AE4272" s="5">
        <v>2.1699883713610304</v>
      </c>
      <c r="AF4272">
        <v>1</v>
      </c>
    </row>
    <row r="4273" spans="27:32" x14ac:dyDescent="0.3">
      <c r="AA4273" s="3">
        <v>3112.25</v>
      </c>
      <c r="AB4273">
        <v>1E-4</v>
      </c>
      <c r="AC4273">
        <v>8</v>
      </c>
      <c r="AD4273" s="5">
        <v>5.0014193124128417</v>
      </c>
      <c r="AE4273" s="5">
        <v>2.1644295403423341</v>
      </c>
      <c r="AF4273">
        <v>1</v>
      </c>
    </row>
    <row r="4274" spans="27:32" x14ac:dyDescent="0.3">
      <c r="AA4274" s="3">
        <v>15712.94</v>
      </c>
      <c r="AB4274">
        <v>1E-4</v>
      </c>
      <c r="AC4274">
        <v>8</v>
      </c>
      <c r="AD4274" s="5">
        <v>4.9973175620753114</v>
      </c>
      <c r="AE4274" s="5">
        <v>2.1529923566492362</v>
      </c>
      <c r="AF4274">
        <v>1</v>
      </c>
    </row>
    <row r="4275" spans="27:32" x14ac:dyDescent="0.3">
      <c r="AA4275" s="3">
        <v>11646.64</v>
      </c>
      <c r="AB4275">
        <v>1E-4</v>
      </c>
      <c r="AC4275">
        <v>8</v>
      </c>
      <c r="AD4275" s="5">
        <v>5.0273030592468846</v>
      </c>
      <c r="AE4275" s="5">
        <v>2.2511082076325954</v>
      </c>
      <c r="AF4275">
        <v>1</v>
      </c>
    </row>
    <row r="4276" spans="27:32" x14ac:dyDescent="0.3">
      <c r="AA4276" s="3">
        <v>12149.71</v>
      </c>
      <c r="AB4276">
        <v>1E-4</v>
      </c>
      <c r="AC4276">
        <v>8</v>
      </c>
      <c r="AD4276" s="5">
        <v>5.004632068973633</v>
      </c>
      <c r="AE4276" s="5">
        <v>2.1055944275519867</v>
      </c>
      <c r="AF4276">
        <v>1</v>
      </c>
    </row>
    <row r="4277" spans="27:32" x14ac:dyDescent="0.3">
      <c r="AA4277" s="3">
        <v>20110.099999999999</v>
      </c>
      <c r="AB4277">
        <v>1E-4</v>
      </c>
      <c r="AC4277">
        <v>8</v>
      </c>
      <c r="AD4277" s="5">
        <v>5.1906074749531541</v>
      </c>
      <c r="AE4277" s="5">
        <v>2.1441593314279808</v>
      </c>
      <c r="AF4277">
        <v>1</v>
      </c>
    </row>
    <row r="4278" spans="27:32" x14ac:dyDescent="0.3">
      <c r="AA4278" s="3">
        <v>3262.92</v>
      </c>
      <c r="AB4278">
        <v>1E-4</v>
      </c>
      <c r="AC4278">
        <v>8</v>
      </c>
      <c r="AD4278" s="5">
        <v>4.9037653534824601</v>
      </c>
      <c r="AE4278" s="5">
        <v>2.2299373819934294</v>
      </c>
      <c r="AF4278">
        <v>1</v>
      </c>
    </row>
    <row r="4279" spans="27:32" x14ac:dyDescent="0.3">
      <c r="AA4279" s="3">
        <v>9262.81</v>
      </c>
      <c r="AB4279">
        <v>1E-4</v>
      </c>
      <c r="AC4279">
        <v>8</v>
      </c>
      <c r="AD4279" s="5">
        <v>4.8147736235625755</v>
      </c>
      <c r="AE4279" s="5">
        <v>2.2733540314743763</v>
      </c>
      <c r="AF4279">
        <v>1</v>
      </c>
    </row>
    <row r="4280" spans="27:32" x14ac:dyDescent="0.3">
      <c r="AA4280" s="3">
        <v>30007.360000000001</v>
      </c>
      <c r="AB4280">
        <v>1E-4</v>
      </c>
      <c r="AC4280">
        <v>8</v>
      </c>
      <c r="AD4280" s="5">
        <v>5.0660948502357286</v>
      </c>
      <c r="AE4280" s="5">
        <v>2.178572151401803</v>
      </c>
      <c r="AF4280">
        <v>1</v>
      </c>
    </row>
    <row r="4281" spans="27:32" x14ac:dyDescent="0.3">
      <c r="AA4281" s="3">
        <v>-6136.72</v>
      </c>
      <c r="AB4281">
        <v>1E-4</v>
      </c>
      <c r="AC4281">
        <v>9</v>
      </c>
      <c r="AD4281" s="5">
        <v>5.0021057800893738</v>
      </c>
      <c r="AE4281" s="5">
        <v>2.1973642413440411</v>
      </c>
      <c r="AF4281">
        <v>1</v>
      </c>
    </row>
    <row r="4282" spans="27:32" x14ac:dyDescent="0.3">
      <c r="AA4282" s="3">
        <v>14427.6</v>
      </c>
      <c r="AB4282">
        <v>1E-4</v>
      </c>
      <c r="AC4282">
        <v>8</v>
      </c>
      <c r="AD4282" s="5">
        <v>5.0262370504488949</v>
      </c>
      <c r="AE4282" s="5">
        <v>2.2417663351093666</v>
      </c>
      <c r="AF4282">
        <v>1</v>
      </c>
    </row>
    <row r="4283" spans="27:32" x14ac:dyDescent="0.3">
      <c r="AA4283" s="3">
        <v>10797.11</v>
      </c>
      <c r="AB4283">
        <v>1E-4</v>
      </c>
      <c r="AC4283">
        <v>8</v>
      </c>
      <c r="AD4283" s="5">
        <v>5.0802111379082806</v>
      </c>
      <c r="AE4283" s="5">
        <v>2.1558781195258727</v>
      </c>
      <c r="AF4283">
        <v>1</v>
      </c>
    </row>
    <row r="4284" spans="27:32" x14ac:dyDescent="0.3">
      <c r="AA4284" s="3">
        <v>-4479.24</v>
      </c>
      <c r="AB4284">
        <v>1E-4</v>
      </c>
      <c r="AC4284">
        <v>9</v>
      </c>
      <c r="AD4284" s="5">
        <v>5.0045997640698507</v>
      </c>
      <c r="AE4284" s="5">
        <v>2.1369875293688674</v>
      </c>
      <c r="AF4284">
        <v>1</v>
      </c>
    </row>
    <row r="4285" spans="27:32" x14ac:dyDescent="0.3">
      <c r="AA4285" s="3">
        <v>8479.99</v>
      </c>
      <c r="AB4285">
        <v>1E-4</v>
      </c>
      <c r="AC4285">
        <v>8</v>
      </c>
      <c r="AD4285" s="5">
        <v>4.9600095680478455</v>
      </c>
      <c r="AE4285" s="5">
        <v>2.3072557332066479</v>
      </c>
      <c r="AF4285">
        <v>1</v>
      </c>
    </row>
    <row r="4286" spans="27:32" x14ac:dyDescent="0.3">
      <c r="AA4286" s="3">
        <v>25003.63</v>
      </c>
      <c r="AB4286">
        <v>1E-4</v>
      </c>
      <c r="AC4286">
        <v>8</v>
      </c>
      <c r="AD4286" s="5">
        <v>5.120712276441389</v>
      </c>
      <c r="AE4286" s="5">
        <v>2.2491223502669109</v>
      </c>
      <c r="AF4286">
        <v>1</v>
      </c>
    </row>
    <row r="4287" spans="27:32" x14ac:dyDescent="0.3">
      <c r="AA4287" s="3">
        <v>12315.79</v>
      </c>
      <c r="AB4287">
        <v>1E-4</v>
      </c>
      <c r="AC4287">
        <v>8</v>
      </c>
      <c r="AD4287" s="5">
        <v>4.9399786228796554</v>
      </c>
      <c r="AE4287" s="5">
        <v>2.2308408768796966</v>
      </c>
      <c r="AF4287">
        <v>1</v>
      </c>
    </row>
    <row r="4288" spans="27:32" x14ac:dyDescent="0.3">
      <c r="AA4288" s="3">
        <v>20491.849999999999</v>
      </c>
      <c r="AB4288">
        <v>1E-4</v>
      </c>
      <c r="AC4288">
        <v>8</v>
      </c>
      <c r="AD4288" s="5">
        <v>4.9844216030062798</v>
      </c>
      <c r="AE4288" s="5">
        <v>2.1788728071344479</v>
      </c>
      <c r="AF4288">
        <v>1</v>
      </c>
    </row>
    <row r="4289" spans="27:32" x14ac:dyDescent="0.3">
      <c r="AA4289" s="3">
        <v>16175.65</v>
      </c>
      <c r="AB4289">
        <v>1E-4</v>
      </c>
      <c r="AC4289">
        <v>8</v>
      </c>
      <c r="AD4289" s="5">
        <v>4.9808247298322383</v>
      </c>
      <c r="AE4289" s="5">
        <v>2.2011310165858649</v>
      </c>
      <c r="AF4289">
        <v>1</v>
      </c>
    </row>
    <row r="4290" spans="27:32" x14ac:dyDescent="0.3">
      <c r="AA4290" s="3">
        <v>3285.99</v>
      </c>
      <c r="AB4290">
        <v>1E-4</v>
      </c>
      <c r="AC4290">
        <v>8</v>
      </c>
      <c r="AD4290" s="5">
        <v>4.978950259053244</v>
      </c>
      <c r="AE4290" s="5">
        <v>2.2656309106562915</v>
      </c>
      <c r="AF4290">
        <v>1</v>
      </c>
    </row>
    <row r="4291" spans="27:32" x14ac:dyDescent="0.3">
      <c r="AA4291" s="3">
        <v>-5508.3661434536189</v>
      </c>
      <c r="AB4291">
        <v>1E-4</v>
      </c>
      <c r="AC4291">
        <v>8</v>
      </c>
      <c r="AD4291" s="5">
        <v>4.9439503295964107</v>
      </c>
      <c r="AE4291" s="5">
        <v>2.1691510056091268</v>
      </c>
      <c r="AF4291">
        <v>0</v>
      </c>
    </row>
    <row r="4292" spans="27:32" x14ac:dyDescent="0.3">
      <c r="AA4292" s="3">
        <v>19721.34</v>
      </c>
      <c r="AB4292">
        <v>1E-4</v>
      </c>
      <c r="AC4292">
        <v>8</v>
      </c>
      <c r="AD4292" s="5">
        <v>4.9791763721679674</v>
      </c>
      <c r="AE4292" s="5">
        <v>2.2997616402641774</v>
      </c>
      <c r="AF4292">
        <v>1</v>
      </c>
    </row>
    <row r="4293" spans="27:32" x14ac:dyDescent="0.3">
      <c r="AA4293" s="3">
        <v>7887.84</v>
      </c>
      <c r="AB4293">
        <v>1E-4</v>
      </c>
      <c r="AC4293">
        <v>8</v>
      </c>
      <c r="AD4293" s="5">
        <v>4.8323763767702577</v>
      </c>
      <c r="AE4293" s="5">
        <v>2.1597557676003922</v>
      </c>
      <c r="AF4293">
        <v>1</v>
      </c>
    </row>
    <row r="4294" spans="27:32" x14ac:dyDescent="0.3">
      <c r="AA4294" s="3">
        <v>5595.97</v>
      </c>
      <c r="AB4294">
        <v>1E-4</v>
      </c>
      <c r="AC4294">
        <v>8</v>
      </c>
      <c r="AD4294" s="5">
        <v>4.8821408129535122</v>
      </c>
      <c r="AE4294" s="5">
        <v>2.2953528716791562</v>
      </c>
      <c r="AF4294">
        <v>1</v>
      </c>
    </row>
    <row r="4295" spans="27:32" x14ac:dyDescent="0.3">
      <c r="AA4295" s="3">
        <v>4701.91</v>
      </c>
      <c r="AB4295">
        <v>1E-4</v>
      </c>
      <c r="AC4295">
        <v>8</v>
      </c>
      <c r="AD4295" s="5">
        <v>4.9756313705038062</v>
      </c>
      <c r="AE4295" s="5">
        <v>2.277704402030905</v>
      </c>
      <c r="AF4295">
        <v>1</v>
      </c>
    </row>
    <row r="4296" spans="27:32" x14ac:dyDescent="0.3">
      <c r="AA4296" s="3">
        <v>33041.730000000003</v>
      </c>
      <c r="AB4296">
        <v>1E-4</v>
      </c>
      <c r="AC4296">
        <v>7</v>
      </c>
      <c r="AD4296" s="5">
        <v>4.9908448284921514</v>
      </c>
      <c r="AE4296" s="5">
        <v>2.1710384750189382</v>
      </c>
      <c r="AF4296">
        <v>1</v>
      </c>
    </row>
    <row r="4297" spans="27:32" x14ac:dyDescent="0.3">
      <c r="AA4297" s="3">
        <v>24791.62</v>
      </c>
      <c r="AB4297">
        <v>1E-4</v>
      </c>
      <c r="AC4297">
        <v>8</v>
      </c>
      <c r="AD4297" s="5">
        <v>5.0522191044849398</v>
      </c>
      <c r="AE4297" s="5">
        <v>2.1868080547835587</v>
      </c>
      <c r="AF4297">
        <v>1</v>
      </c>
    </row>
    <row r="4298" spans="27:32" x14ac:dyDescent="0.3">
      <c r="AA4298" s="3">
        <v>4234.5600000000004</v>
      </c>
      <c r="AB4298">
        <v>1E-4</v>
      </c>
      <c r="AC4298">
        <v>8</v>
      </c>
      <c r="AD4298" s="5">
        <v>4.9750048338783674</v>
      </c>
      <c r="AE4298" s="5">
        <v>2.1156167919891398</v>
      </c>
      <c r="AF4298">
        <v>1</v>
      </c>
    </row>
    <row r="4299" spans="27:32" x14ac:dyDescent="0.3">
      <c r="AA4299" s="3">
        <v>55586.19</v>
      </c>
      <c r="AB4299">
        <v>1E-4</v>
      </c>
      <c r="AC4299">
        <v>6</v>
      </c>
      <c r="AD4299" s="5">
        <v>5.0674930157944438</v>
      </c>
      <c r="AE4299" s="5">
        <v>2.1037088886718487</v>
      </c>
      <c r="AF4299">
        <v>1</v>
      </c>
    </row>
    <row r="4300" spans="27:32" x14ac:dyDescent="0.3">
      <c r="AA4300" s="3">
        <v>37430.68</v>
      </c>
      <c r="AB4300">
        <v>1E-4</v>
      </c>
      <c r="AC4300">
        <v>7</v>
      </c>
      <c r="AD4300" s="5">
        <v>5.0971059187293601</v>
      </c>
      <c r="AE4300" s="5">
        <v>2.2359100730277799</v>
      </c>
      <c r="AF4300">
        <v>1</v>
      </c>
    </row>
    <row r="4301" spans="27:32" x14ac:dyDescent="0.3">
      <c r="AA4301" s="3">
        <v>15103.39</v>
      </c>
      <c r="AB4301">
        <v>1E-4</v>
      </c>
      <c r="AC4301">
        <v>8</v>
      </c>
      <c r="AD4301" s="5">
        <v>4.9493242151732728</v>
      </c>
      <c r="AE4301" s="5">
        <v>2.2354959259995923</v>
      </c>
      <c r="AF4301">
        <v>1</v>
      </c>
    </row>
    <row r="4302" spans="27:32" x14ac:dyDescent="0.3">
      <c r="AA4302" s="3">
        <v>-33491.4</v>
      </c>
      <c r="AB4302">
        <v>1E-4</v>
      </c>
      <c r="AC4302">
        <v>9</v>
      </c>
      <c r="AD4302" s="5">
        <v>4.9643105548368762</v>
      </c>
      <c r="AE4302" s="5">
        <v>2.2392399699054493</v>
      </c>
      <c r="AF4302">
        <v>1</v>
      </c>
    </row>
    <row r="4303" spans="27:32" x14ac:dyDescent="0.3">
      <c r="AA4303" s="3">
        <v>40506.800000000003</v>
      </c>
      <c r="AB4303">
        <v>1E-4</v>
      </c>
      <c r="AC4303">
        <v>7</v>
      </c>
      <c r="AD4303" s="5">
        <v>5.1214202017293768</v>
      </c>
      <c r="AE4303" s="5">
        <v>2.2305882780051136</v>
      </c>
      <c r="AF4303">
        <v>1</v>
      </c>
    </row>
    <row r="4304" spans="27:32" x14ac:dyDescent="0.3">
      <c r="AA4304" s="3">
        <v>21092.29</v>
      </c>
      <c r="AB4304">
        <v>1E-4</v>
      </c>
      <c r="AC4304">
        <v>8</v>
      </c>
      <c r="AD4304" s="5">
        <v>5.0476329482920397</v>
      </c>
      <c r="AE4304" s="5">
        <v>2.1495651988028319</v>
      </c>
      <c r="AF4304">
        <v>1</v>
      </c>
    </row>
    <row r="4305" spans="27:32" x14ac:dyDescent="0.3">
      <c r="AA4305" s="3">
        <v>29997.91</v>
      </c>
      <c r="AB4305">
        <v>1E-4</v>
      </c>
      <c r="AC4305">
        <v>7</v>
      </c>
      <c r="AD4305" s="5">
        <v>4.9464554344841529</v>
      </c>
      <c r="AE4305" s="5">
        <v>2.1859012684554036</v>
      </c>
      <c r="AF4305">
        <v>1</v>
      </c>
    </row>
    <row r="4306" spans="27:32" x14ac:dyDescent="0.3">
      <c r="AA4306" s="3">
        <v>37171.82</v>
      </c>
      <c r="AB4306">
        <v>1E-4</v>
      </c>
      <c r="AC4306">
        <v>7</v>
      </c>
      <c r="AD4306" s="5">
        <v>5.1330633432016608</v>
      </c>
      <c r="AE4306" s="5">
        <v>2.1777801285390153</v>
      </c>
      <c r="AF4306">
        <v>1</v>
      </c>
    </row>
    <row r="4307" spans="27:32" x14ac:dyDescent="0.3">
      <c r="AA4307" s="3">
        <v>12827.66</v>
      </c>
      <c r="AB4307">
        <v>1E-4</v>
      </c>
      <c r="AC4307">
        <v>8</v>
      </c>
      <c r="AD4307" s="5">
        <v>5.121801486784487</v>
      </c>
      <c r="AE4307" s="5">
        <v>2.1736640923961805</v>
      </c>
      <c r="AF4307">
        <v>1</v>
      </c>
    </row>
    <row r="4308" spans="27:32" x14ac:dyDescent="0.3">
      <c r="AA4308" s="3">
        <v>23584.06</v>
      </c>
      <c r="AB4308">
        <v>1E-4</v>
      </c>
      <c r="AC4308">
        <v>8</v>
      </c>
      <c r="AD4308" s="5">
        <v>5.0691410795080403</v>
      </c>
      <c r="AE4308" s="5">
        <v>2.2039088581502861</v>
      </c>
      <c r="AF4308">
        <v>1</v>
      </c>
    </row>
    <row r="4309" spans="27:32" x14ac:dyDescent="0.3">
      <c r="AA4309" s="3">
        <v>-11095.59</v>
      </c>
      <c r="AB4309">
        <v>1E-4</v>
      </c>
      <c r="AC4309">
        <v>9</v>
      </c>
      <c r="AD4309" s="5">
        <v>5.0350450626579466</v>
      </c>
      <c r="AE4309" s="5">
        <v>2.194578748708345</v>
      </c>
      <c r="AF4309">
        <v>1</v>
      </c>
    </row>
    <row r="4310" spans="27:32" x14ac:dyDescent="0.3">
      <c r="AA4310" s="3">
        <v>646.35</v>
      </c>
      <c r="AB4310">
        <v>1E-4</v>
      </c>
      <c r="AC4310">
        <v>8</v>
      </c>
      <c r="AD4310" s="5">
        <v>4.9905507822789241</v>
      </c>
      <c r="AE4310" s="5">
        <v>2.139084101666838</v>
      </c>
      <c r="AF4310">
        <v>1</v>
      </c>
    </row>
    <row r="4311" spans="27:32" x14ac:dyDescent="0.3">
      <c r="AA4311" s="3">
        <v>21092.17</v>
      </c>
      <c r="AB4311">
        <v>1E-4</v>
      </c>
      <c r="AC4311">
        <v>8</v>
      </c>
      <c r="AD4311" s="5">
        <v>4.9162051320085025</v>
      </c>
      <c r="AE4311" s="5">
        <v>2.2321076869994991</v>
      </c>
      <c r="AF4311">
        <v>1</v>
      </c>
    </row>
    <row r="4312" spans="27:32" x14ac:dyDescent="0.3">
      <c r="AA4312" s="3">
        <v>17369.55</v>
      </c>
      <c r="AB4312">
        <v>1E-4</v>
      </c>
      <c r="AC4312">
        <v>8</v>
      </c>
      <c r="AD4312" s="5">
        <v>5.1017928590611046</v>
      </c>
      <c r="AE4312" s="5">
        <v>2.2781805300213867</v>
      </c>
      <c r="AF4312">
        <v>1</v>
      </c>
    </row>
    <row r="4313" spans="27:32" x14ac:dyDescent="0.3">
      <c r="AA4313" s="3">
        <v>5573.74</v>
      </c>
      <c r="AB4313">
        <v>1E-4</v>
      </c>
      <c r="AC4313">
        <v>8</v>
      </c>
      <c r="AD4313" s="5">
        <v>5.1791002789847012</v>
      </c>
      <c r="AE4313" s="5">
        <v>2.1766918960202575</v>
      </c>
      <c r="AF4313">
        <v>1</v>
      </c>
    </row>
    <row r="4314" spans="27:32" x14ac:dyDescent="0.3">
      <c r="AA4314" s="3">
        <v>17940.75</v>
      </c>
      <c r="AB4314">
        <v>1E-4</v>
      </c>
      <c r="AC4314">
        <v>8</v>
      </c>
      <c r="AD4314" s="5">
        <v>5.0072630176606054</v>
      </c>
      <c r="AE4314" s="5">
        <v>2.1608299988739441</v>
      </c>
      <c r="AF4314">
        <v>1</v>
      </c>
    </row>
    <row r="4315" spans="27:32" x14ac:dyDescent="0.3">
      <c r="AA4315" s="3">
        <v>19338.740000000002</v>
      </c>
      <c r="AB4315">
        <v>1E-4</v>
      </c>
      <c r="AC4315">
        <v>8</v>
      </c>
      <c r="AD4315" s="5">
        <v>4.913959577714059</v>
      </c>
      <c r="AE4315" s="5">
        <v>2.2255901611601323</v>
      </c>
      <c r="AF4315">
        <v>1</v>
      </c>
    </row>
    <row r="4316" spans="27:32" x14ac:dyDescent="0.3">
      <c r="AA4316" s="3">
        <v>15965.13</v>
      </c>
      <c r="AB4316">
        <v>1E-4</v>
      </c>
      <c r="AC4316">
        <v>8</v>
      </c>
      <c r="AD4316" s="5">
        <v>4.9898786401838144</v>
      </c>
      <c r="AE4316" s="5">
        <v>2.2250044305784997</v>
      </c>
      <c r="AF4316">
        <v>1</v>
      </c>
    </row>
    <row r="4317" spans="27:32" x14ac:dyDescent="0.3">
      <c r="AA4317" s="3">
        <v>24716.54</v>
      </c>
      <c r="AB4317">
        <v>1E-4</v>
      </c>
      <c r="AC4317">
        <v>8</v>
      </c>
      <c r="AD4317" s="5">
        <v>4.9789367398275637</v>
      </c>
      <c r="AE4317" s="5">
        <v>2.1396258801204562</v>
      </c>
      <c r="AF4317">
        <v>1</v>
      </c>
    </row>
    <row r="4318" spans="27:32" x14ac:dyDescent="0.3">
      <c r="AA4318" s="3">
        <v>-9830.69</v>
      </c>
      <c r="AB4318">
        <v>1E-4</v>
      </c>
      <c r="AC4318">
        <v>9</v>
      </c>
      <c r="AD4318" s="5">
        <v>4.915487238404368</v>
      </c>
      <c r="AE4318" s="5">
        <v>2.2074768369540516</v>
      </c>
      <c r="AF4318">
        <v>1</v>
      </c>
    </row>
    <row r="4319" spans="27:32" x14ac:dyDescent="0.3">
      <c r="AA4319" s="3">
        <v>36894.269999999997</v>
      </c>
      <c r="AB4319">
        <v>1E-4</v>
      </c>
      <c r="AC4319">
        <v>7</v>
      </c>
      <c r="AD4319" s="5">
        <v>5.1253612524837244</v>
      </c>
      <c r="AE4319" s="5">
        <v>2.2333852385338826</v>
      </c>
      <c r="AF4319">
        <v>1</v>
      </c>
    </row>
    <row r="4320" spans="27:32" x14ac:dyDescent="0.3">
      <c r="AA4320" s="3">
        <v>33320.61</v>
      </c>
      <c r="AB4320">
        <v>1E-4</v>
      </c>
      <c r="AC4320">
        <v>7</v>
      </c>
      <c r="AD4320" s="5">
        <v>5.021411423122192</v>
      </c>
      <c r="AE4320" s="5">
        <v>2.1183459814512822</v>
      </c>
      <c r="AF4320">
        <v>1</v>
      </c>
    </row>
    <row r="4321" spans="27:32" x14ac:dyDescent="0.3">
      <c r="AA4321" s="3">
        <v>432.41</v>
      </c>
      <c r="AB4321">
        <v>1E-4</v>
      </c>
      <c r="AC4321">
        <v>8</v>
      </c>
      <c r="AD4321" s="5">
        <v>5.041143224180745</v>
      </c>
      <c r="AE4321" s="5">
        <v>2.1399181499145845</v>
      </c>
      <c r="AF4321">
        <v>1</v>
      </c>
    </row>
    <row r="4322" spans="27:32" x14ac:dyDescent="0.3">
      <c r="AA4322" s="3">
        <v>-17632.189999999999</v>
      </c>
      <c r="AB4322">
        <v>1E-4</v>
      </c>
      <c r="AC4322">
        <v>9</v>
      </c>
      <c r="AD4322" s="5">
        <v>5.1037987538688041</v>
      </c>
      <c r="AE4322" s="5">
        <v>2.2963544559580891</v>
      </c>
      <c r="AF4322">
        <v>1</v>
      </c>
    </row>
    <row r="4323" spans="27:32" x14ac:dyDescent="0.3">
      <c r="AA4323" s="3">
        <v>38988.21</v>
      </c>
      <c r="AB4323">
        <v>1E-4</v>
      </c>
      <c r="AC4323">
        <v>7</v>
      </c>
      <c r="AD4323" s="5">
        <v>5.0104964068226616</v>
      </c>
      <c r="AE4323" s="5">
        <v>2.1552273322104614</v>
      </c>
      <c r="AF4323">
        <v>1</v>
      </c>
    </row>
    <row r="4324" spans="27:32" x14ac:dyDescent="0.3">
      <c r="AA4324" s="3">
        <v>6603.44</v>
      </c>
      <c r="AB4324">
        <v>1E-4</v>
      </c>
      <c r="AC4324">
        <v>8</v>
      </c>
      <c r="AD4324" s="5">
        <v>5.0265373758910856</v>
      </c>
      <c r="AE4324" s="5">
        <v>2.2912022422298444</v>
      </c>
      <c r="AF4324">
        <v>1</v>
      </c>
    </row>
    <row r="4325" spans="27:32" x14ac:dyDescent="0.3">
      <c r="AA4325" s="3">
        <v>12462.85</v>
      </c>
      <c r="AB4325">
        <v>1E-4</v>
      </c>
      <c r="AC4325">
        <v>8</v>
      </c>
      <c r="AD4325" s="5">
        <v>4.8497399728072752</v>
      </c>
      <c r="AE4325" s="5">
        <v>2.212252409564436</v>
      </c>
      <c r="AF4325">
        <v>1</v>
      </c>
    </row>
    <row r="4326" spans="27:32" x14ac:dyDescent="0.3">
      <c r="AA4326" s="3">
        <v>20601.38</v>
      </c>
      <c r="AB4326">
        <v>1E-4</v>
      </c>
      <c r="AC4326">
        <v>8</v>
      </c>
      <c r="AD4326" s="5">
        <v>5.0591609722752677</v>
      </c>
      <c r="AE4326" s="5">
        <v>2.1217256125132069</v>
      </c>
      <c r="AF4326">
        <v>1</v>
      </c>
    </row>
    <row r="4327" spans="27:32" x14ac:dyDescent="0.3">
      <c r="AA4327" s="3">
        <v>49014.25</v>
      </c>
      <c r="AB4327">
        <v>1E-4</v>
      </c>
      <c r="AC4327">
        <v>6</v>
      </c>
      <c r="AD4327" s="5">
        <v>5.06357783856207</v>
      </c>
      <c r="AE4327" s="5">
        <v>2.1865421025704821</v>
      </c>
      <c r="AF4327">
        <v>1</v>
      </c>
    </row>
    <row r="4328" spans="27:32" x14ac:dyDescent="0.3">
      <c r="AA4328" s="3">
        <v>165.19</v>
      </c>
      <c r="AB4328">
        <v>1E-4</v>
      </c>
      <c r="AC4328">
        <v>8</v>
      </c>
      <c r="AD4328" s="5">
        <v>5.0858130979674376</v>
      </c>
      <c r="AE4328" s="5">
        <v>2.1072450533078357</v>
      </c>
      <c r="AF4328">
        <v>1</v>
      </c>
    </row>
    <row r="4329" spans="27:32" x14ac:dyDescent="0.3">
      <c r="AA4329" s="3">
        <v>25467.3</v>
      </c>
      <c r="AB4329">
        <v>1E-4</v>
      </c>
      <c r="AC4329">
        <v>8</v>
      </c>
      <c r="AD4329" s="5">
        <v>4.9883502960302355</v>
      </c>
      <c r="AE4329" s="5">
        <v>2.1323984235637701</v>
      </c>
      <c r="AF4329">
        <v>1</v>
      </c>
    </row>
    <row r="4330" spans="27:32" x14ac:dyDescent="0.3">
      <c r="AA4330" s="3">
        <v>13503.67</v>
      </c>
      <c r="AB4330">
        <v>1E-4</v>
      </c>
      <c r="AC4330">
        <v>8</v>
      </c>
      <c r="AD4330" s="5">
        <v>5.0473242374596587</v>
      </c>
      <c r="AE4330" s="5">
        <v>2.2626173869695378</v>
      </c>
      <c r="AF4330">
        <v>1</v>
      </c>
    </row>
    <row r="4331" spans="27:32" x14ac:dyDescent="0.3">
      <c r="AA4331" s="3">
        <v>14606.12</v>
      </c>
      <c r="AB4331">
        <v>1E-4</v>
      </c>
      <c r="AC4331">
        <v>8</v>
      </c>
      <c r="AD4331" s="5">
        <v>5.0027494922424953</v>
      </c>
      <c r="AE4331" s="5">
        <v>2.2162356182704137</v>
      </c>
      <c r="AF4331">
        <v>1</v>
      </c>
    </row>
    <row r="4332" spans="27:32" x14ac:dyDescent="0.3">
      <c r="AA4332" s="3">
        <v>15393.59</v>
      </c>
      <c r="AB4332">
        <v>1E-4</v>
      </c>
      <c r="AC4332">
        <v>8</v>
      </c>
      <c r="AD4332" s="5">
        <v>5.0153824118148451</v>
      </c>
      <c r="AE4332" s="5">
        <v>2.1677408749115568</v>
      </c>
      <c r="AF4332">
        <v>1</v>
      </c>
    </row>
    <row r="4333" spans="27:32" x14ac:dyDescent="0.3">
      <c r="AA4333" s="3">
        <v>6594.97</v>
      </c>
      <c r="AB4333">
        <v>1E-4</v>
      </c>
      <c r="AC4333">
        <v>8</v>
      </c>
      <c r="AD4333" s="5">
        <v>5.1479703901227341</v>
      </c>
      <c r="AE4333" s="5">
        <v>2.263181724764042</v>
      </c>
      <c r="AF4333">
        <v>1</v>
      </c>
    </row>
    <row r="4334" spans="27:32" x14ac:dyDescent="0.3">
      <c r="AA4334" s="3">
        <v>56560.46</v>
      </c>
      <c r="AB4334">
        <v>1E-4</v>
      </c>
      <c r="AC4334">
        <v>6</v>
      </c>
      <c r="AD4334" s="5">
        <v>5.144494534102626</v>
      </c>
      <c r="AE4334" s="5">
        <v>2.1778435889122982</v>
      </c>
      <c r="AF4334">
        <v>1</v>
      </c>
    </row>
    <row r="4335" spans="27:32" x14ac:dyDescent="0.3">
      <c r="AA4335" s="3">
        <v>23217.96</v>
      </c>
      <c r="AB4335">
        <v>1E-4</v>
      </c>
      <c r="AC4335">
        <v>8</v>
      </c>
      <c r="AD4335" s="5">
        <v>4.966579074539295</v>
      </c>
      <c r="AE4335" s="5">
        <v>2.175651284407726</v>
      </c>
      <c r="AF4335">
        <v>1</v>
      </c>
    </row>
    <row r="4336" spans="27:32" x14ac:dyDescent="0.3">
      <c r="AA4336" s="3">
        <v>7637.03</v>
      </c>
      <c r="AB4336">
        <v>1E-4</v>
      </c>
      <c r="AC4336">
        <v>8</v>
      </c>
      <c r="AD4336" s="5">
        <v>4.8781687978453743</v>
      </c>
      <c r="AE4336" s="5">
        <v>2.2148921767396876</v>
      </c>
      <c r="AF4336">
        <v>1</v>
      </c>
    </row>
    <row r="4337" spans="27:32" x14ac:dyDescent="0.3">
      <c r="AA4337" s="3">
        <v>38042.949999999997</v>
      </c>
      <c r="AB4337">
        <v>1E-4</v>
      </c>
      <c r="AC4337">
        <v>7</v>
      </c>
      <c r="AD4337" s="5">
        <v>5.0693749340733554</v>
      </c>
      <c r="AE4337" s="5">
        <v>2.1713699078976294</v>
      </c>
      <c r="AF4337">
        <v>1</v>
      </c>
    </row>
    <row r="4338" spans="27:32" x14ac:dyDescent="0.3">
      <c r="AA4338" s="3">
        <v>22036.62</v>
      </c>
      <c r="AB4338">
        <v>1E-4</v>
      </c>
      <c r="AC4338">
        <v>8</v>
      </c>
      <c r="AD4338" s="5">
        <v>5.0303477196384936</v>
      </c>
      <c r="AE4338" s="5">
        <v>2.2332171297221621</v>
      </c>
      <c r="AF4338">
        <v>1</v>
      </c>
    </row>
    <row r="4339" spans="27:32" x14ac:dyDescent="0.3">
      <c r="AA4339" s="3">
        <v>30554.81</v>
      </c>
      <c r="AB4339">
        <v>1E-4</v>
      </c>
      <c r="AC4339">
        <v>7</v>
      </c>
      <c r="AD4339" s="5">
        <v>5.117724307948059</v>
      </c>
      <c r="AE4339" s="5">
        <v>2.173673198934742</v>
      </c>
      <c r="AF4339">
        <v>1</v>
      </c>
    </row>
    <row r="4340" spans="27:32" x14ac:dyDescent="0.3">
      <c r="AA4340" s="3">
        <v>37737.79</v>
      </c>
      <c r="AB4340">
        <v>1E-4</v>
      </c>
      <c r="AC4340">
        <v>7</v>
      </c>
      <c r="AD4340" s="5">
        <v>5.0261823870339217</v>
      </c>
      <c r="AE4340" s="5">
        <v>2.2321439544767117</v>
      </c>
      <c r="AF4340">
        <v>1</v>
      </c>
    </row>
    <row r="4341" spans="27:32" x14ac:dyDescent="0.3">
      <c r="AA4341" s="3">
        <v>21588.31</v>
      </c>
      <c r="AB4341">
        <v>1E-4</v>
      </c>
      <c r="AC4341">
        <v>8</v>
      </c>
      <c r="AD4341" s="5">
        <v>5.050278795954557</v>
      </c>
      <c r="AE4341" s="5">
        <v>2.1696184987725387</v>
      </c>
      <c r="AF4341">
        <v>1</v>
      </c>
    </row>
    <row r="4342" spans="27:32" x14ac:dyDescent="0.3">
      <c r="AA4342" s="3">
        <v>31582.9</v>
      </c>
      <c r="AB4342">
        <v>1E-4</v>
      </c>
      <c r="AC4342">
        <v>7</v>
      </c>
      <c r="AD4342" s="5">
        <v>5.004632432250661</v>
      </c>
      <c r="AE4342" s="5">
        <v>2.2393649826359723</v>
      </c>
      <c r="AF4342">
        <v>1</v>
      </c>
    </row>
    <row r="4343" spans="27:32" x14ac:dyDescent="0.3">
      <c r="AA4343" s="3">
        <v>17602.53</v>
      </c>
      <c r="AB4343">
        <v>1E-4</v>
      </c>
      <c r="AC4343">
        <v>8</v>
      </c>
      <c r="AD4343" s="5">
        <v>5.0425256968969663</v>
      </c>
      <c r="AE4343" s="5">
        <v>2.1141965964973641</v>
      </c>
      <c r="AF4343">
        <v>1</v>
      </c>
    </row>
    <row r="4344" spans="27:32" x14ac:dyDescent="0.3">
      <c r="AA4344" s="3">
        <v>-11626.510525127991</v>
      </c>
      <c r="AB4344">
        <v>1E-4</v>
      </c>
      <c r="AC4344">
        <v>8</v>
      </c>
      <c r="AD4344" s="5">
        <v>4.9615285007914407</v>
      </c>
      <c r="AE4344" s="5">
        <v>2.1716956152849005</v>
      </c>
      <c r="AF4344">
        <v>0</v>
      </c>
    </row>
    <row r="4345" spans="27:32" x14ac:dyDescent="0.3">
      <c r="AA4345" s="3">
        <v>-10589.01</v>
      </c>
      <c r="AB4345">
        <v>1E-4</v>
      </c>
      <c r="AC4345">
        <v>9</v>
      </c>
      <c r="AD4345" s="5">
        <v>5.0268238689054661</v>
      </c>
      <c r="AE4345" s="5">
        <v>2.1919080661142742</v>
      </c>
      <c r="AF4345">
        <v>1</v>
      </c>
    </row>
    <row r="4346" spans="27:32" x14ac:dyDescent="0.3">
      <c r="AA4346" s="3">
        <v>13946.52</v>
      </c>
      <c r="AB4346">
        <v>1E-4</v>
      </c>
      <c r="AC4346">
        <v>8</v>
      </c>
      <c r="AD4346" s="5">
        <v>4.9926719471696215</v>
      </c>
      <c r="AE4346" s="5">
        <v>2.2007649287281192</v>
      </c>
      <c r="AF4346">
        <v>1</v>
      </c>
    </row>
    <row r="4347" spans="27:32" x14ac:dyDescent="0.3">
      <c r="AA4347" s="3">
        <v>9062.49</v>
      </c>
      <c r="AB4347">
        <v>1E-4</v>
      </c>
      <c r="AC4347">
        <v>8</v>
      </c>
      <c r="AD4347" s="5">
        <v>4.9777363750220438</v>
      </c>
      <c r="AE4347" s="5">
        <v>2.1969068522794379</v>
      </c>
      <c r="AF4347">
        <v>1</v>
      </c>
    </row>
    <row r="4348" spans="27:32" x14ac:dyDescent="0.3">
      <c r="AA4348" s="3">
        <v>35671.620000000003</v>
      </c>
      <c r="AB4348">
        <v>1E-4</v>
      </c>
      <c r="AC4348">
        <v>7</v>
      </c>
      <c r="AD4348" s="5">
        <v>5.0497714929467197</v>
      </c>
      <c r="AE4348" s="5">
        <v>2.1478702350225549</v>
      </c>
      <c r="AF4348">
        <v>1</v>
      </c>
    </row>
    <row r="4349" spans="27:32" x14ac:dyDescent="0.3">
      <c r="AA4349" s="3">
        <v>-2968.68</v>
      </c>
      <c r="AB4349">
        <v>1E-4</v>
      </c>
      <c r="AC4349">
        <v>9</v>
      </c>
      <c r="AD4349" s="5">
        <v>4.8566139126380437</v>
      </c>
      <c r="AE4349" s="5">
        <v>2.2490646378380252</v>
      </c>
      <c r="AF4349">
        <v>1</v>
      </c>
    </row>
    <row r="4350" spans="27:32" x14ac:dyDescent="0.3">
      <c r="AA4350" s="3">
        <v>-25334.67</v>
      </c>
      <c r="AB4350">
        <v>1E-4</v>
      </c>
      <c r="AC4350">
        <v>9</v>
      </c>
      <c r="AD4350" s="5">
        <v>5.0339941998505804</v>
      </c>
      <c r="AE4350" s="5">
        <v>2.2542077699519556</v>
      </c>
      <c r="AF4350">
        <v>1</v>
      </c>
    </row>
    <row r="4351" spans="27:32" x14ac:dyDescent="0.3">
      <c r="AA4351" s="3">
        <v>-3384.63</v>
      </c>
      <c r="AB4351">
        <v>1E-4</v>
      </c>
      <c r="AC4351">
        <v>9</v>
      </c>
      <c r="AD4351" s="5">
        <v>5.1409507863141615</v>
      </c>
      <c r="AE4351" s="5">
        <v>2.2196128399465875</v>
      </c>
      <c r="AF4351">
        <v>1</v>
      </c>
    </row>
    <row r="4352" spans="27:32" x14ac:dyDescent="0.3">
      <c r="AA4352" s="3">
        <v>26039.81</v>
      </c>
      <c r="AB4352">
        <v>1E-4</v>
      </c>
      <c r="AC4352">
        <v>8</v>
      </c>
      <c r="AD4352" s="5">
        <v>5.0595628908668919</v>
      </c>
      <c r="AE4352" s="5">
        <v>2.1685961911099363</v>
      </c>
      <c r="AF4352">
        <v>1</v>
      </c>
    </row>
    <row r="4353" spans="27:32" x14ac:dyDescent="0.3">
      <c r="AA4353" s="3">
        <v>28177.33</v>
      </c>
      <c r="AB4353">
        <v>1E-4</v>
      </c>
      <c r="AC4353">
        <v>7</v>
      </c>
      <c r="AD4353" s="5">
        <v>5.250540460889245</v>
      </c>
      <c r="AE4353" s="5">
        <v>2.2122767124857581</v>
      </c>
      <c r="AF4353">
        <v>1</v>
      </c>
    </row>
    <row r="4354" spans="27:32" x14ac:dyDescent="0.3">
      <c r="AA4354" s="3">
        <v>30740.68</v>
      </c>
      <c r="AB4354">
        <v>1E-4</v>
      </c>
      <c r="AC4354">
        <v>7</v>
      </c>
      <c r="AD4354" s="5">
        <v>5.1034753123064878</v>
      </c>
      <c r="AE4354" s="5">
        <v>2.1384594320464583</v>
      </c>
      <c r="AF4354">
        <v>1</v>
      </c>
    </row>
    <row r="4355" spans="27:32" x14ac:dyDescent="0.3">
      <c r="AA4355" s="3">
        <v>39799.379999999997</v>
      </c>
      <c r="AB4355">
        <v>1E-4</v>
      </c>
      <c r="AC4355">
        <v>7</v>
      </c>
      <c r="AD4355" s="5">
        <v>5.0552101838150589</v>
      </c>
      <c r="AE4355" s="5">
        <v>2.1426445389243485</v>
      </c>
      <c r="AF4355">
        <v>1</v>
      </c>
    </row>
    <row r="4356" spans="27:32" x14ac:dyDescent="0.3">
      <c r="AA4356" s="3">
        <v>23951.32</v>
      </c>
      <c r="AB4356">
        <v>1E-4</v>
      </c>
      <c r="AC4356">
        <v>8</v>
      </c>
      <c r="AD4356" s="5">
        <v>4.9955353111886813</v>
      </c>
      <c r="AE4356" s="5">
        <v>2.1612080720199907</v>
      </c>
      <c r="AF4356">
        <v>1</v>
      </c>
    </row>
    <row r="4357" spans="27:32" x14ac:dyDescent="0.3">
      <c r="AA4357" s="3">
        <v>43368.88</v>
      </c>
      <c r="AB4357">
        <v>1E-4</v>
      </c>
      <c r="AC4357">
        <v>7</v>
      </c>
      <c r="AD4357" s="5">
        <v>5.1314672986852115</v>
      </c>
      <c r="AE4357" s="5">
        <v>2.181516393993927</v>
      </c>
      <c r="AF4357">
        <v>1</v>
      </c>
    </row>
    <row r="4358" spans="27:32" x14ac:dyDescent="0.3">
      <c r="AA4358" s="3">
        <v>49203.03</v>
      </c>
      <c r="AB4358">
        <v>1E-4</v>
      </c>
      <c r="AC4358">
        <v>7</v>
      </c>
      <c r="AD4358" s="5">
        <v>5.0587889612743577</v>
      </c>
      <c r="AE4358" s="5">
        <v>2.1780483162048907</v>
      </c>
      <c r="AF4358">
        <v>1</v>
      </c>
    </row>
    <row r="4359" spans="27:32" x14ac:dyDescent="0.3">
      <c r="AA4359" s="3">
        <v>24635.200000000001</v>
      </c>
      <c r="AB4359">
        <v>1E-4</v>
      </c>
      <c r="AC4359">
        <v>8</v>
      </c>
      <c r="AD4359" s="5">
        <v>4.9597993888576761</v>
      </c>
      <c r="AE4359" s="5">
        <v>2.1757868602990103</v>
      </c>
      <c r="AF4359">
        <v>1</v>
      </c>
    </row>
    <row r="4360" spans="27:32" x14ac:dyDescent="0.3">
      <c r="AA4360" s="3">
        <v>1962.88</v>
      </c>
      <c r="AB4360">
        <v>1E-4</v>
      </c>
      <c r="AC4360">
        <v>8</v>
      </c>
      <c r="AD4360" s="5">
        <v>5.00298755791784</v>
      </c>
      <c r="AE4360" s="5">
        <v>2.2322444794775107</v>
      </c>
      <c r="AF4360">
        <v>1</v>
      </c>
    </row>
    <row r="4361" spans="27:32" x14ac:dyDescent="0.3">
      <c r="AA4361" s="3">
        <v>19777.990000000002</v>
      </c>
      <c r="AB4361">
        <v>1E-4</v>
      </c>
      <c r="AC4361">
        <v>8</v>
      </c>
      <c r="AD4361" s="5">
        <v>4.9379033198188766</v>
      </c>
      <c r="AE4361" s="5">
        <v>2.166286904017614</v>
      </c>
      <c r="AF4361">
        <v>1</v>
      </c>
    </row>
    <row r="4362" spans="27:32" x14ac:dyDescent="0.3">
      <c r="AA4362" s="3">
        <v>5067.09</v>
      </c>
      <c r="AB4362">
        <v>1E-4</v>
      </c>
      <c r="AC4362">
        <v>8</v>
      </c>
      <c r="AD4362" s="5">
        <v>5.1007421986322692</v>
      </c>
      <c r="AE4362" s="5">
        <v>2.1743069070686296</v>
      </c>
      <c r="AF4362">
        <v>1</v>
      </c>
    </row>
    <row r="4363" spans="27:32" x14ac:dyDescent="0.3">
      <c r="AA4363" s="3">
        <v>30744.720000000001</v>
      </c>
      <c r="AB4363">
        <v>1E-4</v>
      </c>
      <c r="AC4363">
        <v>7</v>
      </c>
      <c r="AD4363" s="5">
        <v>4.981232995858127</v>
      </c>
      <c r="AE4363" s="5">
        <v>2.1979069532878097</v>
      </c>
      <c r="AF4363">
        <v>1</v>
      </c>
    </row>
    <row r="4364" spans="27:32" x14ac:dyDescent="0.3">
      <c r="AA4364" s="3">
        <v>4286.57</v>
      </c>
      <c r="AB4364">
        <v>1E-4</v>
      </c>
      <c r="AC4364">
        <v>8</v>
      </c>
      <c r="AD4364" s="5">
        <v>4.9236665480709902</v>
      </c>
      <c r="AE4364" s="5">
        <v>2.2327880148305481</v>
      </c>
      <c r="AF4364">
        <v>1</v>
      </c>
    </row>
    <row r="4365" spans="27:32" x14ac:dyDescent="0.3">
      <c r="AA4365" s="3">
        <v>12116.9</v>
      </c>
      <c r="AB4365">
        <v>1E-4</v>
      </c>
      <c r="AC4365">
        <v>8</v>
      </c>
      <c r="AD4365" s="5">
        <v>4.8865971506655894</v>
      </c>
      <c r="AE4365" s="5">
        <v>2.1421917138801136</v>
      </c>
      <c r="AF4365">
        <v>1</v>
      </c>
    </row>
    <row r="4366" spans="27:32" x14ac:dyDescent="0.3">
      <c r="AA4366" s="3">
        <v>-2594.5</v>
      </c>
      <c r="AB4366">
        <v>1E-4</v>
      </c>
      <c r="AC4366">
        <v>9</v>
      </c>
      <c r="AD4366" s="5">
        <v>5.0370375249705344</v>
      </c>
      <c r="AE4366" s="5">
        <v>2.2196036285419809</v>
      </c>
      <c r="AF4366">
        <v>1</v>
      </c>
    </row>
    <row r="4367" spans="27:32" x14ac:dyDescent="0.3">
      <c r="AA4367" s="3">
        <v>17850.560000000001</v>
      </c>
      <c r="AB4367">
        <v>1E-4</v>
      </c>
      <c r="AC4367">
        <v>8</v>
      </c>
      <c r="AD4367" s="5">
        <v>5.0139679039617215</v>
      </c>
      <c r="AE4367" s="5">
        <v>2.2000746926554506</v>
      </c>
      <c r="AF4367">
        <v>1</v>
      </c>
    </row>
    <row r="4368" spans="27:32" x14ac:dyDescent="0.3">
      <c r="AA4368" s="3">
        <v>30514.47</v>
      </c>
      <c r="AB4368">
        <v>1E-4</v>
      </c>
      <c r="AC4368">
        <v>8</v>
      </c>
      <c r="AD4368" s="5">
        <v>5.0642411211558489</v>
      </c>
      <c r="AE4368" s="5">
        <v>2.2054128809271667</v>
      </c>
      <c r="AF4368">
        <v>1</v>
      </c>
    </row>
    <row r="4369" spans="27:32" x14ac:dyDescent="0.3">
      <c r="AA4369" s="3">
        <v>15262.07</v>
      </c>
      <c r="AB4369">
        <v>1E-4</v>
      </c>
      <c r="AC4369">
        <v>8</v>
      </c>
      <c r="AD4369" s="5">
        <v>4.8954241490357395</v>
      </c>
      <c r="AE4369" s="5">
        <v>2.1235411002307161</v>
      </c>
      <c r="AF4369">
        <v>1</v>
      </c>
    </row>
    <row r="4370" spans="27:32" x14ac:dyDescent="0.3">
      <c r="AA4370" s="3">
        <v>12363.01</v>
      </c>
      <c r="AB4370">
        <v>1E-4</v>
      </c>
      <c r="AC4370">
        <v>8</v>
      </c>
      <c r="AD4370" s="5">
        <v>4.9304153074012582</v>
      </c>
      <c r="AE4370" s="5">
        <v>2.252779214244919</v>
      </c>
      <c r="AF4370">
        <v>1</v>
      </c>
    </row>
    <row r="4371" spans="27:32" x14ac:dyDescent="0.3">
      <c r="AA4371" s="3">
        <v>-19557.16</v>
      </c>
      <c r="AB4371">
        <v>1E-4</v>
      </c>
      <c r="AC4371">
        <v>9</v>
      </c>
      <c r="AD4371" s="5">
        <v>5.1332955722645215</v>
      </c>
      <c r="AE4371" s="5">
        <v>2.184703639855226</v>
      </c>
      <c r="AF4371">
        <v>1</v>
      </c>
    </row>
    <row r="4372" spans="27:32" x14ac:dyDescent="0.3">
      <c r="AA4372" s="3">
        <v>-7635.17</v>
      </c>
      <c r="AB4372">
        <v>1E-4</v>
      </c>
      <c r="AC4372">
        <v>9</v>
      </c>
      <c r="AD4372" s="5">
        <v>4.8982554738175708</v>
      </c>
      <c r="AE4372" s="5">
        <v>2.1897912235481445</v>
      </c>
      <c r="AF4372">
        <v>1</v>
      </c>
    </row>
    <row r="4373" spans="27:32" x14ac:dyDescent="0.3">
      <c r="AA4373" s="3">
        <v>5940.31</v>
      </c>
      <c r="AB4373">
        <v>1E-4</v>
      </c>
      <c r="AC4373">
        <v>8</v>
      </c>
      <c r="AD4373" s="5">
        <v>4.9621980995419408</v>
      </c>
      <c r="AE4373" s="5">
        <v>2.2057637355887905</v>
      </c>
      <c r="AF4373">
        <v>1</v>
      </c>
    </row>
    <row r="4374" spans="27:32" x14ac:dyDescent="0.3">
      <c r="AA4374" s="3">
        <v>-22821.234625983659</v>
      </c>
      <c r="AB4374">
        <v>1E-4</v>
      </c>
      <c r="AC4374">
        <v>9</v>
      </c>
      <c r="AD4374" s="5">
        <v>4.9872068249681609</v>
      </c>
      <c r="AE4374" s="5">
        <v>2.1767522703010855</v>
      </c>
      <c r="AF4374">
        <v>0</v>
      </c>
    </row>
    <row r="4375" spans="27:32" x14ac:dyDescent="0.3">
      <c r="AA4375" s="3">
        <v>-26226.690779308759</v>
      </c>
      <c r="AB4375">
        <v>1E-4</v>
      </c>
      <c r="AC4375">
        <v>9</v>
      </c>
      <c r="AD4375" s="5">
        <v>4.9750018245352647</v>
      </c>
      <c r="AE4375" s="5">
        <v>2.2388481585220883</v>
      </c>
      <c r="AF4375">
        <v>0</v>
      </c>
    </row>
    <row r="4376" spans="27:32" x14ac:dyDescent="0.3">
      <c r="AA4376" s="3">
        <v>39274.35</v>
      </c>
      <c r="AB4376">
        <v>1E-4</v>
      </c>
      <c r="AC4376">
        <v>7</v>
      </c>
      <c r="AD4376" s="5">
        <v>5.0496658285310216</v>
      </c>
      <c r="AE4376" s="5">
        <v>2.145377055792149</v>
      </c>
      <c r="AF4376">
        <v>1</v>
      </c>
    </row>
    <row r="4377" spans="27:32" x14ac:dyDescent="0.3">
      <c r="AA4377" s="3">
        <v>15457.13</v>
      </c>
      <c r="AB4377">
        <v>1E-4</v>
      </c>
      <c r="AC4377">
        <v>8</v>
      </c>
      <c r="AD4377" s="5">
        <v>5.047378989139788</v>
      </c>
      <c r="AE4377" s="5">
        <v>2.1435383093487919</v>
      </c>
      <c r="AF4377">
        <v>1</v>
      </c>
    </row>
    <row r="4378" spans="27:32" x14ac:dyDescent="0.3">
      <c r="AA4378" s="3">
        <v>40279.360000000001</v>
      </c>
      <c r="AB4378">
        <v>1E-4</v>
      </c>
      <c r="AC4378">
        <v>7</v>
      </c>
      <c r="AD4378" s="5">
        <v>5.0171277674881161</v>
      </c>
      <c r="AE4378" s="5">
        <v>2.2161673943952103</v>
      </c>
      <c r="AF4378">
        <v>1</v>
      </c>
    </row>
    <row r="4379" spans="27:32" x14ac:dyDescent="0.3">
      <c r="AA4379" s="3">
        <v>33609.160000000003</v>
      </c>
      <c r="AB4379">
        <v>1E-4</v>
      </c>
      <c r="AC4379">
        <v>7</v>
      </c>
      <c r="AD4379" s="5">
        <v>4.9126602570607254</v>
      </c>
      <c r="AE4379" s="5">
        <v>2.2021954944182953</v>
      </c>
      <c r="AF4379">
        <v>1</v>
      </c>
    </row>
    <row r="4380" spans="27:32" x14ac:dyDescent="0.3">
      <c r="AA4380" s="3">
        <v>8898.58</v>
      </c>
      <c r="AB4380">
        <v>1E-4</v>
      </c>
      <c r="AC4380">
        <v>8</v>
      </c>
      <c r="AD4380" s="5">
        <v>4.8089426164902678</v>
      </c>
      <c r="AE4380" s="5">
        <v>2.1488313484446779</v>
      </c>
      <c r="AF4380">
        <v>1</v>
      </c>
    </row>
    <row r="4381" spans="27:32" x14ac:dyDescent="0.3">
      <c r="AA4381" s="3">
        <v>-44305.008285291187</v>
      </c>
      <c r="AB4381">
        <v>1E-4</v>
      </c>
      <c r="AC4381">
        <v>9</v>
      </c>
      <c r="AD4381" s="5">
        <v>4.7594191384296654</v>
      </c>
      <c r="AE4381" s="5">
        <v>2.202924290415702</v>
      </c>
      <c r="AF4381">
        <v>0</v>
      </c>
    </row>
    <row r="4382" spans="27:32" x14ac:dyDescent="0.3">
      <c r="AA4382" s="3">
        <v>27558.29</v>
      </c>
      <c r="AB4382">
        <v>1E-4</v>
      </c>
      <c r="AC4382">
        <v>8</v>
      </c>
      <c r="AD4382" s="5">
        <v>5.0211076003763919</v>
      </c>
      <c r="AE4382" s="5">
        <v>2.2263275945530503</v>
      </c>
      <c r="AF4382">
        <v>1</v>
      </c>
    </row>
    <row r="4383" spans="27:32" x14ac:dyDescent="0.3">
      <c r="AA4383" s="3">
        <v>-36370.633317918691</v>
      </c>
      <c r="AB4383">
        <v>1E-4</v>
      </c>
      <c r="AC4383">
        <v>9</v>
      </c>
      <c r="AD4383" s="5">
        <v>4.9869618172281402</v>
      </c>
      <c r="AE4383" s="5">
        <v>2.1827480569840567</v>
      </c>
      <c r="AF4383">
        <v>0</v>
      </c>
    </row>
    <row r="4384" spans="27:32" x14ac:dyDescent="0.3">
      <c r="AA4384" s="3">
        <v>-1945</v>
      </c>
      <c r="AB4384">
        <v>1E-4</v>
      </c>
      <c r="AC4384">
        <v>9</v>
      </c>
      <c r="AD4384" s="5">
        <v>4.9916500659934115</v>
      </c>
      <c r="AE4384" s="5">
        <v>2.1648987644712196</v>
      </c>
      <c r="AF4384">
        <v>1</v>
      </c>
    </row>
    <row r="4385" spans="27:32" x14ac:dyDescent="0.3">
      <c r="AA4385" s="3">
        <v>15244.59</v>
      </c>
      <c r="AB4385">
        <v>1E-4</v>
      </c>
      <c r="AC4385">
        <v>8</v>
      </c>
      <c r="AD4385" s="5">
        <v>5.0544376479174211</v>
      </c>
      <c r="AE4385" s="5">
        <v>2.2422882404064923</v>
      </c>
      <c r="AF4385">
        <v>1</v>
      </c>
    </row>
    <row r="4386" spans="27:32" x14ac:dyDescent="0.3">
      <c r="AA4386" s="3">
        <v>16667.89</v>
      </c>
      <c r="AB4386">
        <v>1E-4</v>
      </c>
      <c r="AC4386">
        <v>8</v>
      </c>
      <c r="AD4386" s="5">
        <v>4.9388728513822215</v>
      </c>
      <c r="AE4386" s="5">
        <v>2.1365016460005211</v>
      </c>
      <c r="AF4386">
        <v>1</v>
      </c>
    </row>
    <row r="4387" spans="27:32" x14ac:dyDescent="0.3">
      <c r="AA4387" s="3">
        <v>27670.47</v>
      </c>
      <c r="AB4387">
        <v>1E-4</v>
      </c>
      <c r="AC4387">
        <v>8</v>
      </c>
      <c r="AD4387" s="5">
        <v>5.0156748077898277</v>
      </c>
      <c r="AE4387" s="5">
        <v>2.1491980524881247</v>
      </c>
      <c r="AF4387">
        <v>1</v>
      </c>
    </row>
    <row r="4388" spans="27:32" x14ac:dyDescent="0.3">
      <c r="AA4388" s="3">
        <v>18551.13</v>
      </c>
      <c r="AB4388">
        <v>1E-4</v>
      </c>
      <c r="AC4388">
        <v>8</v>
      </c>
      <c r="AD4388" s="5">
        <v>4.9261284284349545</v>
      </c>
      <c r="AE4388" s="5">
        <v>2.2418327248451373</v>
      </c>
      <c r="AF4388">
        <v>1</v>
      </c>
    </row>
    <row r="4389" spans="27:32" x14ac:dyDescent="0.3">
      <c r="AA4389" s="3">
        <v>8725.9500000000007</v>
      </c>
      <c r="AB4389">
        <v>1E-4</v>
      </c>
      <c r="AC4389">
        <v>8</v>
      </c>
      <c r="AD4389" s="5">
        <v>4.8534373500944747</v>
      </c>
      <c r="AE4389" s="5">
        <v>2.2016158187406965</v>
      </c>
      <c r="AF4389">
        <v>1</v>
      </c>
    </row>
    <row r="4390" spans="27:32" x14ac:dyDescent="0.3">
      <c r="AA4390" s="3">
        <v>29482.94</v>
      </c>
      <c r="AB4390">
        <v>1E-4</v>
      </c>
      <c r="AC4390">
        <v>8</v>
      </c>
      <c r="AD4390" s="5">
        <v>5.0193195591891158</v>
      </c>
      <c r="AE4390" s="5">
        <v>2.1883608289868617</v>
      </c>
      <c r="AF4390">
        <v>1</v>
      </c>
    </row>
    <row r="4391" spans="27:32" x14ac:dyDescent="0.3">
      <c r="AA4391" s="3">
        <v>4883.71</v>
      </c>
      <c r="AB4391">
        <v>1E-4</v>
      </c>
      <c r="AC4391">
        <v>8</v>
      </c>
      <c r="AD4391" s="5">
        <v>5.0616953612708242</v>
      </c>
      <c r="AE4391" s="5">
        <v>2.2320841685248585</v>
      </c>
      <c r="AF4391">
        <v>1</v>
      </c>
    </row>
    <row r="4392" spans="27:32" x14ac:dyDescent="0.3">
      <c r="AA4392" s="3">
        <v>1408.28</v>
      </c>
      <c r="AB4392">
        <v>1E-4</v>
      </c>
      <c r="AC4392">
        <v>8</v>
      </c>
      <c r="AD4392" s="5">
        <v>5.0122637125031222</v>
      </c>
      <c r="AE4392" s="5">
        <v>2.2103420112177332</v>
      </c>
      <c r="AF4392">
        <v>1</v>
      </c>
    </row>
    <row r="4393" spans="27:32" x14ac:dyDescent="0.3">
      <c r="AA4393" s="3">
        <v>12031.94</v>
      </c>
      <c r="AB4393">
        <v>1E-4</v>
      </c>
      <c r="AC4393">
        <v>8</v>
      </c>
      <c r="AD4393" s="5">
        <v>4.9288579779708561</v>
      </c>
      <c r="AE4393" s="5">
        <v>2.1803491054407185</v>
      </c>
      <c r="AF4393">
        <v>1</v>
      </c>
    </row>
    <row r="4394" spans="27:32" x14ac:dyDescent="0.3">
      <c r="AA4394" s="3">
        <v>38826.769999999997</v>
      </c>
      <c r="AB4394">
        <v>1E-4</v>
      </c>
      <c r="AC4394">
        <v>7</v>
      </c>
      <c r="AD4394" s="5">
        <v>4.9633501477373017</v>
      </c>
      <c r="AE4394" s="5">
        <v>2.2101478201249698</v>
      </c>
      <c r="AF4394">
        <v>1</v>
      </c>
    </row>
    <row r="4395" spans="27:32" x14ac:dyDescent="0.3">
      <c r="AA4395" s="3">
        <v>-41524.437796132581</v>
      </c>
      <c r="AB4395">
        <v>1E-4</v>
      </c>
      <c r="AC4395">
        <v>9</v>
      </c>
      <c r="AD4395" s="5">
        <v>5.0289296034996669</v>
      </c>
      <c r="AE4395" s="5">
        <v>2.2818911498372683</v>
      </c>
      <c r="AF4395">
        <v>0</v>
      </c>
    </row>
    <row r="4396" spans="27:32" x14ac:dyDescent="0.3">
      <c r="AA4396" s="3">
        <v>61800.23</v>
      </c>
      <c r="AB4396">
        <v>1E-4</v>
      </c>
      <c r="AC4396">
        <v>6</v>
      </c>
      <c r="AD4396" s="5">
        <v>5.0110208490848791</v>
      </c>
      <c r="AE4396" s="5">
        <v>2.1634939950379981</v>
      </c>
      <c r="AF4396">
        <v>1</v>
      </c>
    </row>
    <row r="4397" spans="27:32" x14ac:dyDescent="0.3">
      <c r="AA4397" s="3">
        <v>32989.56</v>
      </c>
      <c r="AB4397">
        <v>1E-4</v>
      </c>
      <c r="AC4397">
        <v>7</v>
      </c>
      <c r="AD4397" s="5">
        <v>4.9587552854291994</v>
      </c>
      <c r="AE4397" s="5">
        <v>2.2161292707403866</v>
      </c>
      <c r="AF4397">
        <v>1</v>
      </c>
    </row>
    <row r="4398" spans="27:32" x14ac:dyDescent="0.3">
      <c r="AA4398" s="3">
        <v>7967.24</v>
      </c>
      <c r="AB4398">
        <v>1E-4</v>
      </c>
      <c r="AC4398">
        <v>8</v>
      </c>
      <c r="AD4398" s="5">
        <v>4.9326741217094163</v>
      </c>
      <c r="AE4398" s="5">
        <v>2.1189153375273015</v>
      </c>
      <c r="AF4398">
        <v>1</v>
      </c>
    </row>
    <row r="4399" spans="27:32" x14ac:dyDescent="0.3">
      <c r="AA4399" s="3">
        <v>16164.74</v>
      </c>
      <c r="AB4399">
        <v>1E-4</v>
      </c>
      <c r="AC4399">
        <v>8</v>
      </c>
      <c r="AD4399" s="5">
        <v>5.1303805420876696</v>
      </c>
      <c r="AE4399" s="5">
        <v>2.2286178552807612</v>
      </c>
      <c r="AF4399">
        <v>1</v>
      </c>
    </row>
    <row r="4400" spans="27:32" x14ac:dyDescent="0.3">
      <c r="AA4400" s="3">
        <v>4214.0600000000004</v>
      </c>
      <c r="AB4400">
        <v>1E-4</v>
      </c>
      <c r="AC4400">
        <v>8</v>
      </c>
      <c r="AD4400" s="5">
        <v>5.0294042002821575</v>
      </c>
      <c r="AE4400" s="5">
        <v>2.2951806101003984</v>
      </c>
      <c r="AF4400">
        <v>1</v>
      </c>
    </row>
    <row r="4401" spans="27:32" x14ac:dyDescent="0.3">
      <c r="AA4401" s="3">
        <v>5448.28</v>
      </c>
      <c r="AB4401">
        <v>1E-4</v>
      </c>
      <c r="AC4401">
        <v>8</v>
      </c>
      <c r="AD4401" s="5">
        <v>4.977594776082257</v>
      </c>
      <c r="AE4401" s="5">
        <v>2.2755836958761253</v>
      </c>
      <c r="AF4401">
        <v>1</v>
      </c>
    </row>
    <row r="4402" spans="27:32" x14ac:dyDescent="0.3">
      <c r="AA4402" s="3">
        <v>25063.58</v>
      </c>
      <c r="AB4402">
        <v>1E-4</v>
      </c>
      <c r="AC4402">
        <v>8</v>
      </c>
      <c r="AD4402" s="5">
        <v>4.9917459187430415</v>
      </c>
      <c r="AE4402" s="5">
        <v>2.1567955489790394</v>
      </c>
      <c r="AF4402">
        <v>1</v>
      </c>
    </row>
    <row r="4403" spans="27:32" x14ac:dyDescent="0.3">
      <c r="AA4403" s="3">
        <v>40416.07</v>
      </c>
      <c r="AB4403">
        <v>1E-4</v>
      </c>
      <c r="AC4403">
        <v>7</v>
      </c>
      <c r="AD4403" s="5">
        <v>5.0841581010772794</v>
      </c>
      <c r="AE4403" s="5">
        <v>2.1633365562248077</v>
      </c>
      <c r="AF4403">
        <v>1</v>
      </c>
    </row>
    <row r="4404" spans="27:32" x14ac:dyDescent="0.3">
      <c r="AA4404" s="3">
        <v>14824.34</v>
      </c>
      <c r="AB4404">
        <v>1E-4</v>
      </c>
      <c r="AC4404">
        <v>8</v>
      </c>
      <c r="AD4404" s="5">
        <v>4.9744326997593964</v>
      </c>
      <c r="AE4404" s="5">
        <v>2.1087912624200267</v>
      </c>
      <c r="AF4404">
        <v>1</v>
      </c>
    </row>
    <row r="4405" spans="27:32" x14ac:dyDescent="0.3">
      <c r="AA4405" s="3">
        <v>13976</v>
      </c>
      <c r="AB4405">
        <v>1E-4</v>
      </c>
      <c r="AC4405">
        <v>8</v>
      </c>
      <c r="AD4405" s="5">
        <v>5.034758877713327</v>
      </c>
      <c r="AE4405" s="5">
        <v>2.1992083706282055</v>
      </c>
      <c r="AF4405">
        <v>1</v>
      </c>
    </row>
    <row r="4406" spans="27:32" x14ac:dyDescent="0.3">
      <c r="AA4406" s="3">
        <v>39362.75</v>
      </c>
      <c r="AB4406">
        <v>1E-4</v>
      </c>
      <c r="AC4406">
        <v>7</v>
      </c>
      <c r="AD4406" s="5">
        <v>5.2515648301444564</v>
      </c>
      <c r="AE4406" s="5">
        <v>2.1603032735546326</v>
      </c>
      <c r="AF4406">
        <v>1</v>
      </c>
    </row>
    <row r="4407" spans="27:32" x14ac:dyDescent="0.3">
      <c r="AA4407" s="3">
        <v>1568.16</v>
      </c>
      <c r="AB4407">
        <v>1E-4</v>
      </c>
      <c r="AC4407">
        <v>8</v>
      </c>
      <c r="AD4407" s="5">
        <v>4.9533546263249484</v>
      </c>
      <c r="AE4407" s="5">
        <v>2.1870000173691535</v>
      </c>
      <c r="AF4407">
        <v>1</v>
      </c>
    </row>
    <row r="4408" spans="27:32" x14ac:dyDescent="0.3">
      <c r="AA4408" s="3">
        <v>40400.019999999997</v>
      </c>
      <c r="AB4408">
        <v>1E-4</v>
      </c>
      <c r="AC4408">
        <v>7</v>
      </c>
      <c r="AD4408" s="5">
        <v>4.9023857689039785</v>
      </c>
      <c r="AE4408" s="5">
        <v>2.1449438011378708</v>
      </c>
      <c r="AF4408">
        <v>1</v>
      </c>
    </row>
    <row r="4409" spans="27:32" x14ac:dyDescent="0.3">
      <c r="AA4409" s="3">
        <v>25030.16</v>
      </c>
      <c r="AB4409">
        <v>1E-4</v>
      </c>
      <c r="AC4409">
        <v>8</v>
      </c>
      <c r="AD4409" s="5">
        <v>4.8928930827379284</v>
      </c>
      <c r="AE4409" s="5">
        <v>2.1761862951075837</v>
      </c>
      <c r="AF4409">
        <v>1</v>
      </c>
    </row>
    <row r="4410" spans="27:32" x14ac:dyDescent="0.3">
      <c r="AA4410" s="3">
        <v>7627.62</v>
      </c>
      <c r="AB4410">
        <v>1E-4</v>
      </c>
      <c r="AC4410">
        <v>8</v>
      </c>
      <c r="AD4410" s="5">
        <v>4.9309041793581843</v>
      </c>
      <c r="AE4410" s="5">
        <v>2.1845163843538762</v>
      </c>
      <c r="AF4410">
        <v>1</v>
      </c>
    </row>
    <row r="4411" spans="27:32" x14ac:dyDescent="0.3">
      <c r="AA4411" s="3">
        <v>39954.79</v>
      </c>
      <c r="AB4411">
        <v>1E-4</v>
      </c>
      <c r="AC4411">
        <v>7</v>
      </c>
      <c r="AD4411" s="5">
        <v>5.1123967207352026</v>
      </c>
      <c r="AE4411" s="5">
        <v>2.1717812521436017</v>
      </c>
      <c r="AF4411">
        <v>1</v>
      </c>
    </row>
    <row r="4412" spans="27:32" x14ac:dyDescent="0.3">
      <c r="AA4412" s="3">
        <v>47842.76</v>
      </c>
      <c r="AB4412">
        <v>1E-4</v>
      </c>
      <c r="AC4412">
        <v>7</v>
      </c>
      <c r="AD4412" s="5">
        <v>5.0467386610802523</v>
      </c>
      <c r="AE4412" s="5">
        <v>2.2357795853320011</v>
      </c>
      <c r="AF4412">
        <v>1</v>
      </c>
    </row>
    <row r="4413" spans="27:32" x14ac:dyDescent="0.3">
      <c r="AA4413" s="3">
        <v>-2081.17</v>
      </c>
      <c r="AB4413">
        <v>1E-4</v>
      </c>
      <c r="AC4413">
        <v>9</v>
      </c>
      <c r="AD4413" s="5">
        <v>4.8935141311046344</v>
      </c>
      <c r="AE4413" s="5">
        <v>2.2317867352844543</v>
      </c>
      <c r="AF4413">
        <v>1</v>
      </c>
    </row>
    <row r="4414" spans="27:32" x14ac:dyDescent="0.3">
      <c r="AA4414" s="3">
        <v>34766.81</v>
      </c>
      <c r="AB4414">
        <v>1E-4</v>
      </c>
      <c r="AC4414">
        <v>7</v>
      </c>
      <c r="AD4414" s="5">
        <v>5.0709011884942301</v>
      </c>
      <c r="AE4414" s="5">
        <v>2.1707253831148394</v>
      </c>
      <c r="AF4414">
        <v>1</v>
      </c>
    </row>
    <row r="4415" spans="27:32" x14ac:dyDescent="0.3">
      <c r="AA4415" s="3">
        <v>24465.37</v>
      </c>
      <c r="AB4415">
        <v>1E-4</v>
      </c>
      <c r="AC4415">
        <v>8</v>
      </c>
      <c r="AD4415" s="5">
        <v>4.8958694559875067</v>
      </c>
      <c r="AE4415" s="5">
        <v>2.1750416672959574</v>
      </c>
      <c r="AF4415">
        <v>1</v>
      </c>
    </row>
    <row r="4416" spans="27:32" x14ac:dyDescent="0.3">
      <c r="AA4416" s="3">
        <v>5609.48</v>
      </c>
      <c r="AB4416">
        <v>1E-4</v>
      </c>
      <c r="AC4416">
        <v>8</v>
      </c>
      <c r="AD4416" s="5">
        <v>4.9132665866346565</v>
      </c>
      <c r="AE4416" s="5">
        <v>2.2771128601302162</v>
      </c>
      <c r="AF4416">
        <v>1</v>
      </c>
    </row>
    <row r="4417" spans="27:32" x14ac:dyDescent="0.3">
      <c r="AA4417" s="3">
        <v>19582.240000000002</v>
      </c>
      <c r="AB4417">
        <v>1E-4</v>
      </c>
      <c r="AC4417">
        <v>8</v>
      </c>
      <c r="AD4417" s="5">
        <v>5.1439269656849431</v>
      </c>
      <c r="AE4417" s="5">
        <v>2.3098721521088144</v>
      </c>
      <c r="AF4417">
        <v>1</v>
      </c>
    </row>
    <row r="4418" spans="27:32" x14ac:dyDescent="0.3">
      <c r="AA4418" s="3">
        <v>37442.33</v>
      </c>
      <c r="AB4418">
        <v>1E-4</v>
      </c>
      <c r="AC4418">
        <v>7</v>
      </c>
      <c r="AD4418" s="5">
        <v>5.1264737145949999</v>
      </c>
      <c r="AE4418" s="5">
        <v>2.1959123374947298</v>
      </c>
      <c r="AF4418">
        <v>1</v>
      </c>
    </row>
    <row r="4419" spans="27:32" x14ac:dyDescent="0.3">
      <c r="AA4419" s="3">
        <v>14265.63</v>
      </c>
      <c r="AB4419">
        <v>1E-4</v>
      </c>
      <c r="AC4419">
        <v>8</v>
      </c>
      <c r="AD4419" s="5">
        <v>5.0058891767836888</v>
      </c>
      <c r="AE4419" s="5">
        <v>2.200194515553787</v>
      </c>
      <c r="AF4419">
        <v>1</v>
      </c>
    </row>
    <row r="4420" spans="27:32" x14ac:dyDescent="0.3">
      <c r="AA4420" s="3">
        <v>27085.68</v>
      </c>
      <c r="AB4420">
        <v>1E-4</v>
      </c>
      <c r="AC4420">
        <v>8</v>
      </c>
      <c r="AD4420" s="5">
        <v>4.9737163173134187</v>
      </c>
      <c r="AE4420" s="5">
        <v>2.2895610116285185</v>
      </c>
      <c r="AF4420">
        <v>1</v>
      </c>
    </row>
    <row r="4421" spans="27:32" x14ac:dyDescent="0.3">
      <c r="AA4421" s="3">
        <v>-9849.02</v>
      </c>
      <c r="AB4421">
        <v>1E-4</v>
      </c>
      <c r="AC4421">
        <v>9</v>
      </c>
      <c r="AD4421" s="5">
        <v>5.1236057811328131</v>
      </c>
      <c r="AE4421" s="5">
        <v>2.2685274411746272</v>
      </c>
      <c r="AF4421">
        <v>1</v>
      </c>
    </row>
    <row r="4422" spans="27:32" x14ac:dyDescent="0.3">
      <c r="AA4422" s="3">
        <v>-1044.25</v>
      </c>
      <c r="AB4422">
        <v>1E-4</v>
      </c>
      <c r="AC4422">
        <v>9</v>
      </c>
      <c r="AD4422" s="5">
        <v>4.7862364620039406</v>
      </c>
      <c r="AE4422" s="5">
        <v>2.2564737845957783</v>
      </c>
      <c r="AF4422">
        <v>1</v>
      </c>
    </row>
    <row r="4423" spans="27:32" x14ac:dyDescent="0.3">
      <c r="AA4423" s="3">
        <v>-8069.95</v>
      </c>
      <c r="AB4423">
        <v>1E-4</v>
      </c>
      <c r="AC4423">
        <v>9</v>
      </c>
      <c r="AD4423" s="5">
        <v>4.945024100959226</v>
      </c>
      <c r="AE4423" s="5">
        <v>2.1679977059376947</v>
      </c>
      <c r="AF4423">
        <v>1</v>
      </c>
    </row>
    <row r="4424" spans="27:32" x14ac:dyDescent="0.3">
      <c r="AA4424" s="3">
        <v>10658.78</v>
      </c>
      <c r="AB4424">
        <v>1E-4</v>
      </c>
      <c r="AC4424">
        <v>8</v>
      </c>
      <c r="AD4424" s="5">
        <v>5.0013229169051607</v>
      </c>
      <c r="AE4424" s="5">
        <v>2.1600816186170797</v>
      </c>
      <c r="AF4424">
        <v>1</v>
      </c>
    </row>
    <row r="4425" spans="27:32" x14ac:dyDescent="0.3">
      <c r="AA4425" s="3">
        <v>1349.94462708227</v>
      </c>
      <c r="AB4425">
        <v>1E-4</v>
      </c>
      <c r="AC4425">
        <v>8</v>
      </c>
      <c r="AD4425" s="5">
        <v>5.0343122227334858</v>
      </c>
      <c r="AE4425" s="5">
        <v>2.2621018687673171</v>
      </c>
      <c r="AF4425">
        <v>0</v>
      </c>
    </row>
    <row r="4426" spans="27:32" x14ac:dyDescent="0.3">
      <c r="AA4426" s="3">
        <v>2689.61</v>
      </c>
      <c r="AB4426">
        <v>1E-4</v>
      </c>
      <c r="AC4426">
        <v>8</v>
      </c>
      <c r="AD4426" s="5">
        <v>4.9054104429239329</v>
      </c>
      <c r="AE4426" s="5">
        <v>2.2295151020558834</v>
      </c>
      <c r="AF4426">
        <v>1</v>
      </c>
    </row>
    <row r="4427" spans="27:32" x14ac:dyDescent="0.3">
      <c r="AA4427" s="3">
        <v>24245.79</v>
      </c>
      <c r="AB4427">
        <v>1E-4</v>
      </c>
      <c r="AC4427">
        <v>8</v>
      </c>
      <c r="AD4427" s="5">
        <v>5.0829219498902045</v>
      </c>
      <c r="AE4427" s="5">
        <v>2.2327067290330347</v>
      </c>
      <c r="AF4427">
        <v>1</v>
      </c>
    </row>
    <row r="4428" spans="27:32" x14ac:dyDescent="0.3">
      <c r="AA4428" s="3">
        <v>11357.26</v>
      </c>
      <c r="AB4428">
        <v>1E-4</v>
      </c>
      <c r="AC4428">
        <v>8</v>
      </c>
      <c r="AD4428" s="5">
        <v>4.9668669402718715</v>
      </c>
      <c r="AE4428" s="5">
        <v>2.1832188878452654</v>
      </c>
      <c r="AF4428">
        <v>1</v>
      </c>
    </row>
    <row r="4429" spans="27:32" x14ac:dyDescent="0.3">
      <c r="AA4429" s="3">
        <v>26227.74</v>
      </c>
      <c r="AB4429">
        <v>1E-4</v>
      </c>
      <c r="AC4429">
        <v>8</v>
      </c>
      <c r="AD4429" s="5">
        <v>5.1333895084138135</v>
      </c>
      <c r="AE4429" s="5">
        <v>2.2620418433431317</v>
      </c>
      <c r="AF4429">
        <v>1</v>
      </c>
    </row>
    <row r="4430" spans="27:32" x14ac:dyDescent="0.3">
      <c r="AA4430" s="3">
        <v>30348.34</v>
      </c>
      <c r="AB4430">
        <v>1E-4</v>
      </c>
      <c r="AC4430">
        <v>7</v>
      </c>
      <c r="AD4430" s="5">
        <v>5.0754314096096866</v>
      </c>
      <c r="AE4430" s="5">
        <v>2.2006725235148035</v>
      </c>
      <c r="AF4430">
        <v>1</v>
      </c>
    </row>
    <row r="4431" spans="27:32" x14ac:dyDescent="0.3">
      <c r="AA4431" s="3">
        <v>42773.37</v>
      </c>
      <c r="AB4431">
        <v>1E-4</v>
      </c>
      <c r="AC4431">
        <v>7</v>
      </c>
      <c r="AD4431" s="5">
        <v>5.1453795808640033</v>
      </c>
      <c r="AE4431" s="5">
        <v>2.1223883542038475</v>
      </c>
      <c r="AF4431">
        <v>1</v>
      </c>
    </row>
    <row r="4432" spans="27:32" x14ac:dyDescent="0.3">
      <c r="AA4432" s="3">
        <v>7552.12</v>
      </c>
      <c r="AB4432">
        <v>1E-4</v>
      </c>
      <c r="AC4432">
        <v>8</v>
      </c>
      <c r="AD4432" s="5">
        <v>5.0003356987995904</v>
      </c>
      <c r="AE4432" s="5">
        <v>2.2479978387832324</v>
      </c>
      <c r="AF4432">
        <v>1</v>
      </c>
    </row>
    <row r="4433" spans="27:32" x14ac:dyDescent="0.3">
      <c r="AA4433" s="3">
        <v>52852.72</v>
      </c>
      <c r="AB4433">
        <v>1E-4</v>
      </c>
      <c r="AC4433">
        <v>6</v>
      </c>
      <c r="AD4433" s="5">
        <v>5.1305516997129779</v>
      </c>
      <c r="AE4433" s="5">
        <v>2.2508011110993325</v>
      </c>
      <c r="AF4433">
        <v>1</v>
      </c>
    </row>
    <row r="4434" spans="27:32" x14ac:dyDescent="0.3">
      <c r="AA4434" s="3">
        <v>-16855.39</v>
      </c>
      <c r="AB4434">
        <v>1E-4</v>
      </c>
      <c r="AC4434">
        <v>9</v>
      </c>
      <c r="AD4434" s="5">
        <v>4.8374392823861525</v>
      </c>
      <c r="AE4434" s="5">
        <v>2.2169809069783253</v>
      </c>
      <c r="AF4434">
        <v>1</v>
      </c>
    </row>
    <row r="4435" spans="27:32" x14ac:dyDescent="0.3">
      <c r="AA4435" s="3">
        <v>14253.02</v>
      </c>
      <c r="AB4435">
        <v>1E-4</v>
      </c>
      <c r="AC4435">
        <v>8</v>
      </c>
      <c r="AD4435" s="5">
        <v>4.9621481546437831</v>
      </c>
      <c r="AE4435" s="5">
        <v>2.1204716271086896</v>
      </c>
      <c r="AF4435">
        <v>1</v>
      </c>
    </row>
    <row r="4436" spans="27:32" x14ac:dyDescent="0.3">
      <c r="AA4436" s="3">
        <v>5732.86</v>
      </c>
      <c r="AB4436">
        <v>1E-4</v>
      </c>
      <c r="AC4436">
        <v>8</v>
      </c>
      <c r="AD4436" s="5">
        <v>4.9849126100941064</v>
      </c>
      <c r="AE4436" s="5">
        <v>2.2194543114163392</v>
      </c>
      <c r="AF4436">
        <v>1</v>
      </c>
    </row>
    <row r="4437" spans="27:32" x14ac:dyDescent="0.3">
      <c r="AA4437" s="3">
        <v>7967.71</v>
      </c>
      <c r="AB4437">
        <v>1E-4</v>
      </c>
      <c r="AC4437">
        <v>8</v>
      </c>
      <c r="AD4437" s="5">
        <v>4.9661322287675302</v>
      </c>
      <c r="AE4437" s="5">
        <v>2.280135883665714</v>
      </c>
      <c r="AF4437">
        <v>1</v>
      </c>
    </row>
    <row r="4438" spans="27:32" x14ac:dyDescent="0.3">
      <c r="AA4438" s="3">
        <v>42674.74</v>
      </c>
      <c r="AB4438">
        <v>1E-4</v>
      </c>
      <c r="AC4438">
        <v>7</v>
      </c>
      <c r="AD4438" s="5">
        <v>5.0744269053712179</v>
      </c>
      <c r="AE4438" s="5">
        <v>2.2239570507345192</v>
      </c>
      <c r="AF4438">
        <v>1</v>
      </c>
    </row>
    <row r="4439" spans="27:32" x14ac:dyDescent="0.3">
      <c r="AA4439" s="3">
        <v>5396.78</v>
      </c>
      <c r="AB4439">
        <v>1E-4</v>
      </c>
      <c r="AC4439">
        <v>8</v>
      </c>
      <c r="AD4439" s="5">
        <v>4.9246323393529128</v>
      </c>
      <c r="AE4439" s="5">
        <v>2.1789510257913682</v>
      </c>
      <c r="AF4439">
        <v>1</v>
      </c>
    </row>
    <row r="4440" spans="27:32" x14ac:dyDescent="0.3">
      <c r="AA4440" s="3">
        <v>31432.880000000001</v>
      </c>
      <c r="AB4440">
        <v>1E-4</v>
      </c>
      <c r="AC4440">
        <v>8</v>
      </c>
      <c r="AD4440" s="5">
        <v>4.9885036122000557</v>
      </c>
      <c r="AE4440" s="5">
        <v>2.1365284983585733</v>
      </c>
      <c r="AF4440">
        <v>1</v>
      </c>
    </row>
    <row r="4441" spans="27:32" x14ac:dyDescent="0.3">
      <c r="AA4441" s="3">
        <v>9381.27</v>
      </c>
      <c r="AB4441">
        <v>1E-4</v>
      </c>
      <c r="AC4441">
        <v>8</v>
      </c>
      <c r="AD4441" s="5">
        <v>4.9290199804238917</v>
      </c>
      <c r="AE4441" s="5">
        <v>2.2329171895201116</v>
      </c>
      <c r="AF4441">
        <v>1</v>
      </c>
    </row>
    <row r="4442" spans="27:32" x14ac:dyDescent="0.3">
      <c r="AA4442" s="3">
        <v>43675.3</v>
      </c>
      <c r="AB4442">
        <v>1E-4</v>
      </c>
      <c r="AC4442">
        <v>7</v>
      </c>
      <c r="AD4442" s="5">
        <v>5.0152688458127503</v>
      </c>
      <c r="AE4442" s="5">
        <v>2.1476667705605124</v>
      </c>
      <c r="AF4442">
        <v>1</v>
      </c>
    </row>
    <row r="4443" spans="27:32" x14ac:dyDescent="0.3">
      <c r="AA4443" s="3">
        <v>16021.57</v>
      </c>
      <c r="AB4443">
        <v>1E-4</v>
      </c>
      <c r="AC4443">
        <v>8</v>
      </c>
      <c r="AD4443" s="5">
        <v>5.0414134364384431</v>
      </c>
      <c r="AE4443" s="5">
        <v>2.1647536555348141</v>
      </c>
      <c r="AF4443">
        <v>1</v>
      </c>
    </row>
    <row r="4444" spans="27:32" x14ac:dyDescent="0.3">
      <c r="AA4444" s="3">
        <v>21535.97</v>
      </c>
      <c r="AB4444">
        <v>1E-4</v>
      </c>
      <c r="AC4444">
        <v>8</v>
      </c>
      <c r="AD4444" s="5">
        <v>4.9917047740264771</v>
      </c>
      <c r="AE4444" s="5">
        <v>2.1436615526978802</v>
      </c>
      <c r="AF4444">
        <v>1</v>
      </c>
    </row>
    <row r="4445" spans="27:32" x14ac:dyDescent="0.3">
      <c r="AA4445" s="3">
        <v>44193.29</v>
      </c>
      <c r="AB4445">
        <v>1E-4</v>
      </c>
      <c r="AC4445">
        <v>7</v>
      </c>
      <c r="AD4445" s="5">
        <v>5.1050033333454872</v>
      </c>
      <c r="AE4445" s="5">
        <v>2.2215081807259871</v>
      </c>
      <c r="AF4445">
        <v>1</v>
      </c>
    </row>
    <row r="4446" spans="27:32" x14ac:dyDescent="0.3">
      <c r="AA4446" s="3">
        <v>32991.56</v>
      </c>
      <c r="AB4446">
        <v>1E-4</v>
      </c>
      <c r="AC4446">
        <v>7</v>
      </c>
      <c r="AD4446" s="5">
        <v>5.1455301889883867</v>
      </c>
      <c r="AE4446" s="5">
        <v>2.2539168781870091</v>
      </c>
      <c r="AF4446">
        <v>1</v>
      </c>
    </row>
    <row r="4447" spans="27:32" x14ac:dyDescent="0.3">
      <c r="AA4447" s="3">
        <v>19378.09</v>
      </c>
      <c r="AB4447">
        <v>1E-4</v>
      </c>
      <c r="AC4447">
        <v>8</v>
      </c>
      <c r="AD4447" s="5">
        <v>5.0964166666316473</v>
      </c>
      <c r="AE4447" s="5">
        <v>2.1797818301507714</v>
      </c>
      <c r="AF4447">
        <v>1</v>
      </c>
    </row>
    <row r="4448" spans="27:32" x14ac:dyDescent="0.3">
      <c r="AA4448" s="3">
        <v>19056.89</v>
      </c>
      <c r="AB4448">
        <v>1E-4</v>
      </c>
      <c r="AC4448">
        <v>8</v>
      </c>
      <c r="AD4448" s="5">
        <v>5.066479926871815</v>
      </c>
      <c r="AE4448" s="5">
        <v>2.172055461502588</v>
      </c>
      <c r="AF4448">
        <v>1</v>
      </c>
    </row>
    <row r="4449" spans="27:32" x14ac:dyDescent="0.3">
      <c r="AA4449" s="3">
        <v>9252.67</v>
      </c>
      <c r="AB4449">
        <v>1E-4</v>
      </c>
      <c r="AC4449">
        <v>8</v>
      </c>
      <c r="AD4449" s="5">
        <v>4.8571537215576495</v>
      </c>
      <c r="AE4449" s="5">
        <v>2.2707577298056201</v>
      </c>
      <c r="AF4449">
        <v>1</v>
      </c>
    </row>
    <row r="4450" spans="27:32" x14ac:dyDescent="0.3">
      <c r="AA4450" s="3">
        <v>-207.86</v>
      </c>
      <c r="AB4450">
        <v>1E-4</v>
      </c>
      <c r="AC4450">
        <v>9</v>
      </c>
      <c r="AD4450" s="5">
        <v>4.9418808256706113</v>
      </c>
      <c r="AE4450" s="5">
        <v>2.2386268774291138</v>
      </c>
      <c r="AF4450">
        <v>1</v>
      </c>
    </row>
    <row r="4451" spans="27:32" x14ac:dyDescent="0.3">
      <c r="AA4451" s="3">
        <v>-17178.39</v>
      </c>
      <c r="AB4451">
        <v>1E-4</v>
      </c>
      <c r="AC4451">
        <v>9</v>
      </c>
      <c r="AD4451" s="5">
        <v>4.8767938646267304</v>
      </c>
      <c r="AE4451" s="5">
        <v>2.3258284994157337</v>
      </c>
      <c r="AF4451">
        <v>1</v>
      </c>
    </row>
    <row r="4452" spans="27:32" x14ac:dyDescent="0.3">
      <c r="AA4452" s="3">
        <v>-6207.4</v>
      </c>
      <c r="AB4452">
        <v>1E-4</v>
      </c>
      <c r="AC4452">
        <v>9</v>
      </c>
      <c r="AD4452" s="5">
        <v>5.1565838045150718</v>
      </c>
      <c r="AE4452" s="5">
        <v>2.1971110453847151</v>
      </c>
      <c r="AF4452">
        <v>1</v>
      </c>
    </row>
    <row r="4453" spans="27:32" x14ac:dyDescent="0.3">
      <c r="AA4453" s="3">
        <v>8148.97</v>
      </c>
      <c r="AB4453">
        <v>1E-4</v>
      </c>
      <c r="AC4453">
        <v>8</v>
      </c>
      <c r="AD4453" s="5">
        <v>4.9850802153045768</v>
      </c>
      <c r="AE4453" s="5">
        <v>2.1471022751925379</v>
      </c>
      <c r="AF4453">
        <v>1</v>
      </c>
    </row>
    <row r="4454" spans="27:32" x14ac:dyDescent="0.3">
      <c r="AA4454" s="3">
        <v>-6800.33</v>
      </c>
      <c r="AB4454">
        <v>1E-4</v>
      </c>
      <c r="AC4454">
        <v>9</v>
      </c>
      <c r="AD4454" s="5">
        <v>4.8941986525867973</v>
      </c>
      <c r="AE4454" s="5">
        <v>2.2246493832439436</v>
      </c>
      <c r="AF4454">
        <v>1</v>
      </c>
    </row>
    <row r="4455" spans="27:32" x14ac:dyDescent="0.3">
      <c r="AA4455" s="3">
        <v>5762.65</v>
      </c>
      <c r="AB4455">
        <v>1E-4</v>
      </c>
      <c r="AC4455">
        <v>8</v>
      </c>
      <c r="AD4455" s="5">
        <v>4.9947267204728192</v>
      </c>
      <c r="AE4455" s="5">
        <v>2.2332837684313791</v>
      </c>
      <c r="AF4455">
        <v>1</v>
      </c>
    </row>
    <row r="4456" spans="27:32" x14ac:dyDescent="0.3">
      <c r="AA4456" s="3">
        <v>17074.2</v>
      </c>
      <c r="AB4456">
        <v>1E-4</v>
      </c>
      <c r="AC4456">
        <v>8</v>
      </c>
      <c r="AD4456" s="5">
        <v>5.0719299817982648</v>
      </c>
      <c r="AE4456" s="5">
        <v>2.1724736614232749</v>
      </c>
      <c r="AF4456">
        <v>1</v>
      </c>
    </row>
    <row r="4457" spans="27:32" x14ac:dyDescent="0.3">
      <c r="AA4457" s="3">
        <v>28100.880000000001</v>
      </c>
      <c r="AB4457">
        <v>1E-4</v>
      </c>
      <c r="AC4457">
        <v>8</v>
      </c>
      <c r="AD4457" s="5">
        <v>4.9655124867109874</v>
      </c>
      <c r="AE4457" s="5">
        <v>2.1741492382259255</v>
      </c>
      <c r="AF4457">
        <v>1</v>
      </c>
    </row>
    <row r="4458" spans="27:32" x14ac:dyDescent="0.3">
      <c r="AA4458" s="3">
        <v>35825.730000000003</v>
      </c>
      <c r="AB4458">
        <v>1E-4</v>
      </c>
      <c r="AC4458">
        <v>7</v>
      </c>
      <c r="AD4458" s="5">
        <v>4.9432087363018624</v>
      </c>
      <c r="AE4458" s="5">
        <v>2.1349490381816705</v>
      </c>
      <c r="AF4458">
        <v>1</v>
      </c>
    </row>
    <row r="4459" spans="27:32" x14ac:dyDescent="0.3">
      <c r="AA4459" s="3">
        <v>13910</v>
      </c>
      <c r="AB4459">
        <v>1E-4</v>
      </c>
      <c r="AC4459">
        <v>8</v>
      </c>
      <c r="AD4459" s="5">
        <v>4.9025169343066368</v>
      </c>
      <c r="AE4459" s="5">
        <v>2.2445749409914888</v>
      </c>
      <c r="AF4459">
        <v>1</v>
      </c>
    </row>
    <row r="4460" spans="27:32" x14ac:dyDescent="0.3">
      <c r="AA4460" s="3">
        <v>34746.720000000001</v>
      </c>
      <c r="AB4460">
        <v>1E-4</v>
      </c>
      <c r="AC4460">
        <v>7</v>
      </c>
      <c r="AD4460" s="5">
        <v>4.989617965563732</v>
      </c>
      <c r="AE4460" s="5">
        <v>2.2122009232644593</v>
      </c>
      <c r="AF4460">
        <v>1</v>
      </c>
    </row>
    <row r="4461" spans="27:32" x14ac:dyDescent="0.3">
      <c r="AA4461" s="3">
        <v>13820.72</v>
      </c>
      <c r="AB4461">
        <v>1E-4</v>
      </c>
      <c r="AC4461">
        <v>8</v>
      </c>
      <c r="AD4461" s="5">
        <v>4.92538135853155</v>
      </c>
      <c r="AE4461" s="5">
        <v>2.2377363806178847</v>
      </c>
      <c r="AF4461">
        <v>1</v>
      </c>
    </row>
    <row r="4462" spans="27:32" x14ac:dyDescent="0.3">
      <c r="AA4462" s="3">
        <v>6330.99</v>
      </c>
      <c r="AB4462">
        <v>1E-4</v>
      </c>
      <c r="AC4462">
        <v>8</v>
      </c>
      <c r="AD4462" s="5">
        <v>4.8441690234453967</v>
      </c>
      <c r="AE4462" s="5">
        <v>2.1265435961318415</v>
      </c>
      <c r="AF4462">
        <v>1</v>
      </c>
    </row>
    <row r="4463" spans="27:32" x14ac:dyDescent="0.3">
      <c r="AA4463" s="3">
        <v>14744.25</v>
      </c>
      <c r="AB4463">
        <v>1E-4</v>
      </c>
      <c r="AC4463">
        <v>8</v>
      </c>
      <c r="AD4463" s="5">
        <v>5.1295477318632319</v>
      </c>
      <c r="AE4463" s="5">
        <v>2.1832720949405044</v>
      </c>
      <c r="AF4463">
        <v>1</v>
      </c>
    </row>
    <row r="4464" spans="27:32" x14ac:dyDescent="0.3">
      <c r="AA4464" s="3">
        <v>43034.74</v>
      </c>
      <c r="AB4464">
        <v>1E-4</v>
      </c>
      <c r="AC4464">
        <v>7</v>
      </c>
      <c r="AD4464" s="5">
        <v>5.2062683979698079</v>
      </c>
      <c r="AE4464" s="5">
        <v>2.1774318402173507</v>
      </c>
      <c r="AF4464">
        <v>1</v>
      </c>
    </row>
    <row r="4465" spans="27:32" x14ac:dyDescent="0.3">
      <c r="AA4465" s="3">
        <v>6285.14</v>
      </c>
      <c r="AB4465">
        <v>1E-4</v>
      </c>
      <c r="AC4465">
        <v>8</v>
      </c>
      <c r="AD4465" s="5">
        <v>4.9149176239560255</v>
      </c>
      <c r="AE4465" s="5">
        <v>2.1941142670807827</v>
      </c>
      <c r="AF4465">
        <v>1</v>
      </c>
    </row>
    <row r="4466" spans="27:32" x14ac:dyDescent="0.3">
      <c r="AA4466" s="3">
        <v>20717.68</v>
      </c>
      <c r="AB4466">
        <v>1E-4</v>
      </c>
      <c r="AC4466">
        <v>8</v>
      </c>
      <c r="AD4466" s="5">
        <v>4.9953276282451027</v>
      </c>
      <c r="AE4466" s="5">
        <v>2.1996536448360411</v>
      </c>
      <c r="AF4466">
        <v>1</v>
      </c>
    </row>
    <row r="4467" spans="27:32" x14ac:dyDescent="0.3">
      <c r="AA4467" s="3">
        <v>12481.49</v>
      </c>
      <c r="AB4467">
        <v>1E-4</v>
      </c>
      <c r="AC4467">
        <v>8</v>
      </c>
      <c r="AD4467" s="5">
        <v>5.0465304500586878</v>
      </c>
      <c r="AE4467" s="5">
        <v>2.1961222040050359</v>
      </c>
      <c r="AF4467">
        <v>1</v>
      </c>
    </row>
    <row r="4468" spans="27:32" x14ac:dyDescent="0.3">
      <c r="AA4468" s="3">
        <v>4647.8500000000004</v>
      </c>
      <c r="AB4468">
        <v>1E-4</v>
      </c>
      <c r="AC4468">
        <v>8</v>
      </c>
      <c r="AD4468" s="5">
        <v>4.9994111801237535</v>
      </c>
      <c r="AE4468" s="5">
        <v>2.2143699332225419</v>
      </c>
      <c r="AF4468">
        <v>1</v>
      </c>
    </row>
    <row r="4469" spans="27:32" x14ac:dyDescent="0.3">
      <c r="AA4469" s="3">
        <v>7822.62</v>
      </c>
      <c r="AB4469">
        <v>1E-4</v>
      </c>
      <c r="AC4469">
        <v>8</v>
      </c>
      <c r="AD4469" s="5">
        <v>4.9711023781724455</v>
      </c>
      <c r="AE4469" s="5">
        <v>2.1754142598322752</v>
      </c>
      <c r="AF4469">
        <v>1</v>
      </c>
    </row>
    <row r="4470" spans="27:32" x14ac:dyDescent="0.3">
      <c r="AA4470" s="3">
        <v>18243.099999999999</v>
      </c>
      <c r="AB4470">
        <v>1E-4</v>
      </c>
      <c r="AC4470">
        <v>8</v>
      </c>
      <c r="AD4470" s="5">
        <v>5.0582539993961175</v>
      </c>
      <c r="AE4470" s="5">
        <v>2.2057295915379678</v>
      </c>
      <c r="AF4470">
        <v>1</v>
      </c>
    </row>
    <row r="4471" spans="27:32" x14ac:dyDescent="0.3">
      <c r="AA4471" s="3">
        <v>1286.2</v>
      </c>
      <c r="AB4471">
        <v>1E-4</v>
      </c>
      <c r="AC4471">
        <v>8</v>
      </c>
      <c r="AD4471" s="5">
        <v>4.9819624364792237</v>
      </c>
      <c r="AE4471" s="5">
        <v>2.1105532515551682</v>
      </c>
      <c r="AF4471">
        <v>1</v>
      </c>
    </row>
    <row r="4472" spans="27:32" x14ac:dyDescent="0.3">
      <c r="AA4472" s="3">
        <v>-9607.66</v>
      </c>
      <c r="AB4472">
        <v>1E-4</v>
      </c>
      <c r="AC4472">
        <v>9</v>
      </c>
      <c r="AD4472" s="5">
        <v>4.8724266535760341</v>
      </c>
      <c r="AE4472" s="5">
        <v>2.293216092540038</v>
      </c>
      <c r="AF4472">
        <v>1</v>
      </c>
    </row>
    <row r="4473" spans="27:32" x14ac:dyDescent="0.3">
      <c r="AA4473" s="3">
        <v>-8362.65</v>
      </c>
      <c r="AB4473">
        <v>1E-4</v>
      </c>
      <c r="AC4473">
        <v>9</v>
      </c>
      <c r="AD4473" s="5">
        <v>4.9850347923909206</v>
      </c>
      <c r="AE4473" s="5">
        <v>2.2716114546682951</v>
      </c>
      <c r="AF4473">
        <v>1</v>
      </c>
    </row>
    <row r="4474" spans="27:32" x14ac:dyDescent="0.3">
      <c r="AA4474" s="3">
        <v>15508.55</v>
      </c>
      <c r="AB4474">
        <v>1E-4</v>
      </c>
      <c r="AC4474">
        <v>8</v>
      </c>
      <c r="AD4474" s="5">
        <v>4.8876377525399333</v>
      </c>
      <c r="AE4474" s="5">
        <v>2.1655802381640807</v>
      </c>
      <c r="AF4474">
        <v>1</v>
      </c>
    </row>
    <row r="4475" spans="27:32" x14ac:dyDescent="0.3">
      <c r="AA4475" s="3">
        <v>38995.949999999997</v>
      </c>
      <c r="AB4475">
        <v>1E-4</v>
      </c>
      <c r="AC4475">
        <v>7</v>
      </c>
      <c r="AD4475" s="5">
        <v>5.1982102842720188</v>
      </c>
      <c r="AE4475" s="5">
        <v>2.2306350259212713</v>
      </c>
      <c r="AF4475">
        <v>1</v>
      </c>
    </row>
    <row r="4476" spans="27:32" x14ac:dyDescent="0.3">
      <c r="AA4476" s="3">
        <v>10497.98</v>
      </c>
      <c r="AB4476">
        <v>1E-4</v>
      </c>
      <c r="AC4476">
        <v>8</v>
      </c>
      <c r="AD4476" s="5">
        <v>5.0103788926585944</v>
      </c>
      <c r="AE4476" s="5">
        <v>2.2317287102394134</v>
      </c>
      <c r="AF4476">
        <v>1</v>
      </c>
    </row>
    <row r="4477" spans="27:32" x14ac:dyDescent="0.3">
      <c r="AA4477" s="3">
        <v>-719.15</v>
      </c>
      <c r="AB4477">
        <v>1E-4</v>
      </c>
      <c r="AC4477">
        <v>9</v>
      </c>
      <c r="AD4477" s="5">
        <v>4.9821084905421058</v>
      </c>
      <c r="AE4477" s="5">
        <v>2.25221738567791</v>
      </c>
      <c r="AF4477">
        <v>1</v>
      </c>
    </row>
    <row r="4478" spans="27:32" x14ac:dyDescent="0.3">
      <c r="AA4478" s="3">
        <v>38712.379999999997</v>
      </c>
      <c r="AB4478">
        <v>1E-4</v>
      </c>
      <c r="AC4478">
        <v>7</v>
      </c>
      <c r="AD4478" s="5">
        <v>5.1679886602659391</v>
      </c>
      <c r="AE4478" s="5">
        <v>2.1632471790618477</v>
      </c>
      <c r="AF4478">
        <v>1</v>
      </c>
    </row>
    <row r="4479" spans="27:32" x14ac:dyDescent="0.3">
      <c r="AA4479" s="3">
        <v>111.19</v>
      </c>
      <c r="AB4479">
        <v>1E-4</v>
      </c>
      <c r="AC4479">
        <v>8</v>
      </c>
      <c r="AD4479" s="5">
        <v>4.9932239562015912</v>
      </c>
      <c r="AE4479" s="5">
        <v>2.2423074104183622</v>
      </c>
      <c r="AF4479">
        <v>1</v>
      </c>
    </row>
    <row r="4480" spans="27:32" x14ac:dyDescent="0.3">
      <c r="AA4480" s="3">
        <v>48213.42</v>
      </c>
      <c r="AB4480">
        <v>1E-4</v>
      </c>
      <c r="AC4480">
        <v>7</v>
      </c>
      <c r="AD4480" s="5">
        <v>4.9286103805852219</v>
      </c>
      <c r="AE4480" s="5">
        <v>2.1372669049617983</v>
      </c>
      <c r="AF4480">
        <v>1</v>
      </c>
    </row>
    <row r="4481" spans="27:32" x14ac:dyDescent="0.3">
      <c r="AA4481" s="3">
        <v>24075.72</v>
      </c>
      <c r="AB4481">
        <v>1E-4</v>
      </c>
      <c r="AC4481">
        <v>8</v>
      </c>
      <c r="AD4481" s="5">
        <v>5.0828478522416063</v>
      </c>
      <c r="AE4481" s="5">
        <v>2.2928659756122789</v>
      </c>
      <c r="AF4481">
        <v>1</v>
      </c>
    </row>
    <row r="4482" spans="27:32" x14ac:dyDescent="0.3">
      <c r="AA4482" s="3">
        <v>8147.74</v>
      </c>
      <c r="AB4482">
        <v>1E-4</v>
      </c>
      <c r="AC4482">
        <v>8</v>
      </c>
      <c r="AD4482" s="5">
        <v>4.9817201885085876</v>
      </c>
      <c r="AE4482" s="5">
        <v>2.2272172391623695</v>
      </c>
      <c r="AF4482">
        <v>1</v>
      </c>
    </row>
    <row r="4483" spans="27:32" x14ac:dyDescent="0.3">
      <c r="AA4483" s="3">
        <v>12069.62</v>
      </c>
      <c r="AB4483">
        <v>1E-4</v>
      </c>
      <c r="AC4483">
        <v>8</v>
      </c>
      <c r="AD4483" s="5">
        <v>4.8850975128721261</v>
      </c>
      <c r="AE4483" s="5">
        <v>2.1733841585785814</v>
      </c>
      <c r="AF4483">
        <v>1</v>
      </c>
    </row>
    <row r="4484" spans="27:32" x14ac:dyDescent="0.3">
      <c r="AA4484" s="3">
        <v>1441.14</v>
      </c>
      <c r="AB4484">
        <v>1E-4</v>
      </c>
      <c r="AC4484">
        <v>8</v>
      </c>
      <c r="AD4484" s="5">
        <v>4.8694699377241673</v>
      </c>
      <c r="AE4484" s="5">
        <v>2.2251588637347703</v>
      </c>
      <c r="AF4484">
        <v>1</v>
      </c>
    </row>
    <row r="4485" spans="27:32" x14ac:dyDescent="0.3">
      <c r="AA4485" s="3">
        <v>12840.18</v>
      </c>
      <c r="AB4485">
        <v>1E-4</v>
      </c>
      <c r="AC4485">
        <v>8</v>
      </c>
      <c r="AD4485" s="5">
        <v>4.9152320197295136</v>
      </c>
      <c r="AE4485" s="5">
        <v>2.1827266487979102</v>
      </c>
      <c r="AF4485">
        <v>1</v>
      </c>
    </row>
    <row r="4486" spans="27:32" x14ac:dyDescent="0.3">
      <c r="AA4486" s="3">
        <v>-35658.074566881493</v>
      </c>
      <c r="AB4486">
        <v>1E-4</v>
      </c>
      <c r="AC4486">
        <v>9</v>
      </c>
      <c r="AD4486" s="5">
        <v>4.9664585483435024</v>
      </c>
      <c r="AE4486" s="5">
        <v>2.221067739193249</v>
      </c>
      <c r="AF4486">
        <v>0</v>
      </c>
    </row>
    <row r="4487" spans="27:32" x14ac:dyDescent="0.3">
      <c r="AA4487" s="3">
        <v>27653.86</v>
      </c>
      <c r="AB4487">
        <v>1E-4</v>
      </c>
      <c r="AC4487">
        <v>8</v>
      </c>
      <c r="AD4487" s="5">
        <v>4.9842032583727418</v>
      </c>
      <c r="AE4487" s="5">
        <v>2.2003347948210701</v>
      </c>
      <c r="AF4487">
        <v>1</v>
      </c>
    </row>
    <row r="4488" spans="27:32" x14ac:dyDescent="0.3">
      <c r="AA4488" s="3">
        <v>11588.47</v>
      </c>
      <c r="AB4488">
        <v>1E-4</v>
      </c>
      <c r="AC4488">
        <v>8</v>
      </c>
      <c r="AD4488" s="5">
        <v>4.9923811531456668</v>
      </c>
      <c r="AE4488" s="5">
        <v>2.295564305407384</v>
      </c>
      <c r="AF4488">
        <v>1</v>
      </c>
    </row>
    <row r="4489" spans="27:32" x14ac:dyDescent="0.3">
      <c r="AA4489" s="3">
        <v>-3262.44</v>
      </c>
      <c r="AB4489">
        <v>1E-4</v>
      </c>
      <c r="AC4489">
        <v>9</v>
      </c>
      <c r="AD4489" s="5">
        <v>5.002301705911588</v>
      </c>
      <c r="AE4489" s="5">
        <v>2.2275672750676705</v>
      </c>
      <c r="AF4489">
        <v>1</v>
      </c>
    </row>
    <row r="4490" spans="27:32" x14ac:dyDescent="0.3">
      <c r="AA4490" s="3">
        <v>3516.1</v>
      </c>
      <c r="AB4490">
        <v>1E-4</v>
      </c>
      <c r="AC4490">
        <v>8</v>
      </c>
      <c r="AD4490" s="5">
        <v>4.9218438860190279</v>
      </c>
      <c r="AE4490" s="5">
        <v>2.2309510149092846</v>
      </c>
      <c r="AF4490">
        <v>1</v>
      </c>
    </row>
    <row r="4491" spans="27:32" x14ac:dyDescent="0.3">
      <c r="AA4491" s="3">
        <v>9067.01</v>
      </c>
      <c r="AB4491">
        <v>1E-4</v>
      </c>
      <c r="AC4491">
        <v>8</v>
      </c>
      <c r="AD4491" s="5">
        <v>5.0717244278587836</v>
      </c>
      <c r="AE4491" s="5">
        <v>2.2080010969911115</v>
      </c>
      <c r="AF4491">
        <v>1</v>
      </c>
    </row>
    <row r="4492" spans="27:32" x14ac:dyDescent="0.3">
      <c r="AA4492" s="3">
        <v>32326.38</v>
      </c>
      <c r="AB4492">
        <v>1E-4</v>
      </c>
      <c r="AC4492">
        <v>7</v>
      </c>
      <c r="AD4492" s="5">
        <v>5.0653620841793403</v>
      </c>
      <c r="AE4492" s="5">
        <v>2.2282136645529964</v>
      </c>
      <c r="AF4492">
        <v>1</v>
      </c>
    </row>
    <row r="4493" spans="27:32" x14ac:dyDescent="0.3">
      <c r="AA4493" s="3">
        <v>26949.42</v>
      </c>
      <c r="AB4493">
        <v>1E-4</v>
      </c>
      <c r="AC4493">
        <v>8</v>
      </c>
      <c r="AD4493" s="5">
        <v>5.1015921386046896</v>
      </c>
      <c r="AE4493" s="5">
        <v>2.1364011183300988</v>
      </c>
      <c r="AF4493">
        <v>1</v>
      </c>
    </row>
    <row r="4494" spans="27:32" x14ac:dyDescent="0.3">
      <c r="AA4494" s="3">
        <v>16506.560000000001</v>
      </c>
      <c r="AB4494">
        <v>1E-4</v>
      </c>
      <c r="AC4494">
        <v>8</v>
      </c>
      <c r="AD4494" s="5">
        <v>4.8232611585783491</v>
      </c>
      <c r="AE4494" s="5">
        <v>2.2132574393754529</v>
      </c>
      <c r="AF4494">
        <v>1</v>
      </c>
    </row>
    <row r="4495" spans="27:32" x14ac:dyDescent="0.3">
      <c r="AA4495" s="3">
        <v>-2923.03</v>
      </c>
      <c r="AB4495">
        <v>1E-4</v>
      </c>
      <c r="AC4495">
        <v>9</v>
      </c>
      <c r="AD4495" s="5">
        <v>4.9069540917864121</v>
      </c>
      <c r="AE4495" s="5">
        <v>2.257470965389567</v>
      </c>
      <c r="AF4495">
        <v>1</v>
      </c>
    </row>
    <row r="4496" spans="27:32" x14ac:dyDescent="0.3">
      <c r="AA4496" s="3">
        <v>26345.95</v>
      </c>
      <c r="AB4496">
        <v>1E-4</v>
      </c>
      <c r="AC4496">
        <v>8</v>
      </c>
      <c r="AD4496" s="5">
        <v>5.033385501390951</v>
      </c>
      <c r="AE4496" s="5">
        <v>2.1010214622334682</v>
      </c>
      <c r="AF4496">
        <v>1</v>
      </c>
    </row>
    <row r="4497" spans="27:32" x14ac:dyDescent="0.3">
      <c r="AA4497" s="3">
        <v>17499.11</v>
      </c>
      <c r="AB4497">
        <v>1E-4</v>
      </c>
      <c r="AC4497">
        <v>8</v>
      </c>
      <c r="AD4497" s="5">
        <v>5.0012640066829253</v>
      </c>
      <c r="AE4497" s="5">
        <v>2.225407753858045</v>
      </c>
      <c r="AF4497">
        <v>1</v>
      </c>
    </row>
    <row r="4498" spans="27:32" x14ac:dyDescent="0.3">
      <c r="AA4498" s="3">
        <v>23641.23</v>
      </c>
      <c r="AB4498">
        <v>1E-4</v>
      </c>
      <c r="AC4498">
        <v>8</v>
      </c>
      <c r="AD4498" s="5">
        <v>5.0154411839555566</v>
      </c>
      <c r="AE4498" s="5">
        <v>2.3310592421707867</v>
      </c>
      <c r="AF4498">
        <v>1</v>
      </c>
    </row>
    <row r="4499" spans="27:32" x14ac:dyDescent="0.3">
      <c r="AA4499" s="3">
        <v>28210.84</v>
      </c>
      <c r="AB4499">
        <v>1E-4</v>
      </c>
      <c r="AC4499">
        <v>7</v>
      </c>
      <c r="AD4499" s="5">
        <v>5.1344899093943592</v>
      </c>
      <c r="AE4499" s="5">
        <v>2.2792120656998835</v>
      </c>
      <c r="AF4499">
        <v>1</v>
      </c>
    </row>
    <row r="4500" spans="27:32" x14ac:dyDescent="0.3">
      <c r="AA4500" s="3">
        <v>8756.48</v>
      </c>
      <c r="AB4500">
        <v>1E-4</v>
      </c>
      <c r="AC4500">
        <v>8</v>
      </c>
      <c r="AD4500" s="5">
        <v>4.8980536697795181</v>
      </c>
      <c r="AE4500" s="5">
        <v>2.1770041219601572</v>
      </c>
      <c r="AF4500">
        <v>1</v>
      </c>
    </row>
    <row r="4501" spans="27:32" x14ac:dyDescent="0.3">
      <c r="AA4501" s="3">
        <v>-4802.25</v>
      </c>
      <c r="AB4501">
        <v>1E-4</v>
      </c>
      <c r="AC4501">
        <v>9</v>
      </c>
      <c r="AD4501" s="5">
        <v>4.9171256538056154</v>
      </c>
      <c r="AE4501" s="5">
        <v>2.242734675856473</v>
      </c>
      <c r="AF4501">
        <v>1</v>
      </c>
    </row>
    <row r="4502" spans="27:32" x14ac:dyDescent="0.3">
      <c r="AA4502" s="3">
        <v>-4536.2299999999996</v>
      </c>
      <c r="AB4502">
        <v>1E-4</v>
      </c>
      <c r="AC4502">
        <v>9</v>
      </c>
      <c r="AD4502" s="5">
        <v>4.8903435355406559</v>
      </c>
      <c r="AE4502" s="5">
        <v>2.1602606128361757</v>
      </c>
      <c r="AF4502">
        <v>1</v>
      </c>
    </row>
    <row r="4503" spans="27:32" x14ac:dyDescent="0.3">
      <c r="AA4503" s="3">
        <v>7028.58</v>
      </c>
      <c r="AB4503">
        <v>1E-4</v>
      </c>
      <c r="AC4503">
        <v>8</v>
      </c>
      <c r="AD4503" s="5">
        <v>5.0106429819140841</v>
      </c>
      <c r="AE4503" s="5">
        <v>2.1662264361533006</v>
      </c>
      <c r="AF4503">
        <v>1</v>
      </c>
    </row>
    <row r="4504" spans="27:32" x14ac:dyDescent="0.3">
      <c r="AA4504" s="3">
        <v>4212.84</v>
      </c>
      <c r="AB4504">
        <v>1E-4</v>
      </c>
      <c r="AC4504">
        <v>8</v>
      </c>
      <c r="AD4504" s="5">
        <v>5.2362023170627081</v>
      </c>
      <c r="AE4504" s="5">
        <v>2.1296534555502857</v>
      </c>
      <c r="AF4504">
        <v>1</v>
      </c>
    </row>
    <row r="4505" spans="27:32" x14ac:dyDescent="0.3">
      <c r="AA4505" s="3">
        <v>36882.67</v>
      </c>
      <c r="AB4505">
        <v>1E-4</v>
      </c>
      <c r="AC4505">
        <v>7</v>
      </c>
      <c r="AD4505" s="5">
        <v>5.1210250393802514</v>
      </c>
      <c r="AE4505" s="5">
        <v>2.2494874239330183</v>
      </c>
      <c r="AF4505">
        <v>1</v>
      </c>
    </row>
    <row r="4506" spans="27:32" x14ac:dyDescent="0.3">
      <c r="AA4506" s="3">
        <v>12586.71</v>
      </c>
      <c r="AB4506">
        <v>1E-4</v>
      </c>
      <c r="AC4506">
        <v>8</v>
      </c>
      <c r="AD4506" s="5">
        <v>4.9563451830755216</v>
      </c>
      <c r="AE4506" s="5">
        <v>2.27345695259429</v>
      </c>
      <c r="AF4506">
        <v>1</v>
      </c>
    </row>
    <row r="4507" spans="27:32" x14ac:dyDescent="0.3">
      <c r="AA4507" s="3">
        <v>20251.009999999998</v>
      </c>
      <c r="AB4507">
        <v>1E-4</v>
      </c>
      <c r="AC4507">
        <v>8</v>
      </c>
      <c r="AD4507" s="5">
        <v>4.9639999629872369</v>
      </c>
      <c r="AE4507" s="5">
        <v>2.2051715194057064</v>
      </c>
      <c r="AF4507">
        <v>1</v>
      </c>
    </row>
    <row r="4508" spans="27:32" x14ac:dyDescent="0.3">
      <c r="AA4508" s="3">
        <v>7975.53</v>
      </c>
      <c r="AB4508">
        <v>1E-4</v>
      </c>
      <c r="AC4508">
        <v>8</v>
      </c>
      <c r="AD4508" s="5">
        <v>4.984921729795321</v>
      </c>
      <c r="AE4508" s="5">
        <v>2.1546491602272244</v>
      </c>
      <c r="AF4508">
        <v>1</v>
      </c>
    </row>
    <row r="4509" spans="27:32" x14ac:dyDescent="0.3">
      <c r="AA4509" s="3">
        <v>-81.760000000000005</v>
      </c>
      <c r="AB4509">
        <v>1E-4</v>
      </c>
      <c r="AC4509">
        <v>9</v>
      </c>
      <c r="AD4509" s="5">
        <v>4.8467901336168913</v>
      </c>
      <c r="AE4509" s="5">
        <v>2.2054585410642695</v>
      </c>
      <c r="AF4509">
        <v>1</v>
      </c>
    </row>
    <row r="4510" spans="27:32" x14ac:dyDescent="0.3">
      <c r="AA4510" s="3">
        <v>6940.41</v>
      </c>
      <c r="AB4510">
        <v>1E-4</v>
      </c>
      <c r="AC4510">
        <v>8</v>
      </c>
      <c r="AD4510" s="5">
        <v>5.0253879534546577</v>
      </c>
      <c r="AE4510" s="5">
        <v>2.2120531962137737</v>
      </c>
      <c r="AF4510">
        <v>1</v>
      </c>
    </row>
    <row r="4511" spans="27:32" x14ac:dyDescent="0.3">
      <c r="AA4511" s="3">
        <v>24011.82</v>
      </c>
      <c r="AB4511">
        <v>1E-4</v>
      </c>
      <c r="AC4511">
        <v>8</v>
      </c>
      <c r="AD4511" s="5">
        <v>5.143318209331408</v>
      </c>
      <c r="AE4511" s="5">
        <v>2.2591960029130207</v>
      </c>
      <c r="AF4511">
        <v>1</v>
      </c>
    </row>
    <row r="4512" spans="27:32" x14ac:dyDescent="0.3">
      <c r="AA4512" s="3">
        <v>11770.09</v>
      </c>
      <c r="AB4512">
        <v>1E-4</v>
      </c>
      <c r="AC4512">
        <v>8</v>
      </c>
      <c r="AD4512" s="5">
        <v>5.0526436978332319</v>
      </c>
      <c r="AE4512" s="5">
        <v>2.2194620402581919</v>
      </c>
      <c r="AF4512">
        <v>1</v>
      </c>
    </row>
    <row r="4513" spans="27:32" x14ac:dyDescent="0.3">
      <c r="AA4513" s="3">
        <v>9615.49</v>
      </c>
      <c r="AB4513">
        <v>1E-4</v>
      </c>
      <c r="AC4513">
        <v>8</v>
      </c>
      <c r="AD4513" s="5">
        <v>5.0961236754580899</v>
      </c>
      <c r="AE4513" s="5">
        <v>2.2494801352550335</v>
      </c>
      <c r="AF4513">
        <v>1</v>
      </c>
    </row>
    <row r="4514" spans="27:32" x14ac:dyDescent="0.3">
      <c r="AA4514" s="3">
        <v>24729.51</v>
      </c>
      <c r="AB4514">
        <v>1E-4</v>
      </c>
      <c r="AC4514">
        <v>8</v>
      </c>
      <c r="AD4514" s="5">
        <v>5.1806649192359187</v>
      </c>
      <c r="AE4514" s="5">
        <v>2.2264230642606777</v>
      </c>
      <c r="AF4514">
        <v>1</v>
      </c>
    </row>
    <row r="4515" spans="27:32" x14ac:dyDescent="0.3">
      <c r="AA4515" s="3">
        <v>28711.34</v>
      </c>
      <c r="AB4515">
        <v>1E-4</v>
      </c>
      <c r="AC4515">
        <v>8</v>
      </c>
      <c r="AD4515" s="5">
        <v>4.9883528586791384</v>
      </c>
      <c r="AE4515" s="5">
        <v>2.2065886202678482</v>
      </c>
      <c r="AF4515">
        <v>1</v>
      </c>
    </row>
    <row r="4516" spans="27:32" x14ac:dyDescent="0.3">
      <c r="AA4516" s="3">
        <v>-6521.5</v>
      </c>
      <c r="AB4516">
        <v>1E-4</v>
      </c>
      <c r="AC4516">
        <v>9</v>
      </c>
      <c r="AD4516" s="5">
        <v>4.9977369090842663</v>
      </c>
      <c r="AE4516" s="5">
        <v>2.1651235689379749</v>
      </c>
      <c r="AF4516">
        <v>1</v>
      </c>
    </row>
    <row r="4517" spans="27:32" x14ac:dyDescent="0.3">
      <c r="AA4517" s="3">
        <v>2155.5</v>
      </c>
      <c r="AB4517">
        <v>1E-4</v>
      </c>
      <c r="AC4517">
        <v>8</v>
      </c>
      <c r="AD4517" s="5">
        <v>5.0485002343242167</v>
      </c>
      <c r="AE4517" s="5">
        <v>2.1699889258152094</v>
      </c>
      <c r="AF4517">
        <v>1</v>
      </c>
    </row>
    <row r="4518" spans="27:32" x14ac:dyDescent="0.3">
      <c r="AA4518" s="3">
        <v>22883.23</v>
      </c>
      <c r="AB4518">
        <v>1E-4</v>
      </c>
      <c r="AC4518">
        <v>8</v>
      </c>
      <c r="AD4518" s="5">
        <v>4.9897620684796014</v>
      </c>
      <c r="AE4518" s="5">
        <v>2.199689647705013</v>
      </c>
      <c r="AF4518">
        <v>1</v>
      </c>
    </row>
    <row r="4519" spans="27:32" x14ac:dyDescent="0.3">
      <c r="AA4519" s="3">
        <v>12080.5</v>
      </c>
      <c r="AB4519">
        <v>1E-4</v>
      </c>
      <c r="AC4519">
        <v>8</v>
      </c>
      <c r="AD4519" s="5">
        <v>4.8756299556575593</v>
      </c>
      <c r="AE4519" s="5">
        <v>2.1864740866308052</v>
      </c>
      <c r="AF4519">
        <v>1</v>
      </c>
    </row>
    <row r="4520" spans="27:32" x14ac:dyDescent="0.3">
      <c r="AA4520" s="3">
        <v>14016.26</v>
      </c>
      <c r="AB4520">
        <v>1E-4</v>
      </c>
      <c r="AC4520">
        <v>8</v>
      </c>
      <c r="AD4520" s="5">
        <v>5.0621304507454381</v>
      </c>
      <c r="AE4520" s="5">
        <v>2.1607601169228308</v>
      </c>
      <c r="AF4520">
        <v>1</v>
      </c>
    </row>
    <row r="4521" spans="27:32" x14ac:dyDescent="0.3">
      <c r="AA4521" s="3">
        <v>48831.55</v>
      </c>
      <c r="AB4521">
        <v>1E-4</v>
      </c>
      <c r="AC4521">
        <v>7</v>
      </c>
      <c r="AD4521" s="5">
        <v>5.0385974637419562</v>
      </c>
      <c r="AE4521" s="5">
        <v>2.1809950984234563</v>
      </c>
      <c r="AF4521">
        <v>1</v>
      </c>
    </row>
    <row r="4522" spans="27:32" x14ac:dyDescent="0.3">
      <c r="AA4522" s="3">
        <v>11250.64</v>
      </c>
      <c r="AB4522">
        <v>1E-4</v>
      </c>
      <c r="AC4522">
        <v>8</v>
      </c>
      <c r="AD4522" s="5">
        <v>4.9377847882345476</v>
      </c>
      <c r="AE4522" s="5">
        <v>2.142510858899783</v>
      </c>
      <c r="AF4522">
        <v>1</v>
      </c>
    </row>
    <row r="4523" spans="27:32" x14ac:dyDescent="0.3">
      <c r="AA4523" s="3">
        <v>17001.03</v>
      </c>
      <c r="AB4523">
        <v>1E-4</v>
      </c>
      <c r="AC4523">
        <v>8</v>
      </c>
      <c r="AD4523" s="5">
        <v>5.0590236637294455</v>
      </c>
      <c r="AE4523" s="5">
        <v>2.1968448016723996</v>
      </c>
      <c r="AF4523">
        <v>1</v>
      </c>
    </row>
    <row r="4524" spans="27:32" x14ac:dyDescent="0.3">
      <c r="AA4524" s="3">
        <v>19532.2</v>
      </c>
      <c r="AB4524">
        <v>1E-4</v>
      </c>
      <c r="AC4524">
        <v>8</v>
      </c>
      <c r="AD4524" s="5">
        <v>5.0893381193221998</v>
      </c>
      <c r="AE4524" s="5">
        <v>2.1924446526420454</v>
      </c>
      <c r="AF4524">
        <v>1</v>
      </c>
    </row>
    <row r="4525" spans="27:32" x14ac:dyDescent="0.3">
      <c r="AA4525" s="3">
        <v>7912.33</v>
      </c>
      <c r="AB4525">
        <v>1E-4</v>
      </c>
      <c r="AC4525">
        <v>8</v>
      </c>
      <c r="AD4525" s="5">
        <v>5.0634217089395603</v>
      </c>
      <c r="AE4525" s="5">
        <v>2.1907648916160172</v>
      </c>
      <c r="AF4525">
        <v>1</v>
      </c>
    </row>
    <row r="4526" spans="27:32" x14ac:dyDescent="0.3">
      <c r="AA4526" s="3">
        <v>20396.21</v>
      </c>
      <c r="AB4526">
        <v>1E-4</v>
      </c>
      <c r="AC4526">
        <v>8</v>
      </c>
      <c r="AD4526" s="5">
        <v>5.0302056943962574</v>
      </c>
      <c r="AE4526" s="5">
        <v>2.1682307960112439</v>
      </c>
      <c r="AF4526">
        <v>1</v>
      </c>
    </row>
    <row r="4527" spans="27:32" x14ac:dyDescent="0.3">
      <c r="AA4527" s="3">
        <v>37993.86</v>
      </c>
      <c r="AB4527">
        <v>1E-4</v>
      </c>
      <c r="AC4527">
        <v>7</v>
      </c>
      <c r="AD4527" s="5">
        <v>5.0047810533180108</v>
      </c>
      <c r="AE4527" s="5">
        <v>2.1561926614985154</v>
      </c>
      <c r="AF4527">
        <v>1</v>
      </c>
    </row>
    <row r="4528" spans="27:32" x14ac:dyDescent="0.3">
      <c r="AA4528" s="3">
        <v>18988.61</v>
      </c>
      <c r="AB4528">
        <v>1E-4</v>
      </c>
      <c r="AC4528">
        <v>8</v>
      </c>
      <c r="AD4528" s="5">
        <v>5.0370480913657234</v>
      </c>
      <c r="AE4528" s="5">
        <v>2.1973527606990197</v>
      </c>
      <c r="AF4528">
        <v>1</v>
      </c>
    </row>
    <row r="4529" spans="27:32" x14ac:dyDescent="0.3">
      <c r="AA4529" s="3">
        <v>26456.23</v>
      </c>
      <c r="AB4529">
        <v>1E-4</v>
      </c>
      <c r="AC4529">
        <v>8</v>
      </c>
      <c r="AD4529" s="5">
        <v>4.9959529928318913</v>
      </c>
      <c r="AE4529" s="5">
        <v>2.2163050163580378</v>
      </c>
      <c r="AF4529">
        <v>1</v>
      </c>
    </row>
    <row r="4530" spans="27:32" x14ac:dyDescent="0.3">
      <c r="AA4530" s="3">
        <v>32020.400000000001</v>
      </c>
      <c r="AB4530">
        <v>1E-4</v>
      </c>
      <c r="AC4530">
        <v>7</v>
      </c>
      <c r="AD4530" s="5">
        <v>5.0509110835232809</v>
      </c>
      <c r="AE4530" s="5">
        <v>2.1790686984062591</v>
      </c>
      <c r="AF4530">
        <v>1</v>
      </c>
    </row>
    <row r="4531" spans="27:32" x14ac:dyDescent="0.3">
      <c r="AA4531" s="3">
        <v>7098.05</v>
      </c>
      <c r="AB4531">
        <v>1E-4</v>
      </c>
      <c r="AC4531">
        <v>8</v>
      </c>
      <c r="AD4531" s="5">
        <v>4.9580396514969616</v>
      </c>
      <c r="AE4531" s="5">
        <v>2.1738177847793638</v>
      </c>
      <c r="AF4531">
        <v>1</v>
      </c>
    </row>
    <row r="4532" spans="27:32" x14ac:dyDescent="0.3">
      <c r="AA4532" s="3">
        <v>12557.15</v>
      </c>
      <c r="AB4532">
        <v>1E-4</v>
      </c>
      <c r="AC4532">
        <v>8</v>
      </c>
      <c r="AD4532" s="5">
        <v>5.0959115127274126</v>
      </c>
      <c r="AE4532" s="5">
        <v>2.2696590402265953</v>
      </c>
      <c r="AF4532">
        <v>1</v>
      </c>
    </row>
    <row r="4533" spans="27:32" x14ac:dyDescent="0.3">
      <c r="AA4533" s="3">
        <v>4411.1400000000003</v>
      </c>
      <c r="AB4533">
        <v>1E-4</v>
      </c>
      <c r="AC4533">
        <v>8</v>
      </c>
      <c r="AD4533" s="5">
        <v>4.9278912891775413</v>
      </c>
      <c r="AE4533" s="5">
        <v>2.1644346095918086</v>
      </c>
      <c r="AF4533">
        <v>1</v>
      </c>
    </row>
    <row r="4534" spans="27:32" x14ac:dyDescent="0.3">
      <c r="AA4534" s="3">
        <v>5383.74</v>
      </c>
      <c r="AB4534">
        <v>1E-4</v>
      </c>
      <c r="AC4534">
        <v>8</v>
      </c>
      <c r="AD4534" s="5">
        <v>5.0970082407528849</v>
      </c>
      <c r="AE4534" s="5">
        <v>2.2409435495275956</v>
      </c>
      <c r="AF4534">
        <v>1</v>
      </c>
    </row>
    <row r="4535" spans="27:32" x14ac:dyDescent="0.3">
      <c r="AA4535" s="3">
        <v>28155.8</v>
      </c>
      <c r="AB4535">
        <v>1E-4</v>
      </c>
      <c r="AC4535">
        <v>8</v>
      </c>
      <c r="AD4535" s="5">
        <v>5.0236171313420321</v>
      </c>
      <c r="AE4535" s="5">
        <v>2.1273421054843737</v>
      </c>
      <c r="AF4535">
        <v>1</v>
      </c>
    </row>
    <row r="4536" spans="27:32" x14ac:dyDescent="0.3">
      <c r="AA4536" s="3">
        <v>21986.02</v>
      </c>
      <c r="AB4536">
        <v>1E-4</v>
      </c>
      <c r="AC4536">
        <v>8</v>
      </c>
      <c r="AD4536" s="5">
        <v>4.9215133765231434</v>
      </c>
      <c r="AE4536" s="5">
        <v>2.2008215481004916</v>
      </c>
      <c r="AF4536">
        <v>1</v>
      </c>
    </row>
    <row r="4537" spans="27:32" x14ac:dyDescent="0.3">
      <c r="AA4537" s="3">
        <v>15483.17</v>
      </c>
      <c r="AB4537">
        <v>1E-4</v>
      </c>
      <c r="AC4537">
        <v>8</v>
      </c>
      <c r="AD4537" s="5">
        <v>5.2099204145169749</v>
      </c>
      <c r="AE4537" s="5">
        <v>2.2187330975089745</v>
      </c>
      <c r="AF4537">
        <v>1</v>
      </c>
    </row>
    <row r="4538" spans="27:32" x14ac:dyDescent="0.3">
      <c r="AA4538" s="3">
        <v>21777.040000000001</v>
      </c>
      <c r="AB4538">
        <v>1E-4</v>
      </c>
      <c r="AC4538">
        <v>8</v>
      </c>
      <c r="AD4538" s="5">
        <v>4.8528997527115534</v>
      </c>
      <c r="AE4538" s="5">
        <v>2.2436490795606883</v>
      </c>
      <c r="AF4538">
        <v>1</v>
      </c>
    </row>
    <row r="4539" spans="27:32" x14ac:dyDescent="0.3">
      <c r="AA4539" s="3">
        <v>23575.79</v>
      </c>
      <c r="AB4539">
        <v>1E-4</v>
      </c>
      <c r="AC4539">
        <v>8</v>
      </c>
      <c r="AD4539" s="5">
        <v>4.7807186027781814</v>
      </c>
      <c r="AE4539" s="5">
        <v>2.1959904459752342</v>
      </c>
      <c r="AF4539">
        <v>1</v>
      </c>
    </row>
    <row r="4540" spans="27:32" x14ac:dyDescent="0.3">
      <c r="AA4540" s="3">
        <v>42161.04</v>
      </c>
      <c r="AB4540">
        <v>1E-4</v>
      </c>
      <c r="AC4540">
        <v>7</v>
      </c>
      <c r="AD4540" s="5">
        <v>4.8763334287234379</v>
      </c>
      <c r="AE4540" s="5">
        <v>2.1735027828859623</v>
      </c>
      <c r="AF4540">
        <v>1</v>
      </c>
    </row>
    <row r="4541" spans="27:32" x14ac:dyDescent="0.3">
      <c r="AA4541" s="3">
        <v>36927.65</v>
      </c>
      <c r="AB4541">
        <v>1E-4</v>
      </c>
      <c r="AC4541">
        <v>7</v>
      </c>
      <c r="AD4541" s="5">
        <v>4.8951809697106841</v>
      </c>
      <c r="AE4541" s="5">
        <v>2.160347099029166</v>
      </c>
      <c r="AF4541">
        <v>1</v>
      </c>
    </row>
    <row r="4542" spans="27:32" x14ac:dyDescent="0.3">
      <c r="AA4542" s="3">
        <v>10515.45</v>
      </c>
      <c r="AB4542">
        <v>1E-4</v>
      </c>
      <c r="AC4542">
        <v>8</v>
      </c>
      <c r="AD4542" s="5">
        <v>5.0000610429488912</v>
      </c>
      <c r="AE4542" s="5">
        <v>2.2080769951468837</v>
      </c>
      <c r="AF4542">
        <v>1</v>
      </c>
    </row>
    <row r="4543" spans="27:32" x14ac:dyDescent="0.3">
      <c r="AA4543" s="3">
        <v>18776.25</v>
      </c>
      <c r="AB4543">
        <v>1E-4</v>
      </c>
      <c r="AC4543">
        <v>8</v>
      </c>
      <c r="AD4543" s="5">
        <v>5.0181637748171353</v>
      </c>
      <c r="AE4543" s="5">
        <v>2.1952891070022327</v>
      </c>
      <c r="AF4543">
        <v>1</v>
      </c>
    </row>
    <row r="4544" spans="27:32" x14ac:dyDescent="0.3">
      <c r="AA4544" s="3">
        <v>21047.9</v>
      </c>
      <c r="AB4544">
        <v>1E-4</v>
      </c>
      <c r="AC4544">
        <v>8</v>
      </c>
      <c r="AD4544" s="5">
        <v>5.0758728227064678</v>
      </c>
      <c r="AE4544" s="5">
        <v>2.1971546990785908</v>
      </c>
      <c r="AF4544">
        <v>1</v>
      </c>
    </row>
    <row r="4545" spans="27:32" x14ac:dyDescent="0.3">
      <c r="AA4545" s="3">
        <v>2801.26</v>
      </c>
      <c r="AB4545">
        <v>1E-4</v>
      </c>
      <c r="AC4545">
        <v>8</v>
      </c>
      <c r="AD4545" s="5">
        <v>4.980350549506003</v>
      </c>
      <c r="AE4545" s="5">
        <v>2.1962045927654517</v>
      </c>
      <c r="AF4545">
        <v>1</v>
      </c>
    </row>
    <row r="4546" spans="27:32" x14ac:dyDescent="0.3">
      <c r="AA4546" s="3">
        <v>-30413.18</v>
      </c>
      <c r="AB4546">
        <v>1E-4</v>
      </c>
      <c r="AC4546">
        <v>9</v>
      </c>
      <c r="AD4546" s="5">
        <v>4.921671453010708</v>
      </c>
      <c r="AE4546" s="5">
        <v>2.2023255887427502</v>
      </c>
      <c r="AF4546">
        <v>1</v>
      </c>
    </row>
    <row r="4547" spans="27:32" x14ac:dyDescent="0.3">
      <c r="AA4547" s="3">
        <v>20906.34</v>
      </c>
      <c r="AB4547">
        <v>1E-4</v>
      </c>
      <c r="AC4547">
        <v>8</v>
      </c>
      <c r="AD4547" s="5">
        <v>5.0491312395012313</v>
      </c>
      <c r="AE4547" s="5">
        <v>2.2147094085456143</v>
      </c>
      <c r="AF4547">
        <v>1</v>
      </c>
    </row>
    <row r="4548" spans="27:32" x14ac:dyDescent="0.3">
      <c r="AA4548" s="3">
        <v>20071.77</v>
      </c>
      <c r="AB4548">
        <v>1E-4</v>
      </c>
      <c r="AC4548">
        <v>8</v>
      </c>
      <c r="AD4548" s="5">
        <v>4.9918811185050842</v>
      </c>
      <c r="AE4548" s="5">
        <v>2.2245654846649749</v>
      </c>
      <c r="AF4548">
        <v>1</v>
      </c>
    </row>
    <row r="4549" spans="27:32" x14ac:dyDescent="0.3">
      <c r="AA4549" s="3">
        <v>36320.36</v>
      </c>
      <c r="AB4549">
        <v>1E-4</v>
      </c>
      <c r="AC4549">
        <v>7</v>
      </c>
      <c r="AD4549" s="5">
        <v>4.9147657251906276</v>
      </c>
      <c r="AE4549" s="5">
        <v>2.0836137549820499</v>
      </c>
      <c r="AF4549">
        <v>1</v>
      </c>
    </row>
    <row r="4550" spans="27:32" x14ac:dyDescent="0.3">
      <c r="AA4550" s="3">
        <v>-5844.09</v>
      </c>
      <c r="AB4550">
        <v>1E-4</v>
      </c>
      <c r="AC4550">
        <v>9</v>
      </c>
      <c r="AD4550" s="5">
        <v>5.0035244144627891</v>
      </c>
      <c r="AE4550" s="5">
        <v>2.1345260626495475</v>
      </c>
      <c r="AF4550">
        <v>1</v>
      </c>
    </row>
    <row r="4551" spans="27:32" x14ac:dyDescent="0.3">
      <c r="AA4551" s="3">
        <v>14330.88</v>
      </c>
      <c r="AB4551">
        <v>1E-4</v>
      </c>
      <c r="AC4551">
        <v>8</v>
      </c>
      <c r="AD4551" s="5">
        <v>5.2431207018565047</v>
      </c>
      <c r="AE4551" s="5">
        <v>2.2507895548420271</v>
      </c>
      <c r="AF4551">
        <v>1</v>
      </c>
    </row>
    <row r="4552" spans="27:32" x14ac:dyDescent="0.3">
      <c r="AA4552" s="3">
        <v>22674.55</v>
      </c>
      <c r="AB4552">
        <v>1E-4</v>
      </c>
      <c r="AC4552">
        <v>8</v>
      </c>
      <c r="AD4552" s="5">
        <v>4.9281111549604955</v>
      </c>
      <c r="AE4552" s="5">
        <v>2.1246815482617198</v>
      </c>
      <c r="AF4552">
        <v>1</v>
      </c>
    </row>
    <row r="4553" spans="27:32" x14ac:dyDescent="0.3">
      <c r="AA4553" s="3">
        <v>49433.18</v>
      </c>
      <c r="AB4553">
        <v>1E-4</v>
      </c>
      <c r="AC4553">
        <v>6</v>
      </c>
      <c r="AD4553" s="5">
        <v>4.9584703538474191</v>
      </c>
      <c r="AE4553" s="5">
        <v>2.166035504026059</v>
      </c>
      <c r="AF4553">
        <v>1</v>
      </c>
    </row>
    <row r="4554" spans="27:32" x14ac:dyDescent="0.3">
      <c r="AA4554" s="3">
        <v>42912.01</v>
      </c>
      <c r="AB4554">
        <v>1E-4</v>
      </c>
      <c r="AC4554">
        <v>7</v>
      </c>
      <c r="AD4554" s="5">
        <v>5.1693911298576154</v>
      </c>
      <c r="AE4554" s="5">
        <v>2.2699737787520338</v>
      </c>
      <c r="AF4554">
        <v>1</v>
      </c>
    </row>
    <row r="4555" spans="27:32" x14ac:dyDescent="0.3">
      <c r="AA4555" s="3">
        <v>5576.37</v>
      </c>
      <c r="AB4555">
        <v>1E-4</v>
      </c>
      <c r="AC4555">
        <v>8</v>
      </c>
      <c r="AD4555" s="5">
        <v>5.2443430298723337</v>
      </c>
      <c r="AE4555" s="5">
        <v>2.2019569722474941</v>
      </c>
      <c r="AF4555">
        <v>1</v>
      </c>
    </row>
    <row r="4556" spans="27:32" x14ac:dyDescent="0.3">
      <c r="AA4556" s="3">
        <v>26445.47</v>
      </c>
      <c r="AB4556">
        <v>1E-4</v>
      </c>
      <c r="AC4556">
        <v>8</v>
      </c>
      <c r="AD4556" s="5">
        <v>5.0415558457033622</v>
      </c>
      <c r="AE4556" s="5">
        <v>2.2112154954649412</v>
      </c>
      <c r="AF4556">
        <v>1</v>
      </c>
    </row>
    <row r="4557" spans="27:32" x14ac:dyDescent="0.3">
      <c r="AA4557" s="3">
        <v>12970.73</v>
      </c>
      <c r="AB4557">
        <v>1E-4</v>
      </c>
      <c r="AC4557">
        <v>8</v>
      </c>
      <c r="AD4557" s="5">
        <v>4.8117867983949747</v>
      </c>
      <c r="AE4557" s="5">
        <v>2.2996423906131618</v>
      </c>
      <c r="AF4557">
        <v>1</v>
      </c>
    </row>
    <row r="4558" spans="27:32" x14ac:dyDescent="0.3">
      <c r="AA4558" s="3">
        <v>-10155.27</v>
      </c>
      <c r="AB4558">
        <v>1E-4</v>
      </c>
      <c r="AC4558">
        <v>9</v>
      </c>
      <c r="AD4558" s="5">
        <v>5.0355940131241717</v>
      </c>
      <c r="AE4558" s="5">
        <v>2.1635944164607936</v>
      </c>
      <c r="AF4558">
        <v>1</v>
      </c>
    </row>
    <row r="4559" spans="27:32" x14ac:dyDescent="0.3">
      <c r="AA4559" s="3">
        <v>3156</v>
      </c>
      <c r="AB4559">
        <v>1E-4</v>
      </c>
      <c r="AC4559">
        <v>8</v>
      </c>
      <c r="AD4559" s="5">
        <v>4.8103644395788239</v>
      </c>
      <c r="AE4559" s="5">
        <v>2.2433966048424305</v>
      </c>
      <c r="AF4559">
        <v>1</v>
      </c>
    </row>
    <row r="4560" spans="27:32" x14ac:dyDescent="0.3">
      <c r="AA4560" s="3">
        <v>-5837.3769008721429</v>
      </c>
      <c r="AB4560">
        <v>1E-4</v>
      </c>
      <c r="AC4560">
        <v>8</v>
      </c>
      <c r="AD4560" s="5">
        <v>5.0837529160105639</v>
      </c>
      <c r="AE4560" s="5">
        <v>2.1745004538721724</v>
      </c>
      <c r="AF4560">
        <v>0</v>
      </c>
    </row>
    <row r="4561" spans="27:32" x14ac:dyDescent="0.3">
      <c r="AA4561" s="3">
        <v>21427.74</v>
      </c>
      <c r="AB4561">
        <v>1E-4</v>
      </c>
      <c r="AC4561">
        <v>8</v>
      </c>
      <c r="AD4561" s="5">
        <v>5.1101927164513361</v>
      </c>
      <c r="AE4561" s="5">
        <v>2.19189130953206</v>
      </c>
      <c r="AF4561">
        <v>1</v>
      </c>
    </row>
    <row r="4562" spans="27:32" x14ac:dyDescent="0.3">
      <c r="AA4562" s="3">
        <v>-17900.78</v>
      </c>
      <c r="AB4562">
        <v>1E-4</v>
      </c>
      <c r="AC4562">
        <v>9</v>
      </c>
      <c r="AD4562" s="5">
        <v>4.8776850830887826</v>
      </c>
      <c r="AE4562" s="5">
        <v>2.1676153119310952</v>
      </c>
      <c r="AF4562">
        <v>1</v>
      </c>
    </row>
    <row r="4563" spans="27:32" x14ac:dyDescent="0.3">
      <c r="AA4563" s="3">
        <v>46894.3</v>
      </c>
      <c r="AB4563">
        <v>1E-4</v>
      </c>
      <c r="AC4563">
        <v>7</v>
      </c>
      <c r="AD4563" s="5">
        <v>4.9656772717086248</v>
      </c>
      <c r="AE4563" s="5">
        <v>2.1974357132394751</v>
      </c>
      <c r="AF4563">
        <v>1</v>
      </c>
    </row>
    <row r="4564" spans="27:32" x14ac:dyDescent="0.3">
      <c r="AA4564" s="3">
        <v>22903.37</v>
      </c>
      <c r="AB4564">
        <v>1E-4</v>
      </c>
      <c r="AC4564">
        <v>8</v>
      </c>
      <c r="AD4564" s="5">
        <v>4.854725015908401</v>
      </c>
      <c r="AE4564" s="5">
        <v>2.117882356280095</v>
      </c>
      <c r="AF4564">
        <v>1</v>
      </c>
    </row>
    <row r="4565" spans="27:32" x14ac:dyDescent="0.3">
      <c r="AA4565" s="3">
        <v>-6222.9</v>
      </c>
      <c r="AB4565">
        <v>1E-4</v>
      </c>
      <c r="AC4565">
        <v>9</v>
      </c>
      <c r="AD4565" s="5">
        <v>4.9851861048071715</v>
      </c>
      <c r="AE4565" s="5">
        <v>2.2162909034951261</v>
      </c>
      <c r="AF4565">
        <v>1</v>
      </c>
    </row>
    <row r="4566" spans="27:32" x14ac:dyDescent="0.3">
      <c r="AA4566" s="3">
        <v>29852.69</v>
      </c>
      <c r="AB4566">
        <v>1E-4</v>
      </c>
      <c r="AC4566">
        <v>7</v>
      </c>
      <c r="AD4566" s="5">
        <v>4.9849119539794513</v>
      </c>
      <c r="AE4566" s="5">
        <v>2.1678676768468992</v>
      </c>
      <c r="AF4566">
        <v>1</v>
      </c>
    </row>
    <row r="4567" spans="27:32" x14ac:dyDescent="0.3">
      <c r="AA4567" s="3">
        <v>308.31</v>
      </c>
      <c r="AB4567">
        <v>1E-4</v>
      </c>
      <c r="AC4567">
        <v>8</v>
      </c>
      <c r="AD4567" s="5">
        <v>4.9415694054995427</v>
      </c>
      <c r="AE4567" s="5">
        <v>2.2279392954989947</v>
      </c>
      <c r="AF4567">
        <v>1</v>
      </c>
    </row>
    <row r="4568" spans="27:32" x14ac:dyDescent="0.3">
      <c r="AA4568" s="3">
        <v>19189.09</v>
      </c>
      <c r="AB4568">
        <v>1E-4</v>
      </c>
      <c r="AC4568">
        <v>8</v>
      </c>
      <c r="AD4568" s="5">
        <v>4.9595137852633346</v>
      </c>
      <c r="AE4568" s="5">
        <v>2.2142886847349339</v>
      </c>
      <c r="AF4568">
        <v>1</v>
      </c>
    </row>
    <row r="4569" spans="27:32" x14ac:dyDescent="0.3">
      <c r="AA4569" s="3">
        <v>291.93</v>
      </c>
      <c r="AB4569">
        <v>1E-4</v>
      </c>
      <c r="AC4569">
        <v>8</v>
      </c>
      <c r="AD4569" s="5">
        <v>4.9361385511956346</v>
      </c>
      <c r="AE4569" s="5">
        <v>2.1287824235993371</v>
      </c>
      <c r="AF4569">
        <v>1</v>
      </c>
    </row>
    <row r="4570" spans="27:32" x14ac:dyDescent="0.3">
      <c r="AA4570" s="3">
        <v>26463.279999999999</v>
      </c>
      <c r="AB4570">
        <v>1E-4</v>
      </c>
      <c r="AC4570">
        <v>8</v>
      </c>
      <c r="AD4570" s="5">
        <v>4.9165383350102836</v>
      </c>
      <c r="AE4570" s="5">
        <v>2.1746072027767043</v>
      </c>
      <c r="AF4570">
        <v>1</v>
      </c>
    </row>
    <row r="4571" spans="27:32" x14ac:dyDescent="0.3">
      <c r="AA4571" s="3">
        <v>24378.26</v>
      </c>
      <c r="AB4571">
        <v>1E-4</v>
      </c>
      <c r="AC4571">
        <v>8</v>
      </c>
      <c r="AD4571" s="5">
        <v>4.9392933040540008</v>
      </c>
      <c r="AE4571" s="5">
        <v>2.2077386752071972</v>
      </c>
      <c r="AF4571">
        <v>1</v>
      </c>
    </row>
    <row r="4572" spans="27:32" x14ac:dyDescent="0.3">
      <c r="AA4572" s="3">
        <v>13601.63</v>
      </c>
      <c r="AB4572">
        <v>1E-4</v>
      </c>
      <c r="AC4572">
        <v>8</v>
      </c>
      <c r="AD4572" s="5">
        <v>4.9085651085655373</v>
      </c>
      <c r="AE4572" s="5">
        <v>2.2083549558356479</v>
      </c>
      <c r="AF4572">
        <v>1</v>
      </c>
    </row>
    <row r="4573" spans="27:32" x14ac:dyDescent="0.3">
      <c r="AA4573" s="3">
        <v>20982.53</v>
      </c>
      <c r="AB4573">
        <v>1E-4</v>
      </c>
      <c r="AC4573">
        <v>8</v>
      </c>
      <c r="AD4573" s="5">
        <v>5.0414278720104129</v>
      </c>
      <c r="AE4573" s="5">
        <v>2.1498230652674506</v>
      </c>
      <c r="AF4573">
        <v>1</v>
      </c>
    </row>
    <row r="4574" spans="27:32" x14ac:dyDescent="0.3">
      <c r="AA4574" s="3">
        <v>25341.74</v>
      </c>
      <c r="AB4574">
        <v>1E-4</v>
      </c>
      <c r="AC4574">
        <v>8</v>
      </c>
      <c r="AD4574" s="5">
        <v>4.8021900371526485</v>
      </c>
      <c r="AE4574" s="5">
        <v>2.0805316202422892</v>
      </c>
      <c r="AF4574">
        <v>1</v>
      </c>
    </row>
    <row r="4575" spans="27:32" x14ac:dyDescent="0.3">
      <c r="AA4575" s="3">
        <v>34233.599999999999</v>
      </c>
      <c r="AB4575">
        <v>1E-4</v>
      </c>
      <c r="AC4575">
        <v>7</v>
      </c>
      <c r="AD4575" s="5">
        <v>5.1876363488705746</v>
      </c>
      <c r="AE4575" s="5">
        <v>2.1577154720676321</v>
      </c>
      <c r="AF4575">
        <v>1</v>
      </c>
    </row>
    <row r="4576" spans="27:32" x14ac:dyDescent="0.3">
      <c r="AA4576" s="3">
        <v>28714.36</v>
      </c>
      <c r="AB4576">
        <v>1E-4</v>
      </c>
      <c r="AC4576">
        <v>8</v>
      </c>
      <c r="AD4576" s="5">
        <v>5.043703106266749</v>
      </c>
      <c r="AE4576" s="5">
        <v>2.1850624599519466</v>
      </c>
      <c r="AF4576">
        <v>1</v>
      </c>
    </row>
    <row r="4577" spans="27:32" x14ac:dyDescent="0.3">
      <c r="AA4577" s="3">
        <v>44700.99</v>
      </c>
      <c r="AB4577">
        <v>1E-4</v>
      </c>
      <c r="AC4577">
        <v>7</v>
      </c>
      <c r="AD4577" s="5">
        <v>5.0184072153148982</v>
      </c>
      <c r="AE4577" s="5">
        <v>2.197876911466413</v>
      </c>
      <c r="AF4577">
        <v>1</v>
      </c>
    </row>
    <row r="4578" spans="27:32" x14ac:dyDescent="0.3">
      <c r="AA4578" s="3">
        <v>19568.11</v>
      </c>
      <c r="AB4578">
        <v>1E-4</v>
      </c>
      <c r="AC4578">
        <v>8</v>
      </c>
      <c r="AD4578" s="5">
        <v>5.0328822991150517</v>
      </c>
      <c r="AE4578" s="5">
        <v>2.1905083840331998</v>
      </c>
      <c r="AF4578">
        <v>1</v>
      </c>
    </row>
    <row r="4579" spans="27:32" x14ac:dyDescent="0.3">
      <c r="AA4579" s="3">
        <v>20679.560000000001</v>
      </c>
      <c r="AB4579">
        <v>1E-4</v>
      </c>
      <c r="AC4579">
        <v>8</v>
      </c>
      <c r="AD4579" s="5">
        <v>4.9714417996423377</v>
      </c>
      <c r="AE4579" s="5">
        <v>2.1952266698517691</v>
      </c>
      <c r="AF4579">
        <v>1</v>
      </c>
    </row>
    <row r="4580" spans="27:32" x14ac:dyDescent="0.3">
      <c r="AA4580" s="3">
        <v>42678.84</v>
      </c>
      <c r="AB4580">
        <v>1E-4</v>
      </c>
      <c r="AC4580">
        <v>7</v>
      </c>
      <c r="AD4580" s="5">
        <v>5.0055670414893667</v>
      </c>
      <c r="AE4580" s="5">
        <v>2.1280252655300962</v>
      </c>
      <c r="AF4580">
        <v>1</v>
      </c>
    </row>
    <row r="4581" spans="27:32" x14ac:dyDescent="0.3">
      <c r="AA4581" s="3">
        <v>-19502.493706857975</v>
      </c>
      <c r="AB4581">
        <v>1E-4</v>
      </c>
      <c r="AC4581">
        <v>9</v>
      </c>
      <c r="AD4581" s="5">
        <v>5.0111015683732925</v>
      </c>
      <c r="AE4581" s="5">
        <v>2.2895594830618311</v>
      </c>
      <c r="AF4581">
        <v>0</v>
      </c>
    </row>
    <row r="4582" spans="27:32" x14ac:dyDescent="0.3">
      <c r="AA4582" s="3">
        <v>22450.11</v>
      </c>
      <c r="AB4582">
        <v>1E-4</v>
      </c>
      <c r="AC4582">
        <v>8</v>
      </c>
      <c r="AD4582" s="5">
        <v>5.0639824150231032</v>
      </c>
      <c r="AE4582" s="5">
        <v>2.2158380656171324</v>
      </c>
      <c r="AF4582">
        <v>1</v>
      </c>
    </row>
    <row r="4583" spans="27:32" x14ac:dyDescent="0.3">
      <c r="AA4583" s="3">
        <v>35198.14</v>
      </c>
      <c r="AB4583">
        <v>1E-4</v>
      </c>
      <c r="AC4583">
        <v>7</v>
      </c>
      <c r="AD4583" s="5">
        <v>4.973065448753057</v>
      </c>
      <c r="AE4583" s="5">
        <v>2.170255093397079</v>
      </c>
      <c r="AF4583">
        <v>1</v>
      </c>
    </row>
    <row r="4584" spans="27:32" x14ac:dyDescent="0.3">
      <c r="AA4584" s="3">
        <v>36579.83</v>
      </c>
      <c r="AB4584">
        <v>1E-4</v>
      </c>
      <c r="AC4584">
        <v>7</v>
      </c>
      <c r="AD4584" s="5">
        <v>4.8694992699399258</v>
      </c>
      <c r="AE4584" s="5">
        <v>2.1906218221781462</v>
      </c>
      <c r="AF4584">
        <v>1</v>
      </c>
    </row>
    <row r="4585" spans="27:32" x14ac:dyDescent="0.3">
      <c r="AA4585" s="3">
        <v>2550.7399999999998</v>
      </c>
      <c r="AB4585">
        <v>1E-4</v>
      </c>
      <c r="AC4585">
        <v>8</v>
      </c>
      <c r="AD4585" s="5">
        <v>4.9816753705066965</v>
      </c>
      <c r="AE4585" s="5">
        <v>2.1955171042962478</v>
      </c>
      <c r="AF4585">
        <v>1</v>
      </c>
    </row>
    <row r="4586" spans="27:32" x14ac:dyDescent="0.3">
      <c r="AA4586" s="3">
        <v>12913.97</v>
      </c>
      <c r="AB4586">
        <v>1E-4</v>
      </c>
      <c r="AC4586">
        <v>8</v>
      </c>
      <c r="AD4586" s="5">
        <v>5.0184174154968204</v>
      </c>
      <c r="AE4586" s="5">
        <v>2.2335820372419133</v>
      </c>
      <c r="AF4586">
        <v>1</v>
      </c>
    </row>
    <row r="4587" spans="27:32" x14ac:dyDescent="0.3">
      <c r="AA4587" s="3">
        <v>18339.77</v>
      </c>
      <c r="AB4587">
        <v>1E-4</v>
      </c>
      <c r="AC4587">
        <v>8</v>
      </c>
      <c r="AD4587" s="5">
        <v>5.0176021749781805</v>
      </c>
      <c r="AE4587" s="5">
        <v>2.2527697340651991</v>
      </c>
      <c r="AF4587">
        <v>1</v>
      </c>
    </row>
    <row r="4588" spans="27:32" x14ac:dyDescent="0.3">
      <c r="AA4588" s="3">
        <v>7917.25</v>
      </c>
      <c r="AB4588">
        <v>1E-4</v>
      </c>
      <c r="AC4588">
        <v>8</v>
      </c>
      <c r="AD4588" s="5">
        <v>4.9517103114552103</v>
      </c>
      <c r="AE4588" s="5">
        <v>2.2067695800558238</v>
      </c>
      <c r="AF4588">
        <v>1</v>
      </c>
    </row>
    <row r="4589" spans="27:32" x14ac:dyDescent="0.3">
      <c r="AA4589" s="3">
        <v>27204.74</v>
      </c>
      <c r="AB4589">
        <v>1E-4</v>
      </c>
      <c r="AC4589">
        <v>8</v>
      </c>
      <c r="AD4589" s="5">
        <v>5.0922632061183428</v>
      </c>
      <c r="AE4589" s="5">
        <v>2.1425832258861841</v>
      </c>
      <c r="AF4589">
        <v>1</v>
      </c>
    </row>
    <row r="4590" spans="27:32" x14ac:dyDescent="0.3">
      <c r="AA4590" s="3">
        <v>16191.35</v>
      </c>
      <c r="AB4590">
        <v>1E-4</v>
      </c>
      <c r="AC4590">
        <v>8</v>
      </c>
      <c r="AD4590" s="5">
        <v>5.0694854551250526</v>
      </c>
      <c r="AE4590" s="5">
        <v>2.2698652390701222</v>
      </c>
      <c r="AF4590">
        <v>1</v>
      </c>
    </row>
    <row r="4591" spans="27:32" x14ac:dyDescent="0.3">
      <c r="AA4591" s="3">
        <v>-16008.739128082147</v>
      </c>
      <c r="AB4591">
        <v>1E-4</v>
      </c>
      <c r="AC4591">
        <v>8</v>
      </c>
      <c r="AD4591" s="5">
        <v>5.0200238148858345</v>
      </c>
      <c r="AE4591" s="5">
        <v>2.2088320287151371</v>
      </c>
      <c r="AF4591">
        <v>0</v>
      </c>
    </row>
    <row r="4592" spans="27:32" x14ac:dyDescent="0.3">
      <c r="AA4592" s="3">
        <v>6823.45</v>
      </c>
      <c r="AB4592">
        <v>1E-4</v>
      </c>
      <c r="AC4592">
        <v>8</v>
      </c>
      <c r="AD4592" s="5">
        <v>5.0566108983870564</v>
      </c>
      <c r="AE4592" s="5">
        <v>2.2293908556380742</v>
      </c>
      <c r="AF4592">
        <v>1</v>
      </c>
    </row>
    <row r="4593" spans="27:32" x14ac:dyDescent="0.3">
      <c r="AA4593" s="3">
        <v>17096.71</v>
      </c>
      <c r="AB4593">
        <v>1E-4</v>
      </c>
      <c r="AC4593">
        <v>8</v>
      </c>
      <c r="AD4593" s="5">
        <v>4.8217982103760875</v>
      </c>
      <c r="AE4593" s="5">
        <v>2.1868398180378215</v>
      </c>
      <c r="AF4593">
        <v>1</v>
      </c>
    </row>
    <row r="4594" spans="27:32" x14ac:dyDescent="0.3">
      <c r="AA4594" s="3">
        <v>7461.46</v>
      </c>
      <c r="AB4594">
        <v>1E-4</v>
      </c>
      <c r="AC4594">
        <v>8</v>
      </c>
      <c r="AD4594" s="5">
        <v>5.0003194911328182</v>
      </c>
      <c r="AE4594" s="5">
        <v>2.1367946852010817</v>
      </c>
      <c r="AF4594">
        <v>1</v>
      </c>
    </row>
    <row r="4595" spans="27:32" x14ac:dyDescent="0.3">
      <c r="AA4595" s="3">
        <v>15936.61</v>
      </c>
      <c r="AB4595">
        <v>1E-4</v>
      </c>
      <c r="AC4595">
        <v>8</v>
      </c>
      <c r="AD4595" s="5">
        <v>4.9676625480781222</v>
      </c>
      <c r="AE4595" s="5">
        <v>2.2223110492478035</v>
      </c>
      <c r="AF4595">
        <v>1</v>
      </c>
    </row>
    <row r="4596" spans="27:32" x14ac:dyDescent="0.3">
      <c r="AA4596" s="3">
        <v>11814.45</v>
      </c>
      <c r="AB4596">
        <v>1E-4</v>
      </c>
      <c r="AC4596">
        <v>8</v>
      </c>
      <c r="AD4596" s="5">
        <v>5.001604514811806</v>
      </c>
      <c r="AE4596" s="5">
        <v>2.1661670396748121</v>
      </c>
      <c r="AF4596">
        <v>1</v>
      </c>
    </row>
    <row r="4597" spans="27:32" x14ac:dyDescent="0.3">
      <c r="AA4597" s="3">
        <v>18232.61</v>
      </c>
      <c r="AB4597">
        <v>1E-4</v>
      </c>
      <c r="AC4597">
        <v>8</v>
      </c>
      <c r="AD4597" s="5">
        <v>5.100393236441044</v>
      </c>
      <c r="AE4597" s="5">
        <v>2.201431790950962</v>
      </c>
      <c r="AF4597">
        <v>1</v>
      </c>
    </row>
    <row r="4598" spans="27:32" x14ac:dyDescent="0.3">
      <c r="AA4598" s="3">
        <v>8481.06</v>
      </c>
      <c r="AB4598">
        <v>1E-4</v>
      </c>
      <c r="AC4598">
        <v>8</v>
      </c>
      <c r="AD4598" s="5">
        <v>4.926447866150176</v>
      </c>
      <c r="AE4598" s="5">
        <v>2.1537520482399271</v>
      </c>
      <c r="AF4598">
        <v>1</v>
      </c>
    </row>
    <row r="4599" spans="27:32" x14ac:dyDescent="0.3">
      <c r="AA4599" s="3">
        <v>22190.76</v>
      </c>
      <c r="AB4599">
        <v>1E-4</v>
      </c>
      <c r="AC4599">
        <v>8</v>
      </c>
      <c r="AD4599" s="5">
        <v>5.0998989000380943</v>
      </c>
      <c r="AE4599" s="5">
        <v>2.2371379385404704</v>
      </c>
      <c r="AF4599">
        <v>1</v>
      </c>
    </row>
    <row r="4600" spans="27:32" x14ac:dyDescent="0.3">
      <c r="AA4600" s="3">
        <v>8928</v>
      </c>
      <c r="AB4600">
        <v>1E-4</v>
      </c>
      <c r="AC4600">
        <v>8</v>
      </c>
      <c r="AD4600" s="5">
        <v>5.0841831141756204</v>
      </c>
      <c r="AE4600" s="5">
        <v>2.0291172506878623</v>
      </c>
      <c r="AF4600">
        <v>1</v>
      </c>
    </row>
    <row r="4601" spans="27:32" x14ac:dyDescent="0.3">
      <c r="AA4601" s="3">
        <v>14956.41</v>
      </c>
      <c r="AB4601">
        <v>1E-4</v>
      </c>
      <c r="AC4601">
        <v>8</v>
      </c>
      <c r="AD4601" s="5">
        <v>5.0658979282085355</v>
      </c>
      <c r="AE4601" s="5">
        <v>2.1830613569151138</v>
      </c>
      <c r="AF4601">
        <v>1</v>
      </c>
    </row>
    <row r="4602" spans="27:32" x14ac:dyDescent="0.3">
      <c r="AA4602" s="3">
        <v>38659.919999999998</v>
      </c>
      <c r="AB4602">
        <v>1E-4</v>
      </c>
      <c r="AC4602">
        <v>7</v>
      </c>
      <c r="AD4602" s="5">
        <v>5.0542219516079516</v>
      </c>
      <c r="AE4602" s="5">
        <v>2.2046535108264376</v>
      </c>
      <c r="AF4602">
        <v>1</v>
      </c>
    </row>
    <row r="4603" spans="27:32" x14ac:dyDescent="0.3">
      <c r="AA4603" s="3">
        <v>27292.02</v>
      </c>
      <c r="AB4603">
        <v>1E-4</v>
      </c>
      <c r="AC4603">
        <v>8</v>
      </c>
      <c r="AD4603" s="5">
        <v>4.9256134948812589</v>
      </c>
      <c r="AE4603" s="5">
        <v>2.182745142678479</v>
      </c>
      <c r="AF4603">
        <v>1</v>
      </c>
    </row>
    <row r="4604" spans="27:32" x14ac:dyDescent="0.3">
      <c r="AA4604" s="3">
        <v>12956.31</v>
      </c>
      <c r="AB4604">
        <v>1E-4</v>
      </c>
      <c r="AC4604">
        <v>8</v>
      </c>
      <c r="AD4604" s="5">
        <v>4.8271972472453699</v>
      </c>
      <c r="AE4604" s="5">
        <v>2.1823053044356264</v>
      </c>
      <c r="AF4604">
        <v>1</v>
      </c>
    </row>
    <row r="4605" spans="27:32" x14ac:dyDescent="0.3">
      <c r="AA4605" s="3">
        <v>3297.13</v>
      </c>
      <c r="AB4605">
        <v>1E-4</v>
      </c>
      <c r="AC4605">
        <v>8</v>
      </c>
      <c r="AD4605" s="5">
        <v>4.8749569382705689</v>
      </c>
      <c r="AE4605" s="5">
        <v>2.2364912795478209</v>
      </c>
      <c r="AF4605">
        <v>1</v>
      </c>
    </row>
    <row r="4606" spans="27:32" x14ac:dyDescent="0.3">
      <c r="AA4606" s="3">
        <v>26383.87</v>
      </c>
      <c r="AB4606">
        <v>1E-4</v>
      </c>
      <c r="AC4606">
        <v>8</v>
      </c>
      <c r="AD4606" s="5">
        <v>5.1585996616732359</v>
      </c>
      <c r="AE4606" s="5">
        <v>2.268238631081426</v>
      </c>
      <c r="AF4606">
        <v>1</v>
      </c>
    </row>
    <row r="4607" spans="27:32" x14ac:dyDescent="0.3">
      <c r="AA4607" s="3">
        <v>45913.05</v>
      </c>
      <c r="AB4607">
        <v>1E-4</v>
      </c>
      <c r="AC4607">
        <v>7</v>
      </c>
      <c r="AD4607" s="5">
        <v>4.9924151753601738</v>
      </c>
      <c r="AE4607" s="5">
        <v>2.2463783693362558</v>
      </c>
      <c r="AF4607">
        <v>1</v>
      </c>
    </row>
    <row r="4608" spans="27:32" x14ac:dyDescent="0.3">
      <c r="AA4608" s="3">
        <v>14099.93</v>
      </c>
      <c r="AB4608">
        <v>1E-4</v>
      </c>
      <c r="AC4608">
        <v>8</v>
      </c>
      <c r="AD4608" s="5">
        <v>5.1759885722237788</v>
      </c>
      <c r="AE4608" s="5">
        <v>2.120999795735512</v>
      </c>
      <c r="AF4608">
        <v>1</v>
      </c>
    </row>
    <row r="4609" spans="27:32" x14ac:dyDescent="0.3">
      <c r="AA4609" s="3">
        <v>19128.93</v>
      </c>
      <c r="AB4609">
        <v>1E-4</v>
      </c>
      <c r="AC4609">
        <v>8</v>
      </c>
      <c r="AD4609" s="5">
        <v>5.1151199999465202</v>
      </c>
      <c r="AE4609" s="5">
        <v>2.2019339125692134</v>
      </c>
      <c r="AF4609">
        <v>1</v>
      </c>
    </row>
    <row r="4610" spans="27:32" x14ac:dyDescent="0.3">
      <c r="AA4610" s="3">
        <v>21795.66</v>
      </c>
      <c r="AB4610">
        <v>1E-4</v>
      </c>
      <c r="AC4610">
        <v>8</v>
      </c>
      <c r="AD4610" s="5">
        <v>5.0397120179846988</v>
      </c>
      <c r="AE4610" s="5">
        <v>2.2288593201221518</v>
      </c>
      <c r="AF4610">
        <v>1</v>
      </c>
    </row>
    <row r="4611" spans="27:32" x14ac:dyDescent="0.3">
      <c r="AA4611" s="3">
        <v>21672.09</v>
      </c>
      <c r="AB4611">
        <v>1E-4</v>
      </c>
      <c r="AC4611">
        <v>8</v>
      </c>
      <c r="AD4611" s="5">
        <v>5.1210851363703096</v>
      </c>
      <c r="AE4611" s="5">
        <v>2.210757907028063</v>
      </c>
      <c r="AF4611">
        <v>1</v>
      </c>
    </row>
    <row r="4612" spans="27:32" x14ac:dyDescent="0.3">
      <c r="AA4612" s="3">
        <v>-23736.95</v>
      </c>
      <c r="AB4612">
        <v>1E-4</v>
      </c>
      <c r="AC4612">
        <v>9</v>
      </c>
      <c r="AD4612" s="5">
        <v>5.1306897115133143</v>
      </c>
      <c r="AE4612" s="5">
        <v>2.2619178318887085</v>
      </c>
      <c r="AF4612">
        <v>1</v>
      </c>
    </row>
    <row r="4613" spans="27:32" x14ac:dyDescent="0.3">
      <c r="AA4613" s="3">
        <v>25242.799999999999</v>
      </c>
      <c r="AB4613">
        <v>1E-4</v>
      </c>
      <c r="AC4613">
        <v>8</v>
      </c>
      <c r="AD4613" s="5">
        <v>4.9612893121541513</v>
      </c>
      <c r="AE4613" s="5">
        <v>2.1784023701542936</v>
      </c>
      <c r="AF4613">
        <v>1</v>
      </c>
    </row>
    <row r="4614" spans="27:32" x14ac:dyDescent="0.3">
      <c r="AA4614" s="3">
        <v>22478.59</v>
      </c>
      <c r="AB4614">
        <v>1E-4</v>
      </c>
      <c r="AC4614">
        <v>8</v>
      </c>
      <c r="AD4614" s="5">
        <v>5.0058193616876965</v>
      </c>
      <c r="AE4614" s="5">
        <v>2.152074559787295</v>
      </c>
      <c r="AF4614">
        <v>1</v>
      </c>
    </row>
    <row r="4615" spans="27:32" x14ac:dyDescent="0.3">
      <c r="AA4615" s="3">
        <v>22677.21</v>
      </c>
      <c r="AB4615">
        <v>1E-4</v>
      </c>
      <c r="AC4615">
        <v>8</v>
      </c>
      <c r="AD4615" s="5">
        <v>5.0235708768570326</v>
      </c>
      <c r="AE4615" s="5">
        <v>2.1679842819715174</v>
      </c>
      <c r="AF4615">
        <v>1</v>
      </c>
    </row>
    <row r="4616" spans="27:32" x14ac:dyDescent="0.3">
      <c r="AA4616" s="3">
        <v>-82.94</v>
      </c>
      <c r="AB4616">
        <v>1E-4</v>
      </c>
      <c r="AC4616">
        <v>9</v>
      </c>
      <c r="AD4616" s="5">
        <v>5.0389019151200589</v>
      </c>
      <c r="AE4616" s="5">
        <v>2.1756971750090486</v>
      </c>
      <c r="AF4616">
        <v>1</v>
      </c>
    </row>
    <row r="4617" spans="27:32" x14ac:dyDescent="0.3">
      <c r="AA4617" s="3">
        <v>26289.08</v>
      </c>
      <c r="AB4617">
        <v>1E-4</v>
      </c>
      <c r="AC4617">
        <v>8</v>
      </c>
      <c r="AD4617" s="5">
        <v>4.9514331889340824</v>
      </c>
      <c r="AE4617" s="5">
        <v>2.2420923241895534</v>
      </c>
      <c r="AF4617">
        <v>1</v>
      </c>
    </row>
    <row r="4618" spans="27:32" x14ac:dyDescent="0.3">
      <c r="AA4618" s="3">
        <v>-9283.5</v>
      </c>
      <c r="AB4618">
        <v>1E-4</v>
      </c>
      <c r="AC4618">
        <v>9</v>
      </c>
      <c r="AD4618" s="5">
        <v>4.9171722622599106</v>
      </c>
      <c r="AE4618" s="5">
        <v>2.1399064868120963</v>
      </c>
      <c r="AF4618">
        <v>1</v>
      </c>
    </row>
    <row r="4619" spans="27:32" x14ac:dyDescent="0.3">
      <c r="AA4619" s="3">
        <v>16292.84</v>
      </c>
      <c r="AB4619">
        <v>1E-4</v>
      </c>
      <c r="AC4619">
        <v>8</v>
      </c>
      <c r="AD4619" s="5">
        <v>4.9890399753720915</v>
      </c>
      <c r="AE4619" s="5">
        <v>2.1254216281466429</v>
      </c>
      <c r="AF4619">
        <v>1</v>
      </c>
    </row>
    <row r="4620" spans="27:32" x14ac:dyDescent="0.3">
      <c r="AA4620" s="3">
        <v>13323.02</v>
      </c>
      <c r="AB4620">
        <v>1E-4</v>
      </c>
      <c r="AC4620">
        <v>8</v>
      </c>
      <c r="AD4620" s="5">
        <v>4.9807600441973721</v>
      </c>
      <c r="AE4620" s="5">
        <v>2.1709220825963143</v>
      </c>
      <c r="AF4620">
        <v>1</v>
      </c>
    </row>
    <row r="4621" spans="27:32" x14ac:dyDescent="0.3">
      <c r="AA4621" s="3">
        <v>55280.7</v>
      </c>
      <c r="AB4621">
        <v>1E-4</v>
      </c>
      <c r="AC4621">
        <v>6</v>
      </c>
      <c r="AD4621" s="5">
        <v>5.0803349074141275</v>
      </c>
      <c r="AE4621" s="5">
        <v>2.2405429985683543</v>
      </c>
      <c r="AF4621">
        <v>1</v>
      </c>
    </row>
    <row r="4622" spans="27:32" x14ac:dyDescent="0.3">
      <c r="AA4622" s="3">
        <v>41896.910000000003</v>
      </c>
      <c r="AB4622">
        <v>1E-4</v>
      </c>
      <c r="AC4622">
        <v>7</v>
      </c>
      <c r="AD4622" s="5">
        <v>5.0281169255551417</v>
      </c>
      <c r="AE4622" s="5">
        <v>2.1127158174490774</v>
      </c>
      <c r="AF4622">
        <v>1</v>
      </c>
    </row>
    <row r="4623" spans="27:32" x14ac:dyDescent="0.3">
      <c r="AA4623" s="3">
        <v>42037.58</v>
      </c>
      <c r="AB4623">
        <v>1E-4</v>
      </c>
      <c r="AC4623">
        <v>7</v>
      </c>
      <c r="AD4623" s="5">
        <v>5.0230823001131082</v>
      </c>
      <c r="AE4623" s="5">
        <v>2.2306532934447967</v>
      </c>
      <c r="AF4623">
        <v>1</v>
      </c>
    </row>
    <row r="4624" spans="27:32" x14ac:dyDescent="0.3">
      <c r="AA4624" s="3">
        <v>-4143.08</v>
      </c>
      <c r="AB4624">
        <v>1E-4</v>
      </c>
      <c r="AC4624">
        <v>9</v>
      </c>
      <c r="AD4624" s="5">
        <v>4.8318186301130028</v>
      </c>
      <c r="AE4624" s="5">
        <v>2.1879840777247956</v>
      </c>
      <c r="AF4624">
        <v>1</v>
      </c>
    </row>
    <row r="4625" spans="27:32" x14ac:dyDescent="0.3">
      <c r="AA4625" s="3">
        <v>25575.360000000001</v>
      </c>
      <c r="AB4625">
        <v>1E-4</v>
      </c>
      <c r="AC4625">
        <v>8</v>
      </c>
      <c r="AD4625" s="5">
        <v>4.98670803759126</v>
      </c>
      <c r="AE4625" s="5">
        <v>2.1728487488728927</v>
      </c>
      <c r="AF4625">
        <v>1</v>
      </c>
    </row>
    <row r="4626" spans="27:32" x14ac:dyDescent="0.3">
      <c r="AA4626" s="3">
        <v>30232.61</v>
      </c>
      <c r="AB4626">
        <v>1E-4</v>
      </c>
      <c r="AC4626">
        <v>8</v>
      </c>
      <c r="AD4626" s="5">
        <v>5.0398273809481964</v>
      </c>
      <c r="AE4626" s="5">
        <v>2.3023133041709074</v>
      </c>
      <c r="AF4626">
        <v>1</v>
      </c>
    </row>
    <row r="4627" spans="27:32" x14ac:dyDescent="0.3">
      <c r="AA4627" s="3">
        <v>9697.19</v>
      </c>
      <c r="AB4627">
        <v>1E-4</v>
      </c>
      <c r="AC4627">
        <v>8</v>
      </c>
      <c r="AD4627" s="5">
        <v>5.1853394307371481</v>
      </c>
      <c r="AE4627" s="5">
        <v>2.151979615174624</v>
      </c>
      <c r="AF4627">
        <v>1</v>
      </c>
    </row>
    <row r="4628" spans="27:32" x14ac:dyDescent="0.3">
      <c r="AA4628" s="3">
        <v>-2040.2</v>
      </c>
      <c r="AB4628">
        <v>1E-4</v>
      </c>
      <c r="AC4628">
        <v>9</v>
      </c>
      <c r="AD4628" s="5">
        <v>5.0175103857331012</v>
      </c>
      <c r="AE4628" s="5">
        <v>2.3058761640306717</v>
      </c>
      <c r="AF4628">
        <v>1</v>
      </c>
    </row>
    <row r="4629" spans="27:32" x14ac:dyDescent="0.3">
      <c r="AA4629" s="3">
        <v>-9462.58</v>
      </c>
      <c r="AB4629">
        <v>1E-4</v>
      </c>
      <c r="AC4629">
        <v>9</v>
      </c>
      <c r="AD4629" s="5">
        <v>5.0197616918826133</v>
      </c>
      <c r="AE4629" s="5">
        <v>2.205350904155599</v>
      </c>
      <c r="AF4629">
        <v>1</v>
      </c>
    </row>
    <row r="4630" spans="27:32" x14ac:dyDescent="0.3">
      <c r="AA4630" s="3">
        <v>16288.09</v>
      </c>
      <c r="AB4630">
        <v>1E-4</v>
      </c>
      <c r="AC4630">
        <v>8</v>
      </c>
      <c r="AD4630" s="5">
        <v>4.9843281512413</v>
      </c>
      <c r="AE4630" s="5">
        <v>2.1760699734963813</v>
      </c>
      <c r="AF4630">
        <v>1</v>
      </c>
    </row>
    <row r="4631" spans="27:32" x14ac:dyDescent="0.3">
      <c r="AA4631" s="3">
        <v>7370.63</v>
      </c>
      <c r="AB4631">
        <v>1E-4</v>
      </c>
      <c r="AC4631">
        <v>8</v>
      </c>
      <c r="AD4631" s="5">
        <v>4.977384604970025</v>
      </c>
      <c r="AE4631" s="5">
        <v>2.2122163713587097</v>
      </c>
      <c r="AF4631">
        <v>1</v>
      </c>
    </row>
    <row r="4632" spans="27:32" x14ac:dyDescent="0.3">
      <c r="AA4632" s="3">
        <v>11404.64</v>
      </c>
      <c r="AB4632">
        <v>1E-4</v>
      </c>
      <c r="AC4632">
        <v>8</v>
      </c>
      <c r="AD4632" s="5">
        <v>5.0396050131321672</v>
      </c>
      <c r="AE4632" s="5">
        <v>2.27988124680473</v>
      </c>
      <c r="AF4632">
        <v>1</v>
      </c>
    </row>
    <row r="4633" spans="27:32" x14ac:dyDescent="0.3">
      <c r="AA4633" s="3">
        <v>37269.760000000002</v>
      </c>
      <c r="AB4633">
        <v>1E-4</v>
      </c>
      <c r="AC4633">
        <v>7</v>
      </c>
      <c r="AD4633" s="5">
        <v>5.0642961205557597</v>
      </c>
      <c r="AE4633" s="5">
        <v>2.1463457746777799</v>
      </c>
      <c r="AF4633">
        <v>1</v>
      </c>
    </row>
    <row r="4634" spans="27:32" x14ac:dyDescent="0.3">
      <c r="AA4634" s="3">
        <v>-20834.46</v>
      </c>
      <c r="AB4634">
        <v>1E-4</v>
      </c>
      <c r="AC4634">
        <v>9</v>
      </c>
      <c r="AD4634" s="5">
        <v>4.8251484181382001</v>
      </c>
      <c r="AE4634" s="5">
        <v>2.2291802079351246</v>
      </c>
      <c r="AF4634">
        <v>1</v>
      </c>
    </row>
    <row r="4635" spans="27:32" x14ac:dyDescent="0.3">
      <c r="AA4635" s="3">
        <v>18677.599999999999</v>
      </c>
      <c r="AB4635">
        <v>1E-4</v>
      </c>
      <c r="AC4635">
        <v>8</v>
      </c>
      <c r="AD4635" s="5">
        <v>4.9106445672851429</v>
      </c>
      <c r="AE4635" s="5">
        <v>2.2409518643444137</v>
      </c>
      <c r="AF4635">
        <v>1</v>
      </c>
    </row>
    <row r="4636" spans="27:32" x14ac:dyDescent="0.3">
      <c r="AA4636" s="3">
        <v>22648.6</v>
      </c>
      <c r="AB4636">
        <v>1E-4</v>
      </c>
      <c r="AC4636">
        <v>8</v>
      </c>
      <c r="AD4636" s="5">
        <v>4.9679177621646673</v>
      </c>
      <c r="AE4636" s="5">
        <v>2.2160846713862234</v>
      </c>
      <c r="AF4636">
        <v>1</v>
      </c>
    </row>
    <row r="4637" spans="27:32" x14ac:dyDescent="0.3">
      <c r="AA4637" s="3">
        <v>19058.13</v>
      </c>
      <c r="AB4637">
        <v>1E-4</v>
      </c>
      <c r="AC4637">
        <v>8</v>
      </c>
      <c r="AD4637" s="5">
        <v>5.2271545306379874</v>
      </c>
      <c r="AE4637" s="5">
        <v>2.2326178243390289</v>
      </c>
      <c r="AF4637">
        <v>1</v>
      </c>
    </row>
    <row r="4638" spans="27:32" x14ac:dyDescent="0.3">
      <c r="AA4638" s="3">
        <v>40219.089999999997</v>
      </c>
      <c r="AB4638">
        <v>1E-4</v>
      </c>
      <c r="AC4638">
        <v>7</v>
      </c>
      <c r="AD4638" s="5">
        <v>5.0653870299143815</v>
      </c>
      <c r="AE4638" s="5">
        <v>2.1226591091103457</v>
      </c>
      <c r="AF4638">
        <v>1</v>
      </c>
    </row>
    <row r="4639" spans="27:32" x14ac:dyDescent="0.3">
      <c r="AA4639" s="3">
        <v>21732.23</v>
      </c>
      <c r="AB4639">
        <v>1E-4</v>
      </c>
      <c r="AC4639">
        <v>8</v>
      </c>
      <c r="AD4639" s="5">
        <v>5.0289467701951596</v>
      </c>
      <c r="AE4639" s="5">
        <v>2.1668838518992981</v>
      </c>
      <c r="AF4639">
        <v>1</v>
      </c>
    </row>
    <row r="4640" spans="27:32" x14ac:dyDescent="0.3">
      <c r="AA4640" s="3">
        <v>9007.85</v>
      </c>
      <c r="AB4640">
        <v>1E-4</v>
      </c>
      <c r="AC4640">
        <v>8</v>
      </c>
      <c r="AD4640" s="5">
        <v>4.9641923271121762</v>
      </c>
      <c r="AE4640" s="5">
        <v>2.2628057605663066</v>
      </c>
      <c r="AF4640">
        <v>1</v>
      </c>
    </row>
    <row r="4641" spans="27:32" x14ac:dyDescent="0.3">
      <c r="AA4641" s="3">
        <v>3539.69</v>
      </c>
      <c r="AB4641">
        <v>1E-4</v>
      </c>
      <c r="AC4641">
        <v>8</v>
      </c>
      <c r="AD4641" s="5">
        <v>5.0254540841756672</v>
      </c>
      <c r="AE4641" s="5">
        <v>2.2743220802759345</v>
      </c>
      <c r="AF4641">
        <v>1</v>
      </c>
    </row>
    <row r="4642" spans="27:32" x14ac:dyDescent="0.3">
      <c r="AA4642" s="3">
        <v>-22193.753939867183</v>
      </c>
      <c r="AB4642">
        <v>1E-4</v>
      </c>
      <c r="AC4642">
        <v>9</v>
      </c>
      <c r="AD4642" s="5">
        <v>5.0392839424443174</v>
      </c>
      <c r="AE4642" s="5">
        <v>2.2452536529923872</v>
      </c>
      <c r="AF4642">
        <v>0</v>
      </c>
    </row>
    <row r="4643" spans="27:32" x14ac:dyDescent="0.3">
      <c r="AA4643" s="3">
        <v>16673.66</v>
      </c>
      <c r="AB4643">
        <v>1E-4</v>
      </c>
      <c r="AC4643">
        <v>8</v>
      </c>
      <c r="AD4643" s="5">
        <v>4.9216834373706417</v>
      </c>
      <c r="AE4643" s="5">
        <v>2.1664492881306967</v>
      </c>
      <c r="AF4643">
        <v>1</v>
      </c>
    </row>
    <row r="4644" spans="27:32" x14ac:dyDescent="0.3">
      <c r="AA4644" s="3">
        <v>23286.78</v>
      </c>
      <c r="AB4644">
        <v>1E-4</v>
      </c>
      <c r="AC4644">
        <v>8</v>
      </c>
      <c r="AD4644" s="5">
        <v>4.9054339840004468</v>
      </c>
      <c r="AE4644" s="5">
        <v>2.2022943705421345</v>
      </c>
      <c r="AF4644">
        <v>1</v>
      </c>
    </row>
    <row r="4645" spans="27:32" x14ac:dyDescent="0.3">
      <c r="AA4645" s="3">
        <v>40850.81</v>
      </c>
      <c r="AB4645">
        <v>1E-4</v>
      </c>
      <c r="AC4645">
        <v>7</v>
      </c>
      <c r="AD4645" s="5">
        <v>4.9318920589028803</v>
      </c>
      <c r="AE4645" s="5">
        <v>2.1275886722777968</v>
      </c>
      <c r="AF4645">
        <v>1</v>
      </c>
    </row>
    <row r="4646" spans="27:32" x14ac:dyDescent="0.3">
      <c r="AA4646" s="3">
        <v>12477.66</v>
      </c>
      <c r="AB4646">
        <v>1E-4</v>
      </c>
      <c r="AC4646">
        <v>8</v>
      </c>
      <c r="AD4646" s="5">
        <v>5.141777295055582</v>
      </c>
      <c r="AE4646" s="5">
        <v>2.1717370738097808</v>
      </c>
      <c r="AF4646">
        <v>1</v>
      </c>
    </row>
    <row r="4647" spans="27:32" x14ac:dyDescent="0.3">
      <c r="AA4647" s="3">
        <v>31905.65</v>
      </c>
      <c r="AB4647">
        <v>1E-4</v>
      </c>
      <c r="AC4647">
        <v>7</v>
      </c>
      <c r="AD4647" s="5">
        <v>5.0382750605369599</v>
      </c>
      <c r="AE4647" s="5">
        <v>2.3028012188073173</v>
      </c>
      <c r="AF4647">
        <v>1</v>
      </c>
    </row>
    <row r="4648" spans="27:32" x14ac:dyDescent="0.3">
      <c r="AA4648" s="3">
        <v>18201.990000000002</v>
      </c>
      <c r="AB4648">
        <v>1E-4</v>
      </c>
      <c r="AC4648">
        <v>8</v>
      </c>
      <c r="AD4648" s="5">
        <v>5.0356298897307958</v>
      </c>
      <c r="AE4648" s="5">
        <v>2.2251538400381778</v>
      </c>
      <c r="AF4648">
        <v>1</v>
      </c>
    </row>
    <row r="4649" spans="27:32" x14ac:dyDescent="0.3">
      <c r="AA4649" s="3">
        <v>28222.36</v>
      </c>
      <c r="AB4649">
        <v>1E-4</v>
      </c>
      <c r="AC4649">
        <v>8</v>
      </c>
      <c r="AD4649" s="5">
        <v>5.0666330524854857</v>
      </c>
      <c r="AE4649" s="5">
        <v>2.2171131252157048</v>
      </c>
      <c r="AF4649">
        <v>1</v>
      </c>
    </row>
    <row r="4650" spans="27:32" x14ac:dyDescent="0.3">
      <c r="AA4650" s="3">
        <v>17435.060000000001</v>
      </c>
      <c r="AB4650">
        <v>1E-4</v>
      </c>
      <c r="AC4650">
        <v>8</v>
      </c>
      <c r="AD4650" s="5">
        <v>4.9466296447359301</v>
      </c>
      <c r="AE4650" s="5">
        <v>2.2316087964464595</v>
      </c>
      <c r="AF4650">
        <v>1</v>
      </c>
    </row>
    <row r="4651" spans="27:32" x14ac:dyDescent="0.3">
      <c r="AA4651" s="3">
        <v>5486.96</v>
      </c>
      <c r="AB4651">
        <v>1E-4</v>
      </c>
      <c r="AC4651">
        <v>8</v>
      </c>
      <c r="AD4651" s="5">
        <v>5.092487236991901</v>
      </c>
      <c r="AE4651" s="5">
        <v>2.1459094019414935</v>
      </c>
      <c r="AF4651">
        <v>1</v>
      </c>
    </row>
    <row r="4652" spans="27:32" x14ac:dyDescent="0.3">
      <c r="AA4652" s="3">
        <v>36496.9</v>
      </c>
      <c r="AB4652">
        <v>1E-4</v>
      </c>
      <c r="AC4652">
        <v>7</v>
      </c>
      <c r="AD4652" s="5">
        <v>5.143182168578547</v>
      </c>
      <c r="AE4652" s="5">
        <v>2.2285069652529468</v>
      </c>
      <c r="AF4652">
        <v>1</v>
      </c>
    </row>
    <row r="4653" spans="27:32" x14ac:dyDescent="0.3">
      <c r="AA4653" s="3">
        <v>28885.89</v>
      </c>
      <c r="AB4653">
        <v>1E-4</v>
      </c>
      <c r="AC4653">
        <v>8</v>
      </c>
      <c r="AD4653" s="5">
        <v>5.1010298968267147</v>
      </c>
      <c r="AE4653" s="5">
        <v>2.1529758643282042</v>
      </c>
      <c r="AF4653">
        <v>1</v>
      </c>
    </row>
    <row r="4654" spans="27:32" x14ac:dyDescent="0.3">
      <c r="AA4654" s="3">
        <v>-1837.83</v>
      </c>
      <c r="AB4654">
        <v>1E-4</v>
      </c>
      <c r="AC4654">
        <v>9</v>
      </c>
      <c r="AD4654" s="5">
        <v>4.9877797374742618</v>
      </c>
      <c r="AE4654" s="5">
        <v>2.3367919453355883</v>
      </c>
      <c r="AF4654">
        <v>1</v>
      </c>
    </row>
    <row r="4655" spans="27:32" x14ac:dyDescent="0.3">
      <c r="AA4655" s="3">
        <v>15552.54</v>
      </c>
      <c r="AB4655">
        <v>1E-4</v>
      </c>
      <c r="AC4655">
        <v>8</v>
      </c>
      <c r="AD4655" s="5">
        <v>5.020890353008471</v>
      </c>
      <c r="AE4655" s="5">
        <v>2.2530915764045152</v>
      </c>
      <c r="AF4655">
        <v>1</v>
      </c>
    </row>
    <row r="4656" spans="27:32" x14ac:dyDescent="0.3">
      <c r="AA4656" s="3">
        <v>20196.490000000002</v>
      </c>
      <c r="AB4656">
        <v>1E-4</v>
      </c>
      <c r="AC4656">
        <v>8</v>
      </c>
      <c r="AD4656" s="5">
        <v>4.9014077786304373</v>
      </c>
      <c r="AE4656" s="5">
        <v>2.1403540623572663</v>
      </c>
      <c r="AF4656">
        <v>1</v>
      </c>
    </row>
    <row r="4657" spans="27:32" x14ac:dyDescent="0.3">
      <c r="AA4657" s="3">
        <v>12228.04</v>
      </c>
      <c r="AB4657">
        <v>1E-4</v>
      </c>
      <c r="AC4657">
        <v>8</v>
      </c>
      <c r="AD4657" s="5">
        <v>4.9979139401343105</v>
      </c>
      <c r="AE4657" s="5">
        <v>2.2047020982463503</v>
      </c>
      <c r="AF4657">
        <v>1</v>
      </c>
    </row>
    <row r="4658" spans="27:32" x14ac:dyDescent="0.3">
      <c r="AA4658" s="3">
        <v>-729.75</v>
      </c>
      <c r="AB4658">
        <v>1E-4</v>
      </c>
      <c r="AC4658">
        <v>9</v>
      </c>
      <c r="AD4658" s="5">
        <v>4.8954301912722027</v>
      </c>
      <c r="AE4658" s="5">
        <v>2.154386912397193</v>
      </c>
      <c r="AF4658">
        <v>1</v>
      </c>
    </row>
    <row r="4659" spans="27:32" x14ac:dyDescent="0.3">
      <c r="AA4659" s="3">
        <v>-620.26</v>
      </c>
      <c r="AB4659">
        <v>1E-4</v>
      </c>
      <c r="AC4659">
        <v>9</v>
      </c>
      <c r="AD4659" s="5">
        <v>4.9451124748732038</v>
      </c>
      <c r="AE4659" s="5">
        <v>2.1674248543068897</v>
      </c>
      <c r="AF4659">
        <v>1</v>
      </c>
    </row>
    <row r="4660" spans="27:32" x14ac:dyDescent="0.3">
      <c r="AA4660" s="3">
        <v>15919.37</v>
      </c>
      <c r="AB4660">
        <v>1E-4</v>
      </c>
      <c r="AC4660">
        <v>8</v>
      </c>
      <c r="AD4660" s="5">
        <v>5.0666177730717399</v>
      </c>
      <c r="AE4660" s="5">
        <v>2.1742005908309259</v>
      </c>
      <c r="AF4660">
        <v>1</v>
      </c>
    </row>
    <row r="4661" spans="27:32" x14ac:dyDescent="0.3">
      <c r="AA4661" s="3">
        <v>9140.5499999999993</v>
      </c>
      <c r="AB4661">
        <v>1E-4</v>
      </c>
      <c r="AC4661">
        <v>8</v>
      </c>
      <c r="AD4661" s="5">
        <v>5.061083005188566</v>
      </c>
      <c r="AE4661" s="5">
        <v>2.2254733847841606</v>
      </c>
      <c r="AF4661">
        <v>1</v>
      </c>
    </row>
    <row r="4662" spans="27:32" x14ac:dyDescent="0.3">
      <c r="AA4662" s="3">
        <v>12353.9</v>
      </c>
      <c r="AB4662">
        <v>1E-4</v>
      </c>
      <c r="AC4662">
        <v>8</v>
      </c>
      <c r="AD4662" s="5">
        <v>4.987058210356258</v>
      </c>
      <c r="AE4662" s="5">
        <v>2.2370406085690604</v>
      </c>
      <c r="AF4662">
        <v>1</v>
      </c>
    </row>
    <row r="4663" spans="27:32" x14ac:dyDescent="0.3">
      <c r="AA4663" s="3">
        <v>-6312.15</v>
      </c>
      <c r="AB4663">
        <v>1E-4</v>
      </c>
      <c r="AC4663">
        <v>9</v>
      </c>
      <c r="AD4663" s="5">
        <v>4.9653722774299052</v>
      </c>
      <c r="AE4663" s="5">
        <v>2.2305981457185853</v>
      </c>
      <c r="AF4663">
        <v>1</v>
      </c>
    </row>
    <row r="4664" spans="27:32" x14ac:dyDescent="0.3">
      <c r="AA4664" s="3">
        <v>-2054.7199999999998</v>
      </c>
      <c r="AB4664">
        <v>1E-4</v>
      </c>
      <c r="AC4664">
        <v>9</v>
      </c>
      <c r="AD4664" s="5">
        <v>4.791061845677751</v>
      </c>
      <c r="AE4664" s="5">
        <v>2.3066189905524781</v>
      </c>
      <c r="AF4664">
        <v>1</v>
      </c>
    </row>
    <row r="4665" spans="27:32" x14ac:dyDescent="0.3">
      <c r="AA4665" s="3">
        <v>9561.74</v>
      </c>
      <c r="AB4665">
        <v>1E-4</v>
      </c>
      <c r="AC4665">
        <v>8</v>
      </c>
      <c r="AD4665" s="5">
        <v>5.0211507013735437</v>
      </c>
      <c r="AE4665" s="5">
        <v>2.2625032474771349</v>
      </c>
      <c r="AF4665">
        <v>1</v>
      </c>
    </row>
    <row r="4666" spans="27:32" x14ac:dyDescent="0.3">
      <c r="AA4666" s="3">
        <v>-2500.4499999999998</v>
      </c>
      <c r="AB4666">
        <v>1E-4</v>
      </c>
      <c r="AC4666">
        <v>9</v>
      </c>
      <c r="AD4666" s="5">
        <v>4.9094796097464863</v>
      </c>
      <c r="AE4666" s="5">
        <v>2.1705029661788799</v>
      </c>
      <c r="AF4666">
        <v>1</v>
      </c>
    </row>
    <row r="4667" spans="27:32" x14ac:dyDescent="0.3">
      <c r="AA4667" s="3">
        <v>-26903.48</v>
      </c>
      <c r="AB4667">
        <v>1E-4</v>
      </c>
      <c r="AC4667">
        <v>9</v>
      </c>
      <c r="AD4667" s="5">
        <v>4.9267672670280485</v>
      </c>
      <c r="AE4667" s="5">
        <v>2.2624610441349642</v>
      </c>
      <c r="AF4667">
        <v>1</v>
      </c>
    </row>
    <row r="4668" spans="27:32" x14ac:dyDescent="0.3">
      <c r="AA4668" s="3">
        <v>-13687.29</v>
      </c>
      <c r="AB4668">
        <v>1E-4</v>
      </c>
      <c r="AC4668">
        <v>9</v>
      </c>
      <c r="AD4668" s="5">
        <v>4.8918359153180271</v>
      </c>
      <c r="AE4668" s="5">
        <v>2.2472189991353955</v>
      </c>
      <c r="AF4668">
        <v>1</v>
      </c>
    </row>
    <row r="4669" spans="27:32" x14ac:dyDescent="0.3">
      <c r="AA4669" s="3">
        <v>1427.37</v>
      </c>
      <c r="AB4669">
        <v>1E-4</v>
      </c>
      <c r="AC4669">
        <v>8</v>
      </c>
      <c r="AD4669" s="5">
        <v>4.9605279357820109</v>
      </c>
      <c r="AE4669" s="5">
        <v>2.1715299327681863</v>
      </c>
      <c r="AF4669">
        <v>1</v>
      </c>
    </row>
    <row r="4670" spans="27:32" x14ac:dyDescent="0.3">
      <c r="AA4670" s="3">
        <v>11405.48</v>
      </c>
      <c r="AB4670">
        <v>1E-4</v>
      </c>
      <c r="AC4670">
        <v>8</v>
      </c>
      <c r="AD4670" s="5">
        <v>4.9303891735078818</v>
      </c>
      <c r="AE4670" s="5">
        <v>2.2076621417222912</v>
      </c>
      <c r="AF4670">
        <v>1</v>
      </c>
    </row>
    <row r="4671" spans="27:32" x14ac:dyDescent="0.3">
      <c r="AA4671" s="3">
        <v>40158</v>
      </c>
      <c r="AB4671">
        <v>1E-4</v>
      </c>
      <c r="AC4671">
        <v>7</v>
      </c>
      <c r="AD4671" s="5">
        <v>4.8764469343693619</v>
      </c>
      <c r="AE4671" s="5">
        <v>2.1643354251743183</v>
      </c>
      <c r="AF4671">
        <v>1</v>
      </c>
    </row>
    <row r="4672" spans="27:32" x14ac:dyDescent="0.3">
      <c r="AA4672" s="3">
        <v>19221.07</v>
      </c>
      <c r="AB4672">
        <v>1E-4</v>
      </c>
      <c r="AC4672">
        <v>8</v>
      </c>
      <c r="AD4672" s="5">
        <v>5.0039988178643542</v>
      </c>
      <c r="AE4672" s="5">
        <v>2.2718233465607867</v>
      </c>
      <c r="AF4672">
        <v>1</v>
      </c>
    </row>
    <row r="4673" spans="27:32" x14ac:dyDescent="0.3">
      <c r="AA4673" s="3">
        <v>19696.439999999999</v>
      </c>
      <c r="AB4673">
        <v>1E-4</v>
      </c>
      <c r="AC4673">
        <v>8</v>
      </c>
      <c r="AD4673" s="5">
        <v>4.8883483258054312</v>
      </c>
      <c r="AE4673" s="5">
        <v>2.187815524520428</v>
      </c>
      <c r="AF4673">
        <v>1</v>
      </c>
    </row>
    <row r="4674" spans="27:32" x14ac:dyDescent="0.3">
      <c r="AA4674" s="3">
        <v>13712.29</v>
      </c>
      <c r="AB4674">
        <v>1E-4</v>
      </c>
      <c r="AC4674">
        <v>8</v>
      </c>
      <c r="AD4674" s="5">
        <v>4.9548159023370566</v>
      </c>
      <c r="AE4674" s="5">
        <v>2.1576766506557061</v>
      </c>
      <c r="AF4674">
        <v>1</v>
      </c>
    </row>
    <row r="4675" spans="27:32" x14ac:dyDescent="0.3">
      <c r="AA4675" s="3">
        <v>6354.32</v>
      </c>
      <c r="AB4675">
        <v>1E-4</v>
      </c>
      <c r="AC4675">
        <v>8</v>
      </c>
      <c r="AD4675" s="5">
        <v>4.879213933934694</v>
      </c>
      <c r="AE4675" s="5">
        <v>2.1594546922775386</v>
      </c>
      <c r="AF4675">
        <v>1</v>
      </c>
    </row>
    <row r="4676" spans="27:32" x14ac:dyDescent="0.3">
      <c r="AA4676" s="3">
        <v>39920.39</v>
      </c>
      <c r="AB4676">
        <v>1E-4</v>
      </c>
      <c r="AC4676">
        <v>7</v>
      </c>
      <c r="AD4676" s="5">
        <v>5.1017504652420484</v>
      </c>
      <c r="AE4676" s="5">
        <v>2.2463086601155169</v>
      </c>
      <c r="AF4676">
        <v>1</v>
      </c>
    </row>
    <row r="4677" spans="27:32" x14ac:dyDescent="0.3">
      <c r="AA4677" s="3">
        <v>7710.66</v>
      </c>
      <c r="AB4677">
        <v>1E-4</v>
      </c>
      <c r="AC4677">
        <v>8</v>
      </c>
      <c r="AD4677" s="5">
        <v>4.95527905705476</v>
      </c>
      <c r="AE4677" s="5">
        <v>2.1731614131984145</v>
      </c>
      <c r="AF4677">
        <v>1</v>
      </c>
    </row>
    <row r="4678" spans="27:32" x14ac:dyDescent="0.3">
      <c r="AA4678" s="3">
        <v>36044</v>
      </c>
      <c r="AB4678">
        <v>1E-4</v>
      </c>
      <c r="AC4678">
        <v>7</v>
      </c>
      <c r="AD4678" s="5">
        <v>5.0143543224297655</v>
      </c>
      <c r="AE4678" s="5">
        <v>2.2111484075984649</v>
      </c>
      <c r="AF4678">
        <v>1</v>
      </c>
    </row>
    <row r="4679" spans="27:32" x14ac:dyDescent="0.3">
      <c r="AA4679" s="3">
        <v>73973.08</v>
      </c>
      <c r="AB4679">
        <v>1E-4</v>
      </c>
      <c r="AC4679">
        <v>5</v>
      </c>
      <c r="AD4679" s="5">
        <v>5.1033970479056494</v>
      </c>
      <c r="AE4679" s="5">
        <v>2.1983141574203056</v>
      </c>
      <c r="AF4679">
        <v>1</v>
      </c>
    </row>
    <row r="4680" spans="27:32" x14ac:dyDescent="0.3">
      <c r="AA4680" s="3">
        <v>-16506.441726302422</v>
      </c>
      <c r="AB4680">
        <v>1E-4</v>
      </c>
      <c r="AC4680">
        <v>9</v>
      </c>
      <c r="AD4680" s="5">
        <v>4.9001052965962133</v>
      </c>
      <c r="AE4680" s="5">
        <v>2.1285626278321912</v>
      </c>
      <c r="AF4680">
        <v>0</v>
      </c>
    </row>
    <row r="4681" spans="27:32" x14ac:dyDescent="0.3">
      <c r="AA4681" s="3">
        <v>39294.699999999997</v>
      </c>
      <c r="AB4681">
        <v>1E-4</v>
      </c>
      <c r="AC4681">
        <v>7</v>
      </c>
      <c r="AD4681" s="5">
        <v>5.0783072183912923</v>
      </c>
      <c r="AE4681" s="5">
        <v>2.2877802749017997</v>
      </c>
      <c r="AF4681">
        <v>1</v>
      </c>
    </row>
    <row r="4682" spans="27:32" x14ac:dyDescent="0.3">
      <c r="AA4682" s="3">
        <v>31416.959999999999</v>
      </c>
      <c r="AB4682">
        <v>1E-4</v>
      </c>
      <c r="AC4682">
        <v>7</v>
      </c>
      <c r="AD4682" s="5">
        <v>5.1228067141727553</v>
      </c>
      <c r="AE4682" s="5">
        <v>2.1732301944616101</v>
      </c>
      <c r="AF4682">
        <v>1</v>
      </c>
    </row>
    <row r="4683" spans="27:32" x14ac:dyDescent="0.3">
      <c r="AA4683" s="3">
        <v>37229.699999999997</v>
      </c>
      <c r="AB4683">
        <v>1E-4</v>
      </c>
      <c r="AC4683">
        <v>7</v>
      </c>
      <c r="AD4683" s="5">
        <v>5.05292971323464</v>
      </c>
      <c r="AE4683" s="5">
        <v>2.179746335634511</v>
      </c>
      <c r="AF4683">
        <v>1</v>
      </c>
    </row>
    <row r="4684" spans="27:32" x14ac:dyDescent="0.3">
      <c r="AA4684" s="3">
        <v>4022.04</v>
      </c>
      <c r="AB4684">
        <v>1E-4</v>
      </c>
      <c r="AC4684">
        <v>8</v>
      </c>
      <c r="AD4684" s="5">
        <v>5.0032011426017506</v>
      </c>
      <c r="AE4684" s="5">
        <v>2.1441955684626972</v>
      </c>
      <c r="AF4684">
        <v>1</v>
      </c>
    </row>
    <row r="4685" spans="27:32" x14ac:dyDescent="0.3">
      <c r="AA4685" s="3">
        <v>53392.17</v>
      </c>
      <c r="AB4685">
        <v>1E-4</v>
      </c>
      <c r="AC4685">
        <v>6</v>
      </c>
      <c r="AD4685" s="5">
        <v>5.0024473507646698</v>
      </c>
      <c r="AE4685" s="5">
        <v>2.1988808479544386</v>
      </c>
      <c r="AF4685">
        <v>1</v>
      </c>
    </row>
    <row r="4686" spans="27:32" x14ac:dyDescent="0.3">
      <c r="AA4686" s="3">
        <v>4312.88</v>
      </c>
      <c r="AB4686">
        <v>1E-4</v>
      </c>
      <c r="AC4686">
        <v>8</v>
      </c>
      <c r="AD4686" s="5">
        <v>4.9072444634575634</v>
      </c>
      <c r="AE4686" s="5">
        <v>2.3051038399434436</v>
      </c>
      <c r="AF4686">
        <v>1</v>
      </c>
    </row>
    <row r="4687" spans="27:32" x14ac:dyDescent="0.3">
      <c r="AA4687" s="3">
        <v>-2636.92</v>
      </c>
      <c r="AB4687">
        <v>1E-4</v>
      </c>
      <c r="AC4687">
        <v>9</v>
      </c>
      <c r="AD4687" s="5">
        <v>5.0701349421272193</v>
      </c>
      <c r="AE4687" s="5">
        <v>2.1979965029909829</v>
      </c>
      <c r="AF4687">
        <v>1</v>
      </c>
    </row>
    <row r="4688" spans="27:32" x14ac:dyDescent="0.3">
      <c r="AA4688" s="3">
        <v>10353.129999999999</v>
      </c>
      <c r="AB4688">
        <v>1E-4</v>
      </c>
      <c r="AC4688">
        <v>8</v>
      </c>
      <c r="AD4688" s="5">
        <v>5.0015666165471</v>
      </c>
      <c r="AE4688" s="5">
        <v>2.1879560433855043</v>
      </c>
      <c r="AF4688">
        <v>1</v>
      </c>
    </row>
    <row r="4689" spans="27:32" x14ac:dyDescent="0.3">
      <c r="AA4689" s="3">
        <v>20770.11</v>
      </c>
      <c r="AB4689">
        <v>1E-4</v>
      </c>
      <c r="AC4689">
        <v>8</v>
      </c>
      <c r="AD4689" s="5">
        <v>4.9868233081203703</v>
      </c>
      <c r="AE4689" s="5">
        <v>2.2267277705594486</v>
      </c>
      <c r="AF4689">
        <v>1</v>
      </c>
    </row>
    <row r="4690" spans="27:32" x14ac:dyDescent="0.3">
      <c r="AA4690" s="3">
        <v>14365.8</v>
      </c>
      <c r="AB4690">
        <v>1E-4</v>
      </c>
      <c r="AC4690">
        <v>8</v>
      </c>
      <c r="AD4690" s="5">
        <v>4.8964930543231571</v>
      </c>
      <c r="AE4690" s="5">
        <v>2.2630768002555612</v>
      </c>
      <c r="AF4690">
        <v>1</v>
      </c>
    </row>
    <row r="4691" spans="27:32" x14ac:dyDescent="0.3">
      <c r="AA4691" s="3">
        <v>8801.14</v>
      </c>
      <c r="AB4691">
        <v>1E-4</v>
      </c>
      <c r="AC4691">
        <v>8</v>
      </c>
      <c r="AD4691" s="5">
        <v>4.9266190325191985</v>
      </c>
      <c r="AE4691" s="5">
        <v>2.2034899381215722</v>
      </c>
      <c r="AF4691">
        <v>1</v>
      </c>
    </row>
    <row r="4692" spans="27:32" x14ac:dyDescent="0.3">
      <c r="AA4692" s="3">
        <v>-14446.58</v>
      </c>
      <c r="AB4692">
        <v>1E-4</v>
      </c>
      <c r="AC4692">
        <v>9</v>
      </c>
      <c r="AD4692" s="5">
        <v>4.9275708606604534</v>
      </c>
      <c r="AE4692" s="5">
        <v>2.2498142796255034</v>
      </c>
      <c r="AF4692">
        <v>1</v>
      </c>
    </row>
    <row r="4693" spans="27:32" x14ac:dyDescent="0.3">
      <c r="AA4693" s="3">
        <v>33903.53</v>
      </c>
      <c r="AB4693">
        <v>1E-4</v>
      </c>
      <c r="AC4693">
        <v>7</v>
      </c>
      <c r="AD4693" s="5">
        <v>4.9918157847534896</v>
      </c>
      <c r="AE4693" s="5">
        <v>2.1751900329627971</v>
      </c>
      <c r="AF4693">
        <v>1</v>
      </c>
    </row>
    <row r="4694" spans="27:32" x14ac:dyDescent="0.3">
      <c r="AA4694" s="3">
        <v>31316.26</v>
      </c>
      <c r="AB4694">
        <v>1E-4</v>
      </c>
      <c r="AC4694">
        <v>7</v>
      </c>
      <c r="AD4694" s="5">
        <v>5.0347995438588891</v>
      </c>
      <c r="AE4694" s="5">
        <v>2.1363806357542376</v>
      </c>
      <c r="AF4694">
        <v>1</v>
      </c>
    </row>
    <row r="4695" spans="27:32" x14ac:dyDescent="0.3">
      <c r="AA4695" s="3">
        <v>3952.95</v>
      </c>
      <c r="AB4695">
        <v>1E-4</v>
      </c>
      <c r="AC4695">
        <v>8</v>
      </c>
      <c r="AD4695" s="5">
        <v>5.1461683742074289</v>
      </c>
      <c r="AE4695" s="5">
        <v>2.2116043576182891</v>
      </c>
      <c r="AF4695">
        <v>1</v>
      </c>
    </row>
    <row r="4696" spans="27:32" x14ac:dyDescent="0.3">
      <c r="AA4696" s="3">
        <v>11884.79</v>
      </c>
      <c r="AB4696">
        <v>1E-4</v>
      </c>
      <c r="AC4696">
        <v>8</v>
      </c>
      <c r="AD4696" s="5">
        <v>5.0597604860305081</v>
      </c>
      <c r="AE4696" s="5">
        <v>2.2022475713120087</v>
      </c>
      <c r="AF4696">
        <v>1</v>
      </c>
    </row>
    <row r="4697" spans="27:32" x14ac:dyDescent="0.3">
      <c r="AA4697" s="3">
        <v>-6910.75</v>
      </c>
      <c r="AB4697">
        <v>1E-4</v>
      </c>
      <c r="AC4697">
        <v>9</v>
      </c>
      <c r="AD4697" s="5">
        <v>4.8720738966320649</v>
      </c>
      <c r="AE4697" s="5">
        <v>2.2283806054370232</v>
      </c>
      <c r="AF4697">
        <v>1</v>
      </c>
    </row>
    <row r="4698" spans="27:32" x14ac:dyDescent="0.3">
      <c r="AA4698" s="3">
        <v>25832.59</v>
      </c>
      <c r="AB4698">
        <v>1E-4</v>
      </c>
      <c r="AC4698">
        <v>8</v>
      </c>
      <c r="AD4698" s="5">
        <v>5.1874081333969908</v>
      </c>
      <c r="AE4698" s="5">
        <v>2.2188961217091423</v>
      </c>
      <c r="AF4698">
        <v>1</v>
      </c>
    </row>
    <row r="4699" spans="27:32" x14ac:dyDescent="0.3">
      <c r="AA4699" s="3">
        <v>31744.04</v>
      </c>
      <c r="AB4699">
        <v>1E-4</v>
      </c>
      <c r="AC4699">
        <v>7</v>
      </c>
      <c r="AD4699" s="5">
        <v>5.0718600406320222</v>
      </c>
      <c r="AE4699" s="5">
        <v>2.1690378577600269</v>
      </c>
      <c r="AF4699">
        <v>1</v>
      </c>
    </row>
    <row r="4700" spans="27:32" x14ac:dyDescent="0.3">
      <c r="AA4700" s="3">
        <v>32393.360000000001</v>
      </c>
      <c r="AB4700">
        <v>1E-4</v>
      </c>
      <c r="AC4700">
        <v>7</v>
      </c>
      <c r="AD4700" s="5">
        <v>5.096059801746347</v>
      </c>
      <c r="AE4700" s="5">
        <v>2.2405681139360634</v>
      </c>
      <c r="AF4700">
        <v>1</v>
      </c>
    </row>
    <row r="4701" spans="27:32" x14ac:dyDescent="0.3">
      <c r="AA4701" s="3">
        <v>3526.41</v>
      </c>
      <c r="AB4701">
        <v>1E-4</v>
      </c>
      <c r="AC4701">
        <v>8</v>
      </c>
      <c r="AD4701" s="5">
        <v>4.8720562273609529</v>
      </c>
      <c r="AE4701" s="5">
        <v>2.169772777609785</v>
      </c>
      <c r="AF4701">
        <v>1</v>
      </c>
    </row>
    <row r="4702" spans="27:32" x14ac:dyDescent="0.3">
      <c r="AA4702" s="3">
        <v>-16828.25</v>
      </c>
      <c r="AB4702">
        <v>1E-4</v>
      </c>
      <c r="AC4702">
        <v>9</v>
      </c>
      <c r="AD4702" s="5">
        <v>4.8434491896306318</v>
      </c>
      <c r="AE4702" s="5">
        <v>2.23865673299444</v>
      </c>
      <c r="AF4702">
        <v>1</v>
      </c>
    </row>
    <row r="4703" spans="27:32" x14ac:dyDescent="0.3">
      <c r="AA4703" s="3">
        <v>-7111.69</v>
      </c>
      <c r="AB4703">
        <v>1E-4</v>
      </c>
      <c r="AC4703">
        <v>9</v>
      </c>
      <c r="AD4703" s="5">
        <v>4.9072267347521707</v>
      </c>
      <c r="AE4703" s="5">
        <v>2.1824583468898386</v>
      </c>
      <c r="AF4703">
        <v>1</v>
      </c>
    </row>
    <row r="4704" spans="27:32" x14ac:dyDescent="0.3">
      <c r="AA4704" s="3">
        <v>-14474.43</v>
      </c>
      <c r="AB4704">
        <v>1E-4</v>
      </c>
      <c r="AC4704">
        <v>9</v>
      </c>
      <c r="AD4704" s="5">
        <v>4.9219567102092689</v>
      </c>
      <c r="AE4704" s="5">
        <v>2.2716491269604262</v>
      </c>
      <c r="AF4704">
        <v>1</v>
      </c>
    </row>
    <row r="4705" spans="27:32" x14ac:dyDescent="0.3">
      <c r="AA4705" s="3">
        <v>-21289.83</v>
      </c>
      <c r="AB4705">
        <v>1E-4</v>
      </c>
      <c r="AC4705">
        <v>9</v>
      </c>
      <c r="AD4705" s="5">
        <v>5.0267400976462859</v>
      </c>
      <c r="AE4705" s="5">
        <v>2.2381591919836623</v>
      </c>
      <c r="AF4705">
        <v>1</v>
      </c>
    </row>
    <row r="4706" spans="27:32" x14ac:dyDescent="0.3">
      <c r="AA4706" s="3">
        <v>44595.88</v>
      </c>
      <c r="AB4706">
        <v>1E-4</v>
      </c>
      <c r="AC4706">
        <v>7</v>
      </c>
      <c r="AD4706" s="5">
        <v>5.0415713981884753</v>
      </c>
      <c r="AE4706" s="5">
        <v>2.22164496568376</v>
      </c>
      <c r="AF4706">
        <v>1</v>
      </c>
    </row>
    <row r="4707" spans="27:32" x14ac:dyDescent="0.3">
      <c r="AA4707" s="3">
        <v>24764.01</v>
      </c>
      <c r="AB4707">
        <v>1E-4</v>
      </c>
      <c r="AC4707">
        <v>8</v>
      </c>
      <c r="AD4707" s="5">
        <v>4.9626605864456925</v>
      </c>
      <c r="AE4707" s="5">
        <v>2.1762641105436704</v>
      </c>
      <c r="AF4707">
        <v>1</v>
      </c>
    </row>
    <row r="4708" spans="27:32" x14ac:dyDescent="0.3">
      <c r="AA4708" s="3">
        <v>22349.99</v>
      </c>
      <c r="AB4708">
        <v>1E-4</v>
      </c>
      <c r="AC4708">
        <v>8</v>
      </c>
      <c r="AD4708" s="5">
        <v>5.0065714514445698</v>
      </c>
      <c r="AE4708" s="5">
        <v>2.0534406870315327</v>
      </c>
      <c r="AF4708">
        <v>1</v>
      </c>
    </row>
    <row r="4709" spans="27:32" x14ac:dyDescent="0.3">
      <c r="AA4709" s="3">
        <v>-5911.91</v>
      </c>
      <c r="AB4709">
        <v>1E-4</v>
      </c>
      <c r="AC4709">
        <v>9</v>
      </c>
      <c r="AD4709" s="5">
        <v>4.9662264557600686</v>
      </c>
      <c r="AE4709" s="5">
        <v>2.2677104372207215</v>
      </c>
      <c r="AF4709">
        <v>1</v>
      </c>
    </row>
    <row r="4710" spans="27:32" x14ac:dyDescent="0.3">
      <c r="AA4710" s="3">
        <v>-9315.08</v>
      </c>
      <c r="AB4710">
        <v>1E-4</v>
      </c>
      <c r="AC4710">
        <v>9</v>
      </c>
      <c r="AD4710" s="5">
        <v>5.0670904419356892</v>
      </c>
      <c r="AE4710" s="5">
        <v>2.2119649241046795</v>
      </c>
      <c r="AF4710">
        <v>1</v>
      </c>
    </row>
    <row r="4711" spans="27:32" x14ac:dyDescent="0.3">
      <c r="AA4711" s="3">
        <v>6425.88</v>
      </c>
      <c r="AB4711">
        <v>1E-4</v>
      </c>
      <c r="AC4711">
        <v>8</v>
      </c>
      <c r="AD4711" s="5">
        <v>5.048966457212301</v>
      </c>
      <c r="AE4711" s="5">
        <v>2.2576494297812957</v>
      </c>
      <c r="AF4711">
        <v>1</v>
      </c>
    </row>
    <row r="4712" spans="27:32" x14ac:dyDescent="0.3">
      <c r="AA4712" s="3">
        <v>-7153.2</v>
      </c>
      <c r="AB4712">
        <v>1E-4</v>
      </c>
      <c r="AC4712">
        <v>9</v>
      </c>
      <c r="AD4712" s="5">
        <v>4.8620168013284388</v>
      </c>
      <c r="AE4712" s="5">
        <v>2.2813623769771993</v>
      </c>
      <c r="AF4712">
        <v>1</v>
      </c>
    </row>
    <row r="4713" spans="27:32" x14ac:dyDescent="0.3">
      <c r="AA4713" s="3">
        <v>113.62</v>
      </c>
      <c r="AB4713">
        <v>1E-4</v>
      </c>
      <c r="AC4713">
        <v>8</v>
      </c>
      <c r="AD4713" s="5">
        <v>4.8673117047702963</v>
      </c>
      <c r="AE4713" s="5">
        <v>2.234171181095193</v>
      </c>
      <c r="AF4713">
        <v>1</v>
      </c>
    </row>
    <row r="4714" spans="27:32" x14ac:dyDescent="0.3">
      <c r="AA4714" s="3">
        <v>14170.29</v>
      </c>
      <c r="AB4714">
        <v>1E-4</v>
      </c>
      <c r="AC4714">
        <v>8</v>
      </c>
      <c r="AD4714" s="5">
        <v>4.8434330020044971</v>
      </c>
      <c r="AE4714" s="5">
        <v>2.1675084009932859</v>
      </c>
      <c r="AF4714">
        <v>1</v>
      </c>
    </row>
    <row r="4715" spans="27:32" x14ac:dyDescent="0.3">
      <c r="AA4715" s="3">
        <v>-26277.562235863697</v>
      </c>
      <c r="AB4715">
        <v>1E-4</v>
      </c>
      <c r="AC4715">
        <v>9</v>
      </c>
      <c r="AD4715" s="5">
        <v>4.937465402558634</v>
      </c>
      <c r="AE4715" s="5">
        <v>2.3159981027974466</v>
      </c>
      <c r="AF4715">
        <v>0</v>
      </c>
    </row>
    <row r="4716" spans="27:32" x14ac:dyDescent="0.3">
      <c r="AA4716" s="3">
        <v>20442.810000000001</v>
      </c>
      <c r="AB4716">
        <v>1E-4</v>
      </c>
      <c r="AC4716">
        <v>8</v>
      </c>
      <c r="AD4716" s="5">
        <v>4.850415978804401</v>
      </c>
      <c r="AE4716" s="5">
        <v>2.1138533681137255</v>
      </c>
      <c r="AF4716">
        <v>1</v>
      </c>
    </row>
    <row r="4717" spans="27:32" x14ac:dyDescent="0.3">
      <c r="AA4717" s="3">
        <v>4299.76</v>
      </c>
      <c r="AB4717">
        <v>1E-4</v>
      </c>
      <c r="AC4717">
        <v>8</v>
      </c>
      <c r="AD4717" s="5">
        <v>4.8931575725637479</v>
      </c>
      <c r="AE4717" s="5">
        <v>2.2543756311684682</v>
      </c>
      <c r="AF4717">
        <v>1</v>
      </c>
    </row>
    <row r="4718" spans="27:32" x14ac:dyDescent="0.3">
      <c r="AA4718" s="3">
        <v>14418.43</v>
      </c>
      <c r="AB4718">
        <v>1E-4</v>
      </c>
      <c r="AC4718">
        <v>8</v>
      </c>
      <c r="AD4718" s="5">
        <v>5.0827105862188162</v>
      </c>
      <c r="AE4718" s="5">
        <v>2.2271952317991501</v>
      </c>
      <c r="AF4718">
        <v>1</v>
      </c>
    </row>
    <row r="4719" spans="27:32" x14ac:dyDescent="0.3">
      <c r="AA4719" s="3">
        <v>12786.05</v>
      </c>
      <c r="AB4719">
        <v>1E-4</v>
      </c>
      <c r="AC4719">
        <v>8</v>
      </c>
      <c r="AD4719" s="5">
        <v>5.118220733113291</v>
      </c>
      <c r="AE4719" s="5">
        <v>2.2856665296662046</v>
      </c>
      <c r="AF4719">
        <v>1</v>
      </c>
    </row>
    <row r="4720" spans="27:32" x14ac:dyDescent="0.3">
      <c r="AA4720" s="3">
        <v>10466.02</v>
      </c>
      <c r="AB4720">
        <v>1E-4</v>
      </c>
      <c r="AC4720">
        <v>8</v>
      </c>
      <c r="AD4720" s="5">
        <v>5.2008543902861595</v>
      </c>
      <c r="AE4720" s="5">
        <v>2.1804094347596426</v>
      </c>
      <c r="AF4720">
        <v>1</v>
      </c>
    </row>
    <row r="4721" spans="27:32" x14ac:dyDescent="0.3">
      <c r="AA4721" s="3">
        <v>32232.560000000001</v>
      </c>
      <c r="AB4721">
        <v>1E-4</v>
      </c>
      <c r="AC4721">
        <v>7</v>
      </c>
      <c r="AD4721" s="5">
        <v>5.0280060509145938</v>
      </c>
      <c r="AE4721" s="5">
        <v>2.1581511817149428</v>
      </c>
      <c r="AF4721">
        <v>1</v>
      </c>
    </row>
    <row r="4722" spans="27:32" x14ac:dyDescent="0.3">
      <c r="AA4722" s="3">
        <v>21920.03</v>
      </c>
      <c r="AB4722">
        <v>1E-4</v>
      </c>
      <c r="AC4722">
        <v>8</v>
      </c>
      <c r="AD4722" s="5">
        <v>4.9365208297680505</v>
      </c>
      <c r="AE4722" s="5">
        <v>2.2124381387035639</v>
      </c>
      <c r="AF4722">
        <v>1</v>
      </c>
    </row>
    <row r="4723" spans="27:32" x14ac:dyDescent="0.3">
      <c r="AA4723" s="3">
        <v>16999.169999999998</v>
      </c>
      <c r="AB4723">
        <v>1E-4</v>
      </c>
      <c r="AC4723">
        <v>8</v>
      </c>
      <c r="AD4723" s="5">
        <v>5.0990410739525664</v>
      </c>
      <c r="AE4723" s="5">
        <v>2.2191065698904353</v>
      </c>
      <c r="AF4723">
        <v>1</v>
      </c>
    </row>
    <row r="4724" spans="27:32" x14ac:dyDescent="0.3">
      <c r="AA4724" s="3">
        <v>10945.53</v>
      </c>
      <c r="AB4724">
        <v>1E-4</v>
      </c>
      <c r="AC4724">
        <v>8</v>
      </c>
      <c r="AD4724" s="5">
        <v>5.0857601217690585</v>
      </c>
      <c r="AE4724" s="5">
        <v>2.2526373113062195</v>
      </c>
      <c r="AF4724">
        <v>1</v>
      </c>
    </row>
    <row r="4725" spans="27:32" x14ac:dyDescent="0.3">
      <c r="AA4725" s="3">
        <v>13942.82</v>
      </c>
      <c r="AB4725">
        <v>1E-4</v>
      </c>
      <c r="AC4725">
        <v>8</v>
      </c>
      <c r="AD4725" s="5">
        <v>4.8917398221753201</v>
      </c>
      <c r="AE4725" s="5">
        <v>2.1554704642627742</v>
      </c>
      <c r="AF4725">
        <v>1</v>
      </c>
    </row>
    <row r="4726" spans="27:32" x14ac:dyDescent="0.3">
      <c r="AA4726" s="3">
        <v>8387.15</v>
      </c>
      <c r="AB4726">
        <v>1E-4</v>
      </c>
      <c r="AC4726">
        <v>8</v>
      </c>
      <c r="AD4726" s="5">
        <v>5.151688301086522</v>
      </c>
      <c r="AE4726" s="5">
        <v>2.2576354324588359</v>
      </c>
      <c r="AF4726">
        <v>1</v>
      </c>
    </row>
    <row r="4727" spans="27:32" x14ac:dyDescent="0.3">
      <c r="AA4727" s="3">
        <v>501.4</v>
      </c>
      <c r="AB4727">
        <v>1E-4</v>
      </c>
      <c r="AC4727">
        <v>8</v>
      </c>
      <c r="AD4727" s="5">
        <v>5.0223088696964036</v>
      </c>
      <c r="AE4727" s="5">
        <v>2.1525303136133953</v>
      </c>
      <c r="AF4727">
        <v>1</v>
      </c>
    </row>
    <row r="4728" spans="27:32" x14ac:dyDescent="0.3">
      <c r="AA4728" s="3">
        <v>-21859.62</v>
      </c>
      <c r="AB4728">
        <v>1E-4</v>
      </c>
      <c r="AC4728">
        <v>9</v>
      </c>
      <c r="AD4728" s="5">
        <v>4.9312524698429581</v>
      </c>
      <c r="AE4728" s="5">
        <v>2.2482206966010847</v>
      </c>
      <c r="AF4728">
        <v>1</v>
      </c>
    </row>
    <row r="4729" spans="27:32" x14ac:dyDescent="0.3">
      <c r="AA4729" s="3">
        <v>31530.97</v>
      </c>
      <c r="AB4729">
        <v>1E-4</v>
      </c>
      <c r="AC4729">
        <v>7</v>
      </c>
      <c r="AD4729" s="5">
        <v>4.9677376124419386</v>
      </c>
      <c r="AE4729" s="5">
        <v>2.1248525864353383</v>
      </c>
      <c r="AF4729">
        <v>1</v>
      </c>
    </row>
    <row r="4730" spans="27:32" x14ac:dyDescent="0.3">
      <c r="AA4730" s="3">
        <v>3834.74</v>
      </c>
      <c r="AB4730">
        <v>1E-4</v>
      </c>
      <c r="AC4730">
        <v>8</v>
      </c>
      <c r="AD4730" s="5">
        <v>4.9746654105599681</v>
      </c>
      <c r="AE4730" s="5">
        <v>2.2462994857409844</v>
      </c>
      <c r="AF4730">
        <v>1</v>
      </c>
    </row>
    <row r="4731" spans="27:32" x14ac:dyDescent="0.3">
      <c r="AA4731" s="3">
        <v>49055.61</v>
      </c>
      <c r="AB4731">
        <v>1E-4</v>
      </c>
      <c r="AC4731">
        <v>7</v>
      </c>
      <c r="AD4731" s="5">
        <v>5.1539036649707288</v>
      </c>
      <c r="AE4731" s="5">
        <v>2.1828463978371921</v>
      </c>
      <c r="AF4731">
        <v>1</v>
      </c>
    </row>
    <row r="4732" spans="27:32" x14ac:dyDescent="0.3">
      <c r="AA4732" s="3">
        <v>22777.38</v>
      </c>
      <c r="AB4732">
        <v>1E-4</v>
      </c>
      <c r="AC4732">
        <v>8</v>
      </c>
      <c r="AD4732" s="5">
        <v>4.9700755813017263</v>
      </c>
      <c r="AE4732" s="5">
        <v>2.1492483256080215</v>
      </c>
      <c r="AF4732">
        <v>1</v>
      </c>
    </row>
    <row r="4733" spans="27:32" x14ac:dyDescent="0.3">
      <c r="AA4733" s="3">
        <v>7504.35</v>
      </c>
      <c r="AB4733">
        <v>1E-4</v>
      </c>
      <c r="AC4733">
        <v>8</v>
      </c>
      <c r="AD4733" s="5">
        <v>4.8360618142940304</v>
      </c>
      <c r="AE4733" s="5">
        <v>2.234128567908737</v>
      </c>
      <c r="AF4733">
        <v>1</v>
      </c>
    </row>
    <row r="4734" spans="27:32" x14ac:dyDescent="0.3">
      <c r="AA4734" s="3">
        <v>17274.900000000001</v>
      </c>
      <c r="AB4734">
        <v>1E-4</v>
      </c>
      <c r="AC4734">
        <v>8</v>
      </c>
      <c r="AD4734" s="5">
        <v>4.9505748789601354</v>
      </c>
      <c r="AE4734" s="5">
        <v>2.1803491009753038</v>
      </c>
      <c r="AF4734">
        <v>1</v>
      </c>
    </row>
    <row r="4735" spans="27:32" x14ac:dyDescent="0.3">
      <c r="AA4735" s="3">
        <v>-20437.03</v>
      </c>
      <c r="AB4735">
        <v>1E-4</v>
      </c>
      <c r="AC4735">
        <v>9</v>
      </c>
      <c r="AD4735" s="5">
        <v>4.879922150533945</v>
      </c>
      <c r="AE4735" s="5">
        <v>2.2217178323191757</v>
      </c>
      <c r="AF4735">
        <v>1</v>
      </c>
    </row>
    <row r="4736" spans="27:32" x14ac:dyDescent="0.3">
      <c r="AA4736" s="3">
        <v>4872.7472963486362</v>
      </c>
      <c r="AB4736">
        <v>1E-4</v>
      </c>
      <c r="AC4736">
        <v>8</v>
      </c>
      <c r="AD4736" s="5">
        <v>4.953304797532029</v>
      </c>
      <c r="AE4736" s="5">
        <v>2.1913037351013833</v>
      </c>
      <c r="AF4736">
        <v>0</v>
      </c>
    </row>
    <row r="4737" spans="27:32" x14ac:dyDescent="0.3">
      <c r="AA4737" s="3">
        <v>21980.9</v>
      </c>
      <c r="AB4737">
        <v>1E-4</v>
      </c>
      <c r="AC4737">
        <v>8</v>
      </c>
      <c r="AD4737" s="5">
        <v>4.8785380521797324</v>
      </c>
      <c r="AE4737" s="5">
        <v>2.1826533585571424</v>
      </c>
      <c r="AF4737">
        <v>1</v>
      </c>
    </row>
    <row r="4738" spans="27:32" x14ac:dyDescent="0.3">
      <c r="AA4738" s="3">
        <v>27904.240000000002</v>
      </c>
      <c r="AB4738">
        <v>1E-4</v>
      </c>
      <c r="AC4738">
        <v>8</v>
      </c>
      <c r="AD4738" s="5">
        <v>5.183578736544483</v>
      </c>
      <c r="AE4738" s="5">
        <v>2.2292341542590237</v>
      </c>
      <c r="AF4738">
        <v>1</v>
      </c>
    </row>
    <row r="4739" spans="27:32" x14ac:dyDescent="0.3">
      <c r="AA4739" s="3">
        <v>31108.799999999999</v>
      </c>
      <c r="AB4739">
        <v>1E-4</v>
      </c>
      <c r="AC4739">
        <v>8</v>
      </c>
      <c r="AD4739" s="5">
        <v>5.0930966626512459</v>
      </c>
      <c r="AE4739" s="5">
        <v>2.1283921802891523</v>
      </c>
      <c r="AF4739">
        <v>1</v>
      </c>
    </row>
    <row r="4740" spans="27:32" x14ac:dyDescent="0.3">
      <c r="AA4740" s="3">
        <v>22062.57</v>
      </c>
      <c r="AB4740">
        <v>1E-4</v>
      </c>
      <c r="AC4740">
        <v>8</v>
      </c>
      <c r="AD4740" s="5">
        <v>4.9778846887573147</v>
      </c>
      <c r="AE4740" s="5">
        <v>2.2028297181418308</v>
      </c>
      <c r="AF4740">
        <v>1</v>
      </c>
    </row>
    <row r="4741" spans="27:32" x14ac:dyDescent="0.3">
      <c r="AA4741" s="3">
        <v>-11515.12</v>
      </c>
      <c r="AB4741">
        <v>1E-4</v>
      </c>
      <c r="AC4741">
        <v>9</v>
      </c>
      <c r="AD4741" s="5">
        <v>4.8146934675133668</v>
      </c>
      <c r="AE4741" s="5">
        <v>2.2249344289744681</v>
      </c>
      <c r="AF4741">
        <v>1</v>
      </c>
    </row>
    <row r="4742" spans="27:32" x14ac:dyDescent="0.3">
      <c r="AA4742" s="3">
        <v>30758.54</v>
      </c>
      <c r="AB4742">
        <v>1E-4</v>
      </c>
      <c r="AC4742">
        <v>7</v>
      </c>
      <c r="AD4742" s="5">
        <v>4.9128863648014631</v>
      </c>
      <c r="AE4742" s="5">
        <v>2.1361850089888827</v>
      </c>
      <c r="AF4742">
        <v>1</v>
      </c>
    </row>
    <row r="4743" spans="27:32" x14ac:dyDescent="0.3">
      <c r="AA4743" s="3">
        <v>-1152.3800000000001</v>
      </c>
      <c r="AB4743">
        <v>1E-4</v>
      </c>
      <c r="AC4743">
        <v>9</v>
      </c>
      <c r="AD4743" s="5">
        <v>4.8134208612058353</v>
      </c>
      <c r="AE4743" s="5">
        <v>2.2082515107791694</v>
      </c>
      <c r="AF4743">
        <v>1</v>
      </c>
    </row>
    <row r="4744" spans="27:32" x14ac:dyDescent="0.3">
      <c r="AA4744" s="3">
        <v>36119.18</v>
      </c>
      <c r="AB4744">
        <v>1E-4</v>
      </c>
      <c r="AC4744">
        <v>7</v>
      </c>
      <c r="AD4744" s="5">
        <v>5.163525903920867</v>
      </c>
      <c r="AE4744" s="5">
        <v>2.2529483928996243</v>
      </c>
      <c r="AF4744">
        <v>1</v>
      </c>
    </row>
    <row r="4745" spans="27:32" x14ac:dyDescent="0.3">
      <c r="AA4745" s="3">
        <v>9895.51</v>
      </c>
      <c r="AB4745">
        <v>1E-4</v>
      </c>
      <c r="AC4745">
        <v>8</v>
      </c>
      <c r="AD4745" s="5">
        <v>4.8827817538341574</v>
      </c>
      <c r="AE4745" s="5">
        <v>2.1395055666434488</v>
      </c>
      <c r="AF4745">
        <v>1</v>
      </c>
    </row>
    <row r="4746" spans="27:32" x14ac:dyDescent="0.3">
      <c r="AA4746" s="3">
        <v>-30883.500347358349</v>
      </c>
      <c r="AB4746">
        <v>1E-4</v>
      </c>
      <c r="AC4746">
        <v>9</v>
      </c>
      <c r="AD4746" s="5">
        <v>4.951721199621212</v>
      </c>
      <c r="AE4746" s="5">
        <v>2.2239237243342123</v>
      </c>
      <c r="AF4746">
        <v>0</v>
      </c>
    </row>
    <row r="4747" spans="27:32" x14ac:dyDescent="0.3">
      <c r="AA4747" s="3">
        <v>20796.669999999998</v>
      </c>
      <c r="AB4747">
        <v>1E-4</v>
      </c>
      <c r="AC4747">
        <v>8</v>
      </c>
      <c r="AD4747" s="5">
        <v>5.0281903954338016</v>
      </c>
      <c r="AE4747" s="5">
        <v>2.2415238442796888</v>
      </c>
      <c r="AF4747">
        <v>1</v>
      </c>
    </row>
    <row r="4748" spans="27:32" x14ac:dyDescent="0.3">
      <c r="AA4748" s="3">
        <v>27382.11</v>
      </c>
      <c r="AB4748">
        <v>1E-4</v>
      </c>
      <c r="AC4748">
        <v>8</v>
      </c>
      <c r="AD4748" s="5">
        <v>5.0452717064923238</v>
      </c>
      <c r="AE4748" s="5">
        <v>2.3256157764278318</v>
      </c>
      <c r="AF4748">
        <v>1</v>
      </c>
    </row>
    <row r="4749" spans="27:32" x14ac:dyDescent="0.3">
      <c r="AA4749" s="3">
        <v>1808.04</v>
      </c>
      <c r="AB4749">
        <v>1E-4</v>
      </c>
      <c r="AC4749">
        <v>8</v>
      </c>
      <c r="AD4749" s="5">
        <v>5.1290951686975026</v>
      </c>
      <c r="AE4749" s="5">
        <v>2.2108833116032751</v>
      </c>
      <c r="AF4749">
        <v>1</v>
      </c>
    </row>
    <row r="4750" spans="27:32" x14ac:dyDescent="0.3">
      <c r="AA4750" s="3">
        <v>21914.720000000001</v>
      </c>
      <c r="AB4750">
        <v>1E-4</v>
      </c>
      <c r="AC4750">
        <v>8</v>
      </c>
      <c r="AD4750" s="5">
        <v>4.9873856962859042</v>
      </c>
      <c r="AE4750" s="5">
        <v>2.2835599451812314</v>
      </c>
      <c r="AF4750">
        <v>1</v>
      </c>
    </row>
    <row r="4751" spans="27:32" x14ac:dyDescent="0.3">
      <c r="AA4751" s="3">
        <v>-5613.95</v>
      </c>
      <c r="AB4751">
        <v>1E-4</v>
      </c>
      <c r="AC4751">
        <v>9</v>
      </c>
      <c r="AD4751" s="5">
        <v>4.9360521204825272</v>
      </c>
      <c r="AE4751" s="5">
        <v>2.1773515688722753</v>
      </c>
      <c r="AF4751">
        <v>1</v>
      </c>
    </row>
    <row r="4752" spans="27:32" x14ac:dyDescent="0.3">
      <c r="AA4752" s="3">
        <v>5243.21</v>
      </c>
      <c r="AB4752">
        <v>1E-4</v>
      </c>
      <c r="AC4752">
        <v>8</v>
      </c>
      <c r="AD4752" s="5">
        <v>5.0949636892479768</v>
      </c>
      <c r="AE4752" s="5">
        <v>2.15383697771383</v>
      </c>
      <c r="AF4752">
        <v>1</v>
      </c>
    </row>
    <row r="4753" spans="27:32" x14ac:dyDescent="0.3">
      <c r="AA4753" s="3">
        <v>10999.97</v>
      </c>
      <c r="AB4753">
        <v>1E-4</v>
      </c>
      <c r="AC4753">
        <v>8</v>
      </c>
      <c r="AD4753" s="5">
        <v>4.9346422452449099</v>
      </c>
      <c r="AE4753" s="5">
        <v>2.2595775650262664</v>
      </c>
      <c r="AF4753">
        <v>1</v>
      </c>
    </row>
    <row r="4754" spans="27:32" x14ac:dyDescent="0.3">
      <c r="AA4754" s="3">
        <v>33064.33</v>
      </c>
      <c r="AB4754">
        <v>1E-4</v>
      </c>
      <c r="AC4754">
        <v>7</v>
      </c>
      <c r="AD4754" s="5">
        <v>4.9496902339785116</v>
      </c>
      <c r="AE4754" s="5">
        <v>2.0909660449406338</v>
      </c>
      <c r="AF4754">
        <v>1</v>
      </c>
    </row>
    <row r="4755" spans="27:32" x14ac:dyDescent="0.3">
      <c r="AA4755" s="3">
        <v>9479.66</v>
      </c>
      <c r="AB4755">
        <v>1E-4</v>
      </c>
      <c r="AC4755">
        <v>8</v>
      </c>
      <c r="AD4755" s="5">
        <v>5.0837310293382396</v>
      </c>
      <c r="AE4755" s="5">
        <v>2.1323935089692094</v>
      </c>
      <c r="AF4755">
        <v>1</v>
      </c>
    </row>
    <row r="4756" spans="27:32" x14ac:dyDescent="0.3">
      <c r="AA4756" s="3">
        <v>-8664.86</v>
      </c>
      <c r="AB4756">
        <v>1E-4</v>
      </c>
      <c r="AC4756">
        <v>9</v>
      </c>
      <c r="AD4756" s="5">
        <v>5.0093758745715204</v>
      </c>
      <c r="AE4756" s="5">
        <v>2.2716361735921908</v>
      </c>
      <c r="AF4756">
        <v>1</v>
      </c>
    </row>
    <row r="4757" spans="27:32" x14ac:dyDescent="0.3">
      <c r="AA4757" s="3">
        <v>48912.21</v>
      </c>
      <c r="AB4757">
        <v>1E-4</v>
      </c>
      <c r="AC4757">
        <v>6</v>
      </c>
      <c r="AD4757" s="5">
        <v>5.1069508344925891</v>
      </c>
      <c r="AE4757" s="5">
        <v>2.1504658179069605</v>
      </c>
      <c r="AF4757">
        <v>1</v>
      </c>
    </row>
    <row r="4758" spans="27:32" x14ac:dyDescent="0.3">
      <c r="AA4758" s="3">
        <v>-4783.24</v>
      </c>
      <c r="AB4758">
        <v>1E-4</v>
      </c>
      <c r="AC4758">
        <v>9</v>
      </c>
      <c r="AD4758" s="5">
        <v>4.8483421219536531</v>
      </c>
      <c r="AE4758" s="5">
        <v>2.2117137903434467</v>
      </c>
      <c r="AF4758">
        <v>1</v>
      </c>
    </row>
    <row r="4759" spans="27:32" x14ac:dyDescent="0.3">
      <c r="AA4759" s="3">
        <v>11484.07</v>
      </c>
      <c r="AB4759">
        <v>1E-4</v>
      </c>
      <c r="AC4759">
        <v>8</v>
      </c>
      <c r="AD4759" s="5">
        <v>4.9562524843607214</v>
      </c>
      <c r="AE4759" s="5">
        <v>2.1766068378061925</v>
      </c>
      <c r="AF4759">
        <v>1</v>
      </c>
    </row>
    <row r="4760" spans="27:32" x14ac:dyDescent="0.3">
      <c r="AA4760" s="3">
        <v>25254.77</v>
      </c>
      <c r="AB4760">
        <v>1E-4</v>
      </c>
      <c r="AC4760">
        <v>8</v>
      </c>
      <c r="AD4760" s="5">
        <v>4.8534523918078811</v>
      </c>
      <c r="AE4760" s="5">
        <v>2.1581135815132027</v>
      </c>
      <c r="AF4760">
        <v>1</v>
      </c>
    </row>
    <row r="4761" spans="27:32" x14ac:dyDescent="0.3">
      <c r="AA4761" s="3">
        <v>38909.5</v>
      </c>
      <c r="AB4761">
        <v>1E-4</v>
      </c>
      <c r="AC4761">
        <v>7</v>
      </c>
      <c r="AD4761" s="5">
        <v>4.915500254160178</v>
      </c>
      <c r="AE4761" s="5">
        <v>2.1487725460042011</v>
      </c>
      <c r="AF4761">
        <v>1</v>
      </c>
    </row>
    <row r="4762" spans="27:32" x14ac:dyDescent="0.3">
      <c r="AA4762" s="3">
        <v>-20938.29484123041</v>
      </c>
      <c r="AB4762">
        <v>1E-4</v>
      </c>
      <c r="AC4762">
        <v>9</v>
      </c>
      <c r="AD4762" s="5">
        <v>4.8311222651110075</v>
      </c>
      <c r="AE4762" s="5">
        <v>2.2840782330664768</v>
      </c>
      <c r="AF4762">
        <v>0</v>
      </c>
    </row>
    <row r="4763" spans="27:32" x14ac:dyDescent="0.3">
      <c r="AA4763" s="3">
        <v>-12394.34</v>
      </c>
      <c r="AB4763">
        <v>1E-4</v>
      </c>
      <c r="AC4763">
        <v>9</v>
      </c>
      <c r="AD4763" s="5">
        <v>5.0000156816717931</v>
      </c>
      <c r="AE4763" s="5">
        <v>2.1817313296100584</v>
      </c>
      <c r="AF4763">
        <v>1</v>
      </c>
    </row>
    <row r="4764" spans="27:32" x14ac:dyDescent="0.3">
      <c r="AA4764" s="3">
        <v>935.7</v>
      </c>
      <c r="AB4764">
        <v>1E-4</v>
      </c>
      <c r="AC4764">
        <v>8</v>
      </c>
      <c r="AD4764" s="5">
        <v>4.9898413224474236</v>
      </c>
      <c r="AE4764" s="5">
        <v>2.2186077738822236</v>
      </c>
      <c r="AF4764">
        <v>1</v>
      </c>
    </row>
    <row r="4765" spans="27:32" x14ac:dyDescent="0.3">
      <c r="AA4765" s="3">
        <v>14122.3</v>
      </c>
      <c r="AB4765">
        <v>1E-4</v>
      </c>
      <c r="AC4765">
        <v>8</v>
      </c>
      <c r="AD4765" s="5">
        <v>5.0743354612236073</v>
      </c>
      <c r="AE4765" s="5">
        <v>2.1636246697049653</v>
      </c>
      <c r="AF4765">
        <v>1</v>
      </c>
    </row>
    <row r="4766" spans="27:32" x14ac:dyDescent="0.3">
      <c r="AA4766" s="3">
        <v>11164.56</v>
      </c>
      <c r="AB4766">
        <v>1E-4</v>
      </c>
      <c r="AC4766">
        <v>8</v>
      </c>
      <c r="AD4766" s="5">
        <v>5.1044311894338747</v>
      </c>
      <c r="AE4766" s="5">
        <v>2.1650908482253199</v>
      </c>
      <c r="AF4766">
        <v>1</v>
      </c>
    </row>
    <row r="4767" spans="27:32" x14ac:dyDescent="0.3">
      <c r="AA4767" s="3">
        <v>-13485.62</v>
      </c>
      <c r="AB4767">
        <v>1E-4</v>
      </c>
      <c r="AC4767">
        <v>9</v>
      </c>
      <c r="AD4767" s="5">
        <v>4.8186998730216066</v>
      </c>
      <c r="AE4767" s="5">
        <v>2.1819121279229008</v>
      </c>
      <c r="AF4767">
        <v>1</v>
      </c>
    </row>
    <row r="4768" spans="27:32" x14ac:dyDescent="0.3">
      <c r="AA4768" s="3">
        <v>28726.28</v>
      </c>
      <c r="AB4768">
        <v>1E-4</v>
      </c>
      <c r="AC4768">
        <v>7</v>
      </c>
      <c r="AD4768" s="5">
        <v>4.845456671474226</v>
      </c>
      <c r="AE4768" s="5">
        <v>2.1617785235601223</v>
      </c>
      <c r="AF4768">
        <v>1</v>
      </c>
    </row>
    <row r="4769" spans="27:32" x14ac:dyDescent="0.3">
      <c r="AA4769" s="3">
        <v>-6044.39</v>
      </c>
      <c r="AB4769">
        <v>1E-4</v>
      </c>
      <c r="AC4769">
        <v>9</v>
      </c>
      <c r="AD4769" s="5">
        <v>4.8931153546833048</v>
      </c>
      <c r="AE4769" s="5">
        <v>2.1600065898274905</v>
      </c>
      <c r="AF4769">
        <v>1</v>
      </c>
    </row>
    <row r="4770" spans="27:32" x14ac:dyDescent="0.3">
      <c r="AA4770" s="3">
        <v>17709.009999999998</v>
      </c>
      <c r="AB4770">
        <v>1E-4</v>
      </c>
      <c r="AC4770">
        <v>8</v>
      </c>
      <c r="AD4770" s="5">
        <v>5.1196868104822411</v>
      </c>
      <c r="AE4770" s="5">
        <v>2.1913559143528403</v>
      </c>
      <c r="AF4770">
        <v>1</v>
      </c>
    </row>
    <row r="4771" spans="27:32" x14ac:dyDescent="0.3">
      <c r="AA4771" s="3">
        <v>20229.900000000001</v>
      </c>
      <c r="AB4771">
        <v>1E-4</v>
      </c>
      <c r="AC4771">
        <v>8</v>
      </c>
      <c r="AD4771" s="5">
        <v>4.974166649896488</v>
      </c>
      <c r="AE4771" s="5">
        <v>2.2064390581086353</v>
      </c>
      <c r="AF4771">
        <v>1</v>
      </c>
    </row>
    <row r="4772" spans="27:32" x14ac:dyDescent="0.3">
      <c r="AA4772" s="3">
        <v>4665.3</v>
      </c>
      <c r="AB4772">
        <v>1E-4</v>
      </c>
      <c r="AC4772">
        <v>8</v>
      </c>
      <c r="AD4772" s="5">
        <v>5.0976594980388938</v>
      </c>
      <c r="AE4772" s="5">
        <v>2.2435259637738358</v>
      </c>
      <c r="AF4772">
        <v>1</v>
      </c>
    </row>
    <row r="4773" spans="27:32" x14ac:dyDescent="0.3">
      <c r="AA4773" s="3">
        <v>-10459.040000000001</v>
      </c>
      <c r="AB4773">
        <v>1E-4</v>
      </c>
      <c r="AC4773">
        <v>9</v>
      </c>
      <c r="AD4773" s="5">
        <v>5.0232632179182719</v>
      </c>
      <c r="AE4773" s="5">
        <v>2.1798070152790929</v>
      </c>
      <c r="AF4773">
        <v>1</v>
      </c>
    </row>
    <row r="4774" spans="27:32" x14ac:dyDescent="0.3">
      <c r="AA4774" s="3">
        <v>12739.58</v>
      </c>
      <c r="AB4774">
        <v>1E-4</v>
      </c>
      <c r="AC4774">
        <v>8</v>
      </c>
      <c r="AD4774" s="5">
        <v>4.985218236874565</v>
      </c>
      <c r="AE4774" s="5">
        <v>2.2851807038703265</v>
      </c>
      <c r="AF4774">
        <v>1</v>
      </c>
    </row>
    <row r="4775" spans="27:32" x14ac:dyDescent="0.3">
      <c r="AA4775" s="3">
        <v>1864.27</v>
      </c>
      <c r="AB4775">
        <v>1E-4</v>
      </c>
      <c r="AC4775">
        <v>8</v>
      </c>
      <c r="AD4775" s="5">
        <v>5.1133986066089472</v>
      </c>
      <c r="AE4775" s="5">
        <v>2.3015610028355371</v>
      </c>
      <c r="AF4775">
        <v>1</v>
      </c>
    </row>
    <row r="4776" spans="27:32" x14ac:dyDescent="0.3">
      <c r="AA4776" s="3">
        <v>12406.78</v>
      </c>
      <c r="AB4776">
        <v>1E-4</v>
      </c>
      <c r="AC4776">
        <v>8</v>
      </c>
      <c r="AD4776" s="5">
        <v>5.063746974206901</v>
      </c>
      <c r="AE4776" s="5">
        <v>2.2003964908068303</v>
      </c>
      <c r="AF4776">
        <v>1</v>
      </c>
    </row>
    <row r="4777" spans="27:32" x14ac:dyDescent="0.3">
      <c r="AA4777" s="3">
        <v>16633.48</v>
      </c>
      <c r="AB4777">
        <v>1E-4</v>
      </c>
      <c r="AC4777">
        <v>8</v>
      </c>
      <c r="AD4777" s="5">
        <v>5.12826041617281</v>
      </c>
      <c r="AE4777" s="5">
        <v>2.2226541448108397</v>
      </c>
      <c r="AF4777">
        <v>1</v>
      </c>
    </row>
    <row r="4778" spans="27:32" x14ac:dyDescent="0.3">
      <c r="AA4778" s="3">
        <v>16016.03</v>
      </c>
      <c r="AB4778">
        <v>1E-4</v>
      </c>
      <c r="AC4778">
        <v>8</v>
      </c>
      <c r="AD4778" s="5">
        <v>5.0460934907992065</v>
      </c>
      <c r="AE4778" s="5">
        <v>2.1841764809624289</v>
      </c>
      <c r="AF4778">
        <v>1</v>
      </c>
    </row>
    <row r="4779" spans="27:32" x14ac:dyDescent="0.3">
      <c r="AA4779" s="3">
        <v>1432.53</v>
      </c>
      <c r="AB4779">
        <v>1E-4</v>
      </c>
      <c r="AC4779">
        <v>8</v>
      </c>
      <c r="AD4779" s="5">
        <v>4.951673799725711</v>
      </c>
      <c r="AE4779" s="5">
        <v>2.2681876159526451</v>
      </c>
      <c r="AF4779">
        <v>1</v>
      </c>
    </row>
    <row r="4780" spans="27:32" x14ac:dyDescent="0.3">
      <c r="AA4780" s="3">
        <v>20292.13</v>
      </c>
      <c r="AB4780">
        <v>1E-4</v>
      </c>
      <c r="AC4780">
        <v>8</v>
      </c>
      <c r="AD4780" s="5">
        <v>4.9440534100638009</v>
      </c>
      <c r="AE4780" s="5">
        <v>2.2131289724053782</v>
      </c>
      <c r="AF4780">
        <v>1</v>
      </c>
    </row>
    <row r="4781" spans="27:32" x14ac:dyDescent="0.3">
      <c r="AA4781" s="3">
        <v>18514.150000000001</v>
      </c>
      <c r="AB4781">
        <v>1E-4</v>
      </c>
      <c r="AC4781">
        <v>8</v>
      </c>
      <c r="AD4781" s="5">
        <v>4.8636237538579499</v>
      </c>
      <c r="AE4781" s="5">
        <v>2.1647980517250902</v>
      </c>
      <c r="AF4781">
        <v>1</v>
      </c>
    </row>
    <row r="4782" spans="27:32" x14ac:dyDescent="0.3">
      <c r="AA4782" s="3">
        <v>36089.870000000003</v>
      </c>
      <c r="AB4782">
        <v>1E-4</v>
      </c>
      <c r="AC4782">
        <v>7</v>
      </c>
      <c r="AD4782" s="5">
        <v>4.9442673555316476</v>
      </c>
      <c r="AE4782" s="5">
        <v>2.138549813058388</v>
      </c>
      <c r="AF4782">
        <v>1</v>
      </c>
    </row>
    <row r="4783" spans="27:32" x14ac:dyDescent="0.3">
      <c r="AA4783" s="3">
        <v>23427.32</v>
      </c>
      <c r="AB4783">
        <v>1E-4</v>
      </c>
      <c r="AC4783">
        <v>8</v>
      </c>
      <c r="AD4783" s="5">
        <v>4.8249503165438181</v>
      </c>
      <c r="AE4783" s="5">
        <v>2.2404477767244355</v>
      </c>
      <c r="AF4783">
        <v>1</v>
      </c>
    </row>
    <row r="4784" spans="27:32" x14ac:dyDescent="0.3">
      <c r="AA4784" s="3">
        <v>14713.64</v>
      </c>
      <c r="AB4784">
        <v>1E-4</v>
      </c>
      <c r="AC4784">
        <v>8</v>
      </c>
      <c r="AD4784" s="5">
        <v>4.9667557180372963</v>
      </c>
      <c r="AE4784" s="5">
        <v>2.1482185965462741</v>
      </c>
      <c r="AF4784">
        <v>1</v>
      </c>
    </row>
    <row r="4785" spans="27:32" x14ac:dyDescent="0.3">
      <c r="AA4785" s="3">
        <v>30620.16</v>
      </c>
      <c r="AB4785">
        <v>1E-4</v>
      </c>
      <c r="AC4785">
        <v>8</v>
      </c>
      <c r="AD4785" s="5">
        <v>5.0534064995593972</v>
      </c>
      <c r="AE4785" s="5">
        <v>2.1862486945219612</v>
      </c>
      <c r="AF4785">
        <v>1</v>
      </c>
    </row>
    <row r="4786" spans="27:32" x14ac:dyDescent="0.3">
      <c r="AA4786" s="3">
        <v>9227.07</v>
      </c>
      <c r="AB4786">
        <v>1E-4</v>
      </c>
      <c r="AC4786">
        <v>8</v>
      </c>
      <c r="AD4786" s="5">
        <v>5.0452112654350305</v>
      </c>
      <c r="AE4786" s="5">
        <v>2.1478294883342421</v>
      </c>
      <c r="AF4786">
        <v>1</v>
      </c>
    </row>
    <row r="4787" spans="27:32" x14ac:dyDescent="0.3">
      <c r="AA4787" s="3">
        <v>-912.81</v>
      </c>
      <c r="AB4787">
        <v>1E-4</v>
      </c>
      <c r="AC4787">
        <v>9</v>
      </c>
      <c r="AD4787" s="5">
        <v>4.8449239196224854</v>
      </c>
      <c r="AE4787" s="5">
        <v>2.2241546812473674</v>
      </c>
      <c r="AF4787">
        <v>1</v>
      </c>
    </row>
    <row r="4788" spans="27:32" x14ac:dyDescent="0.3">
      <c r="AA4788" s="3">
        <v>10307.07</v>
      </c>
      <c r="AB4788">
        <v>1E-4</v>
      </c>
      <c r="AC4788">
        <v>8</v>
      </c>
      <c r="AD4788" s="5">
        <v>4.9870673643442833</v>
      </c>
      <c r="AE4788" s="5">
        <v>2.2008693591237338</v>
      </c>
      <c r="AF4788">
        <v>1</v>
      </c>
    </row>
    <row r="4789" spans="27:32" x14ac:dyDescent="0.3">
      <c r="AA4789" s="3">
        <v>27562.45</v>
      </c>
      <c r="AB4789">
        <v>1E-4</v>
      </c>
      <c r="AC4789">
        <v>8</v>
      </c>
      <c r="AD4789" s="5">
        <v>5.0144056943189925</v>
      </c>
      <c r="AE4789" s="5">
        <v>2.122600223419115</v>
      </c>
      <c r="AF4789">
        <v>1</v>
      </c>
    </row>
    <row r="4790" spans="27:32" x14ac:dyDescent="0.3">
      <c r="AA4790" s="3">
        <v>17249.310000000001</v>
      </c>
      <c r="AB4790">
        <v>1E-4</v>
      </c>
      <c r="AC4790">
        <v>8</v>
      </c>
      <c r="AD4790" s="5">
        <v>5.0859468961878651</v>
      </c>
      <c r="AE4790" s="5">
        <v>2.1352585161973874</v>
      </c>
      <c r="AF4790">
        <v>1</v>
      </c>
    </row>
    <row r="4791" spans="27:32" x14ac:dyDescent="0.3">
      <c r="AA4791" s="3">
        <v>37823.550000000003</v>
      </c>
      <c r="AB4791">
        <v>1E-4</v>
      </c>
      <c r="AC4791">
        <v>7</v>
      </c>
      <c r="AD4791" s="5">
        <v>5.0512775944793704</v>
      </c>
      <c r="AE4791" s="5">
        <v>2.0889823916828512</v>
      </c>
      <c r="AF4791">
        <v>1</v>
      </c>
    </row>
    <row r="4792" spans="27:32" x14ac:dyDescent="0.3">
      <c r="AA4792" s="3">
        <v>-13283.27</v>
      </c>
      <c r="AB4792">
        <v>1E-4</v>
      </c>
      <c r="AC4792">
        <v>9</v>
      </c>
      <c r="AD4792" s="5">
        <v>4.9623428447238123</v>
      </c>
      <c r="AE4792" s="5">
        <v>2.1567690585579276</v>
      </c>
      <c r="AF4792">
        <v>1</v>
      </c>
    </row>
    <row r="4793" spans="27:32" x14ac:dyDescent="0.3">
      <c r="AA4793" s="3">
        <v>12562.84</v>
      </c>
      <c r="AB4793">
        <v>1E-4</v>
      </c>
      <c r="AC4793">
        <v>8</v>
      </c>
      <c r="AD4793" s="5">
        <v>5.0719487158760321</v>
      </c>
      <c r="AE4793" s="5">
        <v>2.1816865344363641</v>
      </c>
      <c r="AF4793">
        <v>1</v>
      </c>
    </row>
    <row r="4794" spans="27:32" x14ac:dyDescent="0.3">
      <c r="AA4794" s="3">
        <v>48103.86</v>
      </c>
      <c r="AB4794">
        <v>1E-4</v>
      </c>
      <c r="AC4794">
        <v>7</v>
      </c>
      <c r="AD4794" s="5">
        <v>5.1273353650720361</v>
      </c>
      <c r="AE4794" s="5">
        <v>2.113237815115391</v>
      </c>
      <c r="AF4794">
        <v>1</v>
      </c>
    </row>
    <row r="4795" spans="27:32" x14ac:dyDescent="0.3">
      <c r="AA4795" s="3">
        <v>11832.41</v>
      </c>
      <c r="AB4795">
        <v>1E-4</v>
      </c>
      <c r="AC4795">
        <v>8</v>
      </c>
      <c r="AD4795" s="5">
        <v>4.9936890900427215</v>
      </c>
      <c r="AE4795" s="5">
        <v>2.1622832471208429</v>
      </c>
      <c r="AF4795">
        <v>1</v>
      </c>
    </row>
    <row r="4796" spans="27:32" x14ac:dyDescent="0.3">
      <c r="AA4796" s="3">
        <v>-7994.01</v>
      </c>
      <c r="AB4796">
        <v>1E-4</v>
      </c>
      <c r="AC4796">
        <v>9</v>
      </c>
      <c r="AD4796" s="5">
        <v>5.1410544298782863</v>
      </c>
      <c r="AE4796" s="5">
        <v>2.2378680637900228</v>
      </c>
      <c r="AF4796">
        <v>1</v>
      </c>
    </row>
    <row r="4797" spans="27:32" x14ac:dyDescent="0.3">
      <c r="AA4797" s="3">
        <v>27810.39</v>
      </c>
      <c r="AB4797">
        <v>1E-4</v>
      </c>
      <c r="AC4797">
        <v>7</v>
      </c>
      <c r="AD4797" s="5">
        <v>4.8817389755845841</v>
      </c>
      <c r="AE4797" s="5">
        <v>2.2508429041784455</v>
      </c>
      <c r="AF4797">
        <v>1</v>
      </c>
    </row>
    <row r="4798" spans="27:32" x14ac:dyDescent="0.3">
      <c r="AA4798" s="3">
        <v>15196.75</v>
      </c>
      <c r="AB4798">
        <v>1E-4</v>
      </c>
      <c r="AC4798">
        <v>8</v>
      </c>
      <c r="AD4798" s="5">
        <v>5.056879423755066</v>
      </c>
      <c r="AE4798" s="5">
        <v>2.1918217444077563</v>
      </c>
      <c r="AF4798">
        <v>1</v>
      </c>
    </row>
    <row r="4799" spans="27:32" x14ac:dyDescent="0.3">
      <c r="AA4799" s="3">
        <v>29429.59</v>
      </c>
      <c r="AB4799">
        <v>1E-4</v>
      </c>
      <c r="AC4799">
        <v>8</v>
      </c>
      <c r="AD4799" s="5">
        <v>4.9683268625415486</v>
      </c>
      <c r="AE4799" s="5">
        <v>2.1454095628237906</v>
      </c>
      <c r="AF4799">
        <v>1</v>
      </c>
    </row>
    <row r="4800" spans="27:32" x14ac:dyDescent="0.3">
      <c r="AA4800" s="3">
        <v>20393.97</v>
      </c>
      <c r="AB4800">
        <v>1E-4</v>
      </c>
      <c r="AC4800">
        <v>8</v>
      </c>
      <c r="AD4800" s="5">
        <v>5.0453862773792792</v>
      </c>
      <c r="AE4800" s="5">
        <v>2.1363386189266138</v>
      </c>
      <c r="AF4800">
        <v>1</v>
      </c>
    </row>
    <row r="4801" spans="27:32" x14ac:dyDescent="0.3">
      <c r="AA4801" s="3">
        <v>33645.93</v>
      </c>
      <c r="AB4801">
        <v>1E-4</v>
      </c>
      <c r="AC4801">
        <v>7</v>
      </c>
      <c r="AD4801" s="5">
        <v>4.8959517663966459</v>
      </c>
      <c r="AE4801" s="5">
        <v>2.1908486211732359</v>
      </c>
      <c r="AF4801">
        <v>1</v>
      </c>
    </row>
    <row r="4802" spans="27:32" x14ac:dyDescent="0.3">
      <c r="AA4802" s="3">
        <v>27466.639999999999</v>
      </c>
      <c r="AB4802">
        <v>1E-4</v>
      </c>
      <c r="AC4802">
        <v>8</v>
      </c>
      <c r="AD4802" s="5">
        <v>5.1367312849265883</v>
      </c>
      <c r="AE4802" s="5">
        <v>2.163275451694052</v>
      </c>
      <c r="AF4802">
        <v>1</v>
      </c>
    </row>
    <row r="4803" spans="27:32" x14ac:dyDescent="0.3">
      <c r="AA4803" s="3">
        <v>8128.25</v>
      </c>
      <c r="AB4803">
        <v>1E-4</v>
      </c>
      <c r="AC4803">
        <v>8</v>
      </c>
      <c r="AD4803" s="5">
        <v>4.8457703208169889</v>
      </c>
      <c r="AE4803" s="5">
        <v>2.2673986282060374</v>
      </c>
      <c r="AF4803">
        <v>1</v>
      </c>
    </row>
    <row r="4804" spans="27:32" x14ac:dyDescent="0.3">
      <c r="AA4804" s="3">
        <v>29860.02</v>
      </c>
      <c r="AB4804">
        <v>1E-4</v>
      </c>
      <c r="AC4804">
        <v>8</v>
      </c>
      <c r="AD4804" s="5">
        <v>5.0337502249435948</v>
      </c>
      <c r="AE4804" s="5">
        <v>2.1978165807136016</v>
      </c>
      <c r="AF4804">
        <v>1</v>
      </c>
    </row>
    <row r="4805" spans="27:32" x14ac:dyDescent="0.3">
      <c r="AA4805" s="3">
        <v>9105.73</v>
      </c>
      <c r="AB4805">
        <v>1E-4</v>
      </c>
      <c r="AC4805">
        <v>8</v>
      </c>
      <c r="AD4805" s="5">
        <v>4.9763357441046496</v>
      </c>
      <c r="AE4805" s="5">
        <v>2.1292262397613197</v>
      </c>
      <c r="AF4805">
        <v>1</v>
      </c>
    </row>
    <row r="4806" spans="27:32" x14ac:dyDescent="0.3">
      <c r="AA4806" s="3">
        <v>-732.16</v>
      </c>
      <c r="AB4806">
        <v>1E-4</v>
      </c>
      <c r="AC4806">
        <v>9</v>
      </c>
      <c r="AD4806" s="5">
        <v>4.849655152716478</v>
      </c>
      <c r="AE4806" s="5">
        <v>2.2674070638502708</v>
      </c>
      <c r="AF4806">
        <v>1</v>
      </c>
    </row>
    <row r="4807" spans="27:32" x14ac:dyDescent="0.3">
      <c r="AA4807" s="3">
        <v>25564.2</v>
      </c>
      <c r="AB4807">
        <v>1E-4</v>
      </c>
      <c r="AC4807">
        <v>8</v>
      </c>
      <c r="AD4807" s="5">
        <v>4.9075487854635451</v>
      </c>
      <c r="AE4807" s="5">
        <v>2.2163781454731022</v>
      </c>
      <c r="AF4807">
        <v>1</v>
      </c>
    </row>
    <row r="4808" spans="27:32" x14ac:dyDescent="0.3">
      <c r="AA4808" s="3">
        <v>33138.86</v>
      </c>
      <c r="AB4808">
        <v>1E-4</v>
      </c>
      <c r="AC4808">
        <v>7</v>
      </c>
      <c r="AD4808" s="5">
        <v>4.9670099032808048</v>
      </c>
      <c r="AE4808" s="5">
        <v>2.1689614553846019</v>
      </c>
      <c r="AF4808">
        <v>1</v>
      </c>
    </row>
    <row r="4809" spans="27:32" x14ac:dyDescent="0.3">
      <c r="AA4809" s="3">
        <v>6984.77</v>
      </c>
      <c r="AB4809">
        <v>1E-4</v>
      </c>
      <c r="AC4809">
        <v>8</v>
      </c>
      <c r="AD4809" s="5">
        <v>4.9373786409614242</v>
      </c>
      <c r="AE4809" s="5">
        <v>2.2041804808366208</v>
      </c>
      <c r="AF4809">
        <v>1</v>
      </c>
    </row>
    <row r="4810" spans="27:32" x14ac:dyDescent="0.3">
      <c r="AA4810" s="3">
        <v>-5993.46</v>
      </c>
      <c r="AB4810">
        <v>1E-4</v>
      </c>
      <c r="AC4810">
        <v>9</v>
      </c>
      <c r="AD4810" s="5">
        <v>4.8838075400416106</v>
      </c>
      <c r="AE4810" s="5">
        <v>2.2545999319290591</v>
      </c>
      <c r="AF4810">
        <v>1</v>
      </c>
    </row>
    <row r="4811" spans="27:32" x14ac:dyDescent="0.3">
      <c r="AA4811" s="3">
        <v>7778.77</v>
      </c>
      <c r="AB4811">
        <v>1E-4</v>
      </c>
      <c r="AC4811">
        <v>8</v>
      </c>
      <c r="AD4811" s="5">
        <v>4.9307609053374835</v>
      </c>
      <c r="AE4811" s="5">
        <v>2.1828839510970499</v>
      </c>
      <c r="AF4811">
        <v>1</v>
      </c>
    </row>
    <row r="4812" spans="27:32" x14ac:dyDescent="0.3">
      <c r="AA4812" s="3">
        <v>20177.68</v>
      </c>
      <c r="AB4812">
        <v>1E-4</v>
      </c>
      <c r="AC4812">
        <v>8</v>
      </c>
      <c r="AD4812" s="5">
        <v>4.9275013811880983</v>
      </c>
      <c r="AE4812" s="5">
        <v>2.1983995264411509</v>
      </c>
      <c r="AF4812">
        <v>1</v>
      </c>
    </row>
    <row r="4813" spans="27:32" x14ac:dyDescent="0.3">
      <c r="AA4813" s="3">
        <v>14593.87</v>
      </c>
      <c r="AB4813">
        <v>1E-4</v>
      </c>
      <c r="AC4813">
        <v>8</v>
      </c>
      <c r="AD4813" s="5">
        <v>4.9910039141988607</v>
      </c>
      <c r="AE4813" s="5">
        <v>2.1836425030942159</v>
      </c>
      <c r="AF4813">
        <v>1</v>
      </c>
    </row>
    <row r="4814" spans="27:32" x14ac:dyDescent="0.3">
      <c r="AA4814" s="3">
        <v>22249.45</v>
      </c>
      <c r="AB4814">
        <v>1E-4</v>
      </c>
      <c r="AC4814">
        <v>8</v>
      </c>
      <c r="AD4814" s="5">
        <v>4.9015108410192409</v>
      </c>
      <c r="AE4814" s="5">
        <v>2.1805973088899266</v>
      </c>
      <c r="AF4814">
        <v>1</v>
      </c>
    </row>
    <row r="4815" spans="27:32" x14ac:dyDescent="0.3">
      <c r="AA4815" s="3">
        <v>-18188.96</v>
      </c>
      <c r="AB4815">
        <v>1E-4</v>
      </c>
      <c r="AC4815">
        <v>9</v>
      </c>
      <c r="AD4815" s="5">
        <v>5.0687540249641696</v>
      </c>
      <c r="AE4815" s="5">
        <v>2.2353360021631605</v>
      </c>
      <c r="AF4815">
        <v>1</v>
      </c>
    </row>
    <row r="4816" spans="27:32" x14ac:dyDescent="0.3">
      <c r="AA4816" s="3">
        <v>21068.83</v>
      </c>
      <c r="AB4816">
        <v>1E-4</v>
      </c>
      <c r="AC4816">
        <v>8</v>
      </c>
      <c r="AD4816" s="5">
        <v>5.1191510110556937</v>
      </c>
      <c r="AE4816" s="5">
        <v>2.1572187858295702</v>
      </c>
      <c r="AF4816">
        <v>1</v>
      </c>
    </row>
    <row r="4817" spans="27:32" x14ac:dyDescent="0.3">
      <c r="AA4817" s="3">
        <v>43838.22</v>
      </c>
      <c r="AB4817">
        <v>1E-4</v>
      </c>
      <c r="AC4817">
        <v>7</v>
      </c>
      <c r="AD4817" s="5">
        <v>5.0642587501158536</v>
      </c>
      <c r="AE4817" s="5">
        <v>2.1763089031032781</v>
      </c>
      <c r="AF4817">
        <v>1</v>
      </c>
    </row>
    <row r="4818" spans="27:32" x14ac:dyDescent="0.3">
      <c r="AA4818" s="3">
        <v>36884.92</v>
      </c>
      <c r="AB4818">
        <v>1E-4</v>
      </c>
      <c r="AC4818">
        <v>7</v>
      </c>
      <c r="AD4818" s="5">
        <v>5.0280208745705819</v>
      </c>
      <c r="AE4818" s="5">
        <v>2.1980497380973416</v>
      </c>
      <c r="AF4818">
        <v>1</v>
      </c>
    </row>
    <row r="4819" spans="27:32" x14ac:dyDescent="0.3">
      <c r="AA4819" s="3">
        <v>11248.14</v>
      </c>
      <c r="AB4819">
        <v>1E-4</v>
      </c>
      <c r="AC4819">
        <v>8</v>
      </c>
      <c r="AD4819" s="5">
        <v>4.9817321936771437</v>
      </c>
      <c r="AE4819" s="5">
        <v>2.2153317115106907</v>
      </c>
      <c r="AF4819">
        <v>1</v>
      </c>
    </row>
    <row r="4820" spans="27:32" x14ac:dyDescent="0.3">
      <c r="AA4820" s="3">
        <v>4032.43</v>
      </c>
      <c r="AB4820">
        <v>1E-4</v>
      </c>
      <c r="AC4820">
        <v>8</v>
      </c>
      <c r="AD4820" s="5">
        <v>5.1070989288166198</v>
      </c>
      <c r="AE4820" s="5">
        <v>2.20648096290269</v>
      </c>
      <c r="AF4820">
        <v>1</v>
      </c>
    </row>
    <row r="4821" spans="27:32" x14ac:dyDescent="0.3">
      <c r="AA4821" s="3">
        <v>44418.58</v>
      </c>
      <c r="AB4821">
        <v>1E-4</v>
      </c>
      <c r="AC4821">
        <v>7</v>
      </c>
      <c r="AD4821" s="5">
        <v>5.1287807832036378</v>
      </c>
      <c r="AE4821" s="5">
        <v>2.1976572184879344</v>
      </c>
      <c r="AF4821">
        <v>1</v>
      </c>
    </row>
    <row r="4822" spans="27:32" x14ac:dyDescent="0.3">
      <c r="AA4822" s="3">
        <v>11240.75</v>
      </c>
      <c r="AB4822">
        <v>1E-4</v>
      </c>
      <c r="AC4822">
        <v>8</v>
      </c>
      <c r="AD4822" s="5">
        <v>5.0745631073976449</v>
      </c>
      <c r="AE4822" s="5">
        <v>2.1636061449242199</v>
      </c>
      <c r="AF4822">
        <v>1</v>
      </c>
    </row>
    <row r="4823" spans="27:32" x14ac:dyDescent="0.3">
      <c r="AA4823" s="3">
        <v>733.08</v>
      </c>
      <c r="AB4823">
        <v>1E-4</v>
      </c>
      <c r="AC4823">
        <v>8</v>
      </c>
      <c r="AD4823" s="5">
        <v>4.9705931813811235</v>
      </c>
      <c r="AE4823" s="5">
        <v>2.2436274018367324</v>
      </c>
      <c r="AF4823">
        <v>1</v>
      </c>
    </row>
    <row r="4824" spans="27:32" x14ac:dyDescent="0.3">
      <c r="AA4824" s="3">
        <v>23917.7</v>
      </c>
      <c r="AB4824">
        <v>1E-4</v>
      </c>
      <c r="AC4824">
        <v>8</v>
      </c>
      <c r="AD4824" s="5">
        <v>5.1515529363255244</v>
      </c>
      <c r="AE4824" s="5">
        <v>2.1712915924321123</v>
      </c>
      <c r="AF4824">
        <v>1</v>
      </c>
    </row>
    <row r="4825" spans="27:32" x14ac:dyDescent="0.3">
      <c r="AA4825" s="3">
        <v>27140.48</v>
      </c>
      <c r="AB4825">
        <v>1E-4</v>
      </c>
      <c r="AC4825">
        <v>8</v>
      </c>
      <c r="AD4825" s="5">
        <v>4.920004415592782</v>
      </c>
      <c r="AE4825" s="5">
        <v>2.1282889468981439</v>
      </c>
      <c r="AF4825">
        <v>1</v>
      </c>
    </row>
    <row r="4826" spans="27:32" x14ac:dyDescent="0.3">
      <c r="AA4826" s="3">
        <v>-11060.311097953869</v>
      </c>
      <c r="AB4826">
        <v>1E-4</v>
      </c>
      <c r="AC4826">
        <v>8</v>
      </c>
      <c r="AD4826" s="5">
        <v>5.0529756064937414</v>
      </c>
      <c r="AE4826" s="5">
        <v>2.1977644876784947</v>
      </c>
      <c r="AF4826">
        <v>0</v>
      </c>
    </row>
    <row r="4827" spans="27:32" x14ac:dyDescent="0.3">
      <c r="AA4827" s="3">
        <v>-818.13</v>
      </c>
      <c r="AB4827">
        <v>1E-4</v>
      </c>
      <c r="AC4827">
        <v>9</v>
      </c>
      <c r="AD4827" s="5">
        <v>5.0297875200409035</v>
      </c>
      <c r="AE4827" s="5">
        <v>2.2304334199471811</v>
      </c>
      <c r="AF4827">
        <v>1</v>
      </c>
    </row>
    <row r="4828" spans="27:32" x14ac:dyDescent="0.3">
      <c r="AA4828" s="3">
        <v>-2732.84</v>
      </c>
      <c r="AB4828">
        <v>1E-4</v>
      </c>
      <c r="AC4828">
        <v>9</v>
      </c>
      <c r="AD4828" s="5">
        <v>4.8366631036782124</v>
      </c>
      <c r="AE4828" s="5">
        <v>2.1926629187818607</v>
      </c>
      <c r="AF4828">
        <v>1</v>
      </c>
    </row>
    <row r="4829" spans="27:32" x14ac:dyDescent="0.3">
      <c r="AA4829" s="3">
        <v>4172.93</v>
      </c>
      <c r="AB4829">
        <v>1E-4</v>
      </c>
      <c r="AC4829">
        <v>8</v>
      </c>
      <c r="AD4829" s="5">
        <v>5.048764241104708</v>
      </c>
      <c r="AE4829" s="5">
        <v>2.2041615402747063</v>
      </c>
      <c r="AF4829">
        <v>1</v>
      </c>
    </row>
    <row r="4830" spans="27:32" x14ac:dyDescent="0.3">
      <c r="AA4830" s="3">
        <v>40679.93</v>
      </c>
      <c r="AB4830">
        <v>1E-4</v>
      </c>
      <c r="AC4830">
        <v>7</v>
      </c>
      <c r="AD4830" s="5">
        <v>5.1650074922825562</v>
      </c>
      <c r="AE4830" s="5">
        <v>2.2561136830545538</v>
      </c>
      <c r="AF4830">
        <v>1</v>
      </c>
    </row>
    <row r="4831" spans="27:32" x14ac:dyDescent="0.3">
      <c r="AA4831" s="3">
        <v>30916.06</v>
      </c>
      <c r="AB4831">
        <v>1E-4</v>
      </c>
      <c r="AC4831">
        <v>7</v>
      </c>
      <c r="AD4831" s="5">
        <v>4.9947236279097567</v>
      </c>
      <c r="AE4831" s="5">
        <v>2.1713130474467479</v>
      </c>
      <c r="AF4831">
        <v>1</v>
      </c>
    </row>
    <row r="4832" spans="27:32" x14ac:dyDescent="0.3">
      <c r="AA4832" s="3">
        <v>26250.07</v>
      </c>
      <c r="AB4832">
        <v>1E-4</v>
      </c>
      <c r="AC4832">
        <v>8</v>
      </c>
      <c r="AD4832" s="5">
        <v>4.9493199153082079</v>
      </c>
      <c r="AE4832" s="5">
        <v>2.1906390178773814</v>
      </c>
      <c r="AF4832">
        <v>1</v>
      </c>
    </row>
    <row r="4833" spans="27:32" x14ac:dyDescent="0.3">
      <c r="AA4833" s="3">
        <v>35156.660000000003</v>
      </c>
      <c r="AB4833">
        <v>1E-4</v>
      </c>
      <c r="AC4833">
        <v>7</v>
      </c>
      <c r="AD4833" s="5">
        <v>5.1301333293051936</v>
      </c>
      <c r="AE4833" s="5">
        <v>2.2173077372721632</v>
      </c>
      <c r="AF4833">
        <v>1</v>
      </c>
    </row>
    <row r="4834" spans="27:32" x14ac:dyDescent="0.3">
      <c r="AA4834" s="3">
        <v>-3954.21</v>
      </c>
      <c r="AB4834">
        <v>1E-4</v>
      </c>
      <c r="AC4834">
        <v>9</v>
      </c>
      <c r="AD4834" s="5">
        <v>4.9616704868506716</v>
      </c>
      <c r="AE4834" s="5">
        <v>2.1919847276639257</v>
      </c>
      <c r="AF4834">
        <v>1</v>
      </c>
    </row>
    <row r="4835" spans="27:32" x14ac:dyDescent="0.3">
      <c r="AA4835" s="3">
        <v>20747.34</v>
      </c>
      <c r="AB4835">
        <v>1E-4</v>
      </c>
      <c r="AC4835">
        <v>8</v>
      </c>
      <c r="AD4835" s="5">
        <v>4.9456218536080012</v>
      </c>
      <c r="AE4835" s="5">
        <v>2.2029451154985957</v>
      </c>
      <c r="AF4835">
        <v>1</v>
      </c>
    </row>
    <row r="4836" spans="27:32" x14ac:dyDescent="0.3">
      <c r="AA4836" s="3">
        <v>-6335.06</v>
      </c>
      <c r="AB4836">
        <v>1E-4</v>
      </c>
      <c r="AC4836">
        <v>9</v>
      </c>
      <c r="AD4836" s="5">
        <v>4.9235642262382404</v>
      </c>
      <c r="AE4836" s="5">
        <v>2.1909518154294427</v>
      </c>
      <c r="AF4836">
        <v>1</v>
      </c>
    </row>
    <row r="4837" spans="27:32" x14ac:dyDescent="0.3">
      <c r="AA4837" s="3">
        <v>3867.57</v>
      </c>
      <c r="AB4837">
        <v>1E-4</v>
      </c>
      <c r="AC4837">
        <v>8</v>
      </c>
      <c r="AD4837" s="5">
        <v>5.0319249123275043</v>
      </c>
      <c r="AE4837" s="5">
        <v>2.2007442849872665</v>
      </c>
      <c r="AF4837">
        <v>1</v>
      </c>
    </row>
    <row r="4838" spans="27:32" x14ac:dyDescent="0.3">
      <c r="AA4838" s="3">
        <v>7812.06</v>
      </c>
      <c r="AB4838">
        <v>1E-4</v>
      </c>
      <c r="AC4838">
        <v>8</v>
      </c>
      <c r="AD4838" s="5">
        <v>4.9321813515232931</v>
      </c>
      <c r="AE4838" s="5">
        <v>2.2254762775703201</v>
      </c>
      <c r="AF4838">
        <v>1</v>
      </c>
    </row>
    <row r="4839" spans="27:32" x14ac:dyDescent="0.3">
      <c r="AA4839" s="3">
        <v>7745.37</v>
      </c>
      <c r="AB4839">
        <v>1E-4</v>
      </c>
      <c r="AC4839">
        <v>8</v>
      </c>
      <c r="AD4839" s="5">
        <v>4.87329377109827</v>
      </c>
      <c r="AE4839" s="5">
        <v>2.2158192364448981</v>
      </c>
      <c r="AF4839">
        <v>1</v>
      </c>
    </row>
    <row r="4840" spans="27:32" x14ac:dyDescent="0.3">
      <c r="AA4840" s="3">
        <v>-294.5</v>
      </c>
      <c r="AB4840">
        <v>1E-4</v>
      </c>
      <c r="AC4840">
        <v>9</v>
      </c>
      <c r="AD4840" s="5">
        <v>4.9176497962466357</v>
      </c>
      <c r="AE4840" s="5">
        <v>2.1547928938305589</v>
      </c>
      <c r="AF4840">
        <v>1</v>
      </c>
    </row>
    <row r="4841" spans="27:32" x14ac:dyDescent="0.3">
      <c r="AA4841" s="3">
        <v>8205.32</v>
      </c>
      <c r="AB4841">
        <v>1E-4</v>
      </c>
      <c r="AC4841">
        <v>8</v>
      </c>
      <c r="AD4841" s="5">
        <v>4.8730327133027842</v>
      </c>
      <c r="AE4841" s="5">
        <v>2.2014351429701233</v>
      </c>
      <c r="AF4841">
        <v>1</v>
      </c>
    </row>
    <row r="4842" spans="27:32" x14ac:dyDescent="0.3">
      <c r="AA4842" s="3">
        <v>20105.240000000002</v>
      </c>
      <c r="AB4842">
        <v>1E-4</v>
      </c>
      <c r="AC4842">
        <v>8</v>
      </c>
      <c r="AD4842" s="5">
        <v>4.9028936196317661</v>
      </c>
      <c r="AE4842" s="5">
        <v>2.161168570632817</v>
      </c>
      <c r="AF4842">
        <v>1</v>
      </c>
    </row>
    <row r="4843" spans="27:32" x14ac:dyDescent="0.3">
      <c r="AA4843" s="3">
        <v>3177.11</v>
      </c>
      <c r="AB4843">
        <v>1E-4</v>
      </c>
      <c r="AC4843">
        <v>8</v>
      </c>
      <c r="AD4843" s="5">
        <v>4.9492991573684968</v>
      </c>
      <c r="AE4843" s="5">
        <v>2.1971580488776259</v>
      </c>
      <c r="AF4843">
        <v>1</v>
      </c>
    </row>
    <row r="4844" spans="27:32" x14ac:dyDescent="0.3">
      <c r="AA4844" s="3">
        <v>6620.2</v>
      </c>
      <c r="AB4844">
        <v>1E-4</v>
      </c>
      <c r="AC4844">
        <v>8</v>
      </c>
      <c r="AD4844" s="5">
        <v>4.9123983840044474</v>
      </c>
      <c r="AE4844" s="5">
        <v>2.1921731071535944</v>
      </c>
      <c r="AF4844">
        <v>1</v>
      </c>
    </row>
    <row r="4845" spans="27:32" x14ac:dyDescent="0.3">
      <c r="AA4845" s="3">
        <v>21033.48</v>
      </c>
      <c r="AB4845">
        <v>1E-4</v>
      </c>
      <c r="AC4845">
        <v>8</v>
      </c>
      <c r="AD4845" s="5">
        <v>5.0319557996324438</v>
      </c>
      <c r="AE4845" s="5">
        <v>2.2366075678164674</v>
      </c>
      <c r="AF4845">
        <v>1</v>
      </c>
    </row>
    <row r="4846" spans="27:32" x14ac:dyDescent="0.3">
      <c r="AA4846" s="3">
        <v>2456.9</v>
      </c>
      <c r="AB4846">
        <v>1E-4</v>
      </c>
      <c r="AC4846">
        <v>8</v>
      </c>
      <c r="AD4846" s="5">
        <v>4.9240214175213506</v>
      </c>
      <c r="AE4846" s="5">
        <v>2.1706121221311832</v>
      </c>
      <c r="AF4846">
        <v>1</v>
      </c>
    </row>
    <row r="4847" spans="27:32" x14ac:dyDescent="0.3">
      <c r="AA4847" s="3">
        <v>17882.13</v>
      </c>
      <c r="AB4847">
        <v>1E-4</v>
      </c>
      <c r="AC4847">
        <v>8</v>
      </c>
      <c r="AD4847" s="5">
        <v>5.0060395482487339</v>
      </c>
      <c r="AE4847" s="5">
        <v>2.25087052682365</v>
      </c>
      <c r="AF4847">
        <v>1</v>
      </c>
    </row>
    <row r="4848" spans="27:32" x14ac:dyDescent="0.3">
      <c r="AA4848" s="3">
        <v>27631.3</v>
      </c>
      <c r="AB4848">
        <v>1E-4</v>
      </c>
      <c r="AC4848">
        <v>8</v>
      </c>
      <c r="AD4848" s="5">
        <v>4.9391105972271943</v>
      </c>
      <c r="AE4848" s="5">
        <v>2.1499545892554042</v>
      </c>
      <c r="AF4848">
        <v>1</v>
      </c>
    </row>
    <row r="4849" spans="27:32" x14ac:dyDescent="0.3">
      <c r="AA4849" s="3">
        <v>50036.97</v>
      </c>
      <c r="AB4849">
        <v>1E-4</v>
      </c>
      <c r="AC4849">
        <v>7</v>
      </c>
      <c r="AD4849" s="5">
        <v>5.088054281485979</v>
      </c>
      <c r="AE4849" s="5">
        <v>2.1844381564439432</v>
      </c>
      <c r="AF4849">
        <v>1</v>
      </c>
    </row>
    <row r="4850" spans="27:32" x14ac:dyDescent="0.3">
      <c r="AA4850" s="3">
        <v>15622.93</v>
      </c>
      <c r="AB4850">
        <v>1E-4</v>
      </c>
      <c r="AC4850">
        <v>8</v>
      </c>
      <c r="AD4850" s="5">
        <v>5.0567271419986914</v>
      </c>
      <c r="AE4850" s="5">
        <v>2.2287152330957443</v>
      </c>
      <c r="AF4850">
        <v>1</v>
      </c>
    </row>
    <row r="4851" spans="27:32" x14ac:dyDescent="0.3">
      <c r="AA4851" s="3">
        <v>-31206.34</v>
      </c>
      <c r="AB4851">
        <v>1E-4</v>
      </c>
      <c r="AC4851">
        <v>9</v>
      </c>
      <c r="AD4851" s="5">
        <v>4.908973900303244</v>
      </c>
      <c r="AE4851" s="5">
        <v>2.2152176274291482</v>
      </c>
      <c r="AF4851">
        <v>1</v>
      </c>
    </row>
    <row r="4852" spans="27:32" x14ac:dyDescent="0.3">
      <c r="AA4852" s="3">
        <v>15682.09</v>
      </c>
      <c r="AB4852">
        <v>1E-4</v>
      </c>
      <c r="AC4852">
        <v>8</v>
      </c>
      <c r="AD4852" s="5">
        <v>5.0123356990525147</v>
      </c>
      <c r="AE4852" s="5">
        <v>2.1748672865915526</v>
      </c>
      <c r="AF4852">
        <v>1</v>
      </c>
    </row>
    <row r="4853" spans="27:32" x14ac:dyDescent="0.3">
      <c r="AA4853" s="3">
        <v>4343.1000000000004</v>
      </c>
      <c r="AB4853">
        <v>1E-4</v>
      </c>
      <c r="AC4853">
        <v>8</v>
      </c>
      <c r="AD4853" s="5">
        <v>4.8886907072559804</v>
      </c>
      <c r="AE4853" s="5">
        <v>2.1678774312171312</v>
      </c>
      <c r="AF4853">
        <v>1</v>
      </c>
    </row>
    <row r="4854" spans="27:32" x14ac:dyDescent="0.3">
      <c r="AA4854" s="3">
        <v>-22432.46</v>
      </c>
      <c r="AB4854">
        <v>1E-4</v>
      </c>
      <c r="AC4854">
        <v>9</v>
      </c>
      <c r="AD4854" s="5">
        <v>4.8440295145397494</v>
      </c>
      <c r="AE4854" s="5">
        <v>2.1748735573788411</v>
      </c>
      <c r="AF4854">
        <v>1</v>
      </c>
    </row>
    <row r="4855" spans="27:32" x14ac:dyDescent="0.3">
      <c r="AA4855" s="3">
        <v>28595.38</v>
      </c>
      <c r="AB4855">
        <v>1E-4</v>
      </c>
      <c r="AC4855">
        <v>8</v>
      </c>
      <c r="AD4855" s="5">
        <v>5.0269161576651049</v>
      </c>
      <c r="AE4855" s="5">
        <v>2.1424087167450043</v>
      </c>
      <c r="AF4855">
        <v>1</v>
      </c>
    </row>
    <row r="4856" spans="27:32" x14ac:dyDescent="0.3">
      <c r="AA4856" s="3">
        <v>10817.03</v>
      </c>
      <c r="AB4856">
        <v>1E-4</v>
      </c>
      <c r="AC4856">
        <v>8</v>
      </c>
      <c r="AD4856" s="5">
        <v>4.9663527642193088</v>
      </c>
      <c r="AE4856" s="5">
        <v>2.2352461881487797</v>
      </c>
      <c r="AF4856">
        <v>1</v>
      </c>
    </row>
    <row r="4857" spans="27:32" x14ac:dyDescent="0.3">
      <c r="AA4857" s="3">
        <v>25330.27</v>
      </c>
      <c r="AB4857">
        <v>1E-4</v>
      </c>
      <c r="AC4857">
        <v>8</v>
      </c>
      <c r="AD4857" s="5">
        <v>5.0675142536418871</v>
      </c>
      <c r="AE4857" s="5">
        <v>2.1434011866150975</v>
      </c>
      <c r="AF4857">
        <v>1</v>
      </c>
    </row>
    <row r="4858" spans="27:32" x14ac:dyDescent="0.3">
      <c r="AA4858" s="3">
        <v>18219.34</v>
      </c>
      <c r="AB4858">
        <v>1E-4</v>
      </c>
      <c r="AC4858">
        <v>8</v>
      </c>
      <c r="AD4858" s="5">
        <v>4.8471414446954819</v>
      </c>
      <c r="AE4858" s="5">
        <v>2.1869301406832395</v>
      </c>
      <c r="AF4858">
        <v>1</v>
      </c>
    </row>
    <row r="4859" spans="27:32" x14ac:dyDescent="0.3">
      <c r="AA4859" s="3">
        <v>47382.71</v>
      </c>
      <c r="AB4859">
        <v>1E-4</v>
      </c>
      <c r="AC4859">
        <v>7</v>
      </c>
      <c r="AD4859" s="5">
        <v>4.953126276508053</v>
      </c>
      <c r="AE4859" s="5">
        <v>2.2160326261358483</v>
      </c>
      <c r="AF4859">
        <v>1</v>
      </c>
    </row>
    <row r="4860" spans="27:32" x14ac:dyDescent="0.3">
      <c r="AA4860" s="3">
        <v>4088.94</v>
      </c>
      <c r="AB4860">
        <v>1E-4</v>
      </c>
      <c r="AC4860">
        <v>8</v>
      </c>
      <c r="AD4860" s="5">
        <v>4.9162452917809079</v>
      </c>
      <c r="AE4860" s="5">
        <v>2.1667171509725742</v>
      </c>
      <c r="AF4860">
        <v>1</v>
      </c>
    </row>
    <row r="4861" spans="27:32" x14ac:dyDescent="0.3">
      <c r="AA4861" s="3">
        <v>32140.31</v>
      </c>
      <c r="AB4861">
        <v>1E-4</v>
      </c>
      <c r="AC4861">
        <v>7</v>
      </c>
      <c r="AD4861" s="5">
        <v>4.937383128916971</v>
      </c>
      <c r="AE4861" s="5">
        <v>2.1591601048688416</v>
      </c>
      <c r="AF4861">
        <v>1</v>
      </c>
    </row>
    <row r="4862" spans="27:32" x14ac:dyDescent="0.3">
      <c r="AA4862" s="3">
        <v>-5615.99</v>
      </c>
      <c r="AB4862">
        <v>1E-4</v>
      </c>
      <c r="AC4862">
        <v>9</v>
      </c>
      <c r="AD4862" s="5">
        <v>4.9406865475867487</v>
      </c>
      <c r="AE4862" s="5">
        <v>2.3282686189517054</v>
      </c>
      <c r="AF4862">
        <v>1</v>
      </c>
    </row>
    <row r="4863" spans="27:32" x14ac:dyDescent="0.3">
      <c r="AA4863" s="3">
        <v>10508.94</v>
      </c>
      <c r="AB4863">
        <v>1E-4</v>
      </c>
      <c r="AC4863">
        <v>8</v>
      </c>
      <c r="AD4863" s="5">
        <v>5.0222800186910073</v>
      </c>
      <c r="AE4863" s="5">
        <v>2.3213484630689383</v>
      </c>
      <c r="AF4863">
        <v>1</v>
      </c>
    </row>
    <row r="4864" spans="27:32" x14ac:dyDescent="0.3">
      <c r="AA4864" s="3">
        <v>8194.59</v>
      </c>
      <c r="AB4864">
        <v>1E-4</v>
      </c>
      <c r="AC4864">
        <v>8</v>
      </c>
      <c r="AD4864" s="5">
        <v>5.0116361390894273</v>
      </c>
      <c r="AE4864" s="5">
        <v>2.1904250342433862</v>
      </c>
      <c r="AF4864">
        <v>1</v>
      </c>
    </row>
    <row r="4865" spans="27:32" x14ac:dyDescent="0.3">
      <c r="AA4865" s="3">
        <v>43304.5</v>
      </c>
      <c r="AB4865">
        <v>1E-4</v>
      </c>
      <c r="AC4865">
        <v>7</v>
      </c>
      <c r="AD4865" s="5">
        <v>5.0079016673059549</v>
      </c>
      <c r="AE4865" s="5">
        <v>2.1627023603017461</v>
      </c>
      <c r="AF4865">
        <v>1</v>
      </c>
    </row>
    <row r="4866" spans="27:32" x14ac:dyDescent="0.3">
      <c r="AA4866" s="3">
        <v>21271.53</v>
      </c>
      <c r="AB4866">
        <v>1E-4</v>
      </c>
      <c r="AC4866">
        <v>8</v>
      </c>
      <c r="AD4866" s="5">
        <v>4.8565689589918932</v>
      </c>
      <c r="AE4866" s="5">
        <v>2.1893760581270052</v>
      </c>
      <c r="AF4866">
        <v>1</v>
      </c>
    </row>
    <row r="4867" spans="27:32" x14ac:dyDescent="0.3">
      <c r="AA4867" s="3">
        <v>-26355.796323100094</v>
      </c>
      <c r="AB4867">
        <v>1E-4</v>
      </c>
      <c r="AC4867">
        <v>9</v>
      </c>
      <c r="AD4867" s="5">
        <v>5.0174664223046861</v>
      </c>
      <c r="AE4867" s="5">
        <v>2.1816837358903993</v>
      </c>
      <c r="AF4867">
        <v>0</v>
      </c>
    </row>
    <row r="4868" spans="27:32" x14ac:dyDescent="0.3">
      <c r="AA4868" s="3">
        <v>8830.51</v>
      </c>
      <c r="AB4868">
        <v>1E-4</v>
      </c>
      <c r="AC4868">
        <v>8</v>
      </c>
      <c r="AD4868" s="5">
        <v>5.2551088675619191</v>
      </c>
      <c r="AE4868" s="5">
        <v>2.266369905598812</v>
      </c>
      <c r="AF4868">
        <v>1</v>
      </c>
    </row>
    <row r="4869" spans="27:32" x14ac:dyDescent="0.3">
      <c r="AA4869" s="3">
        <v>16584.7</v>
      </c>
      <c r="AB4869">
        <v>1E-4</v>
      </c>
      <c r="AC4869">
        <v>8</v>
      </c>
      <c r="AD4869" s="5">
        <v>5.0061531601511495</v>
      </c>
      <c r="AE4869" s="5">
        <v>2.1332645760622504</v>
      </c>
      <c r="AF4869">
        <v>1</v>
      </c>
    </row>
    <row r="4870" spans="27:32" x14ac:dyDescent="0.3">
      <c r="AA4870" s="3">
        <v>34762.870000000003</v>
      </c>
      <c r="AB4870">
        <v>1E-4</v>
      </c>
      <c r="AC4870">
        <v>7</v>
      </c>
      <c r="AD4870" s="5">
        <v>4.9727722424852407</v>
      </c>
      <c r="AE4870" s="5">
        <v>2.1528426235644864</v>
      </c>
      <c r="AF4870">
        <v>1</v>
      </c>
    </row>
    <row r="4871" spans="27:32" x14ac:dyDescent="0.3">
      <c r="AA4871" s="3">
        <v>5708.95</v>
      </c>
      <c r="AB4871">
        <v>1E-4</v>
      </c>
      <c r="AC4871">
        <v>8</v>
      </c>
      <c r="AD4871" s="5">
        <v>4.949842397080439</v>
      </c>
      <c r="AE4871" s="5">
        <v>2.260451685481911</v>
      </c>
      <c r="AF4871">
        <v>1</v>
      </c>
    </row>
    <row r="4872" spans="27:32" x14ac:dyDescent="0.3">
      <c r="AA4872" s="3">
        <v>1706.09</v>
      </c>
      <c r="AB4872">
        <v>1E-4</v>
      </c>
      <c r="AC4872">
        <v>8</v>
      </c>
      <c r="AD4872" s="5">
        <v>5.0382105418533571</v>
      </c>
      <c r="AE4872" s="5">
        <v>2.1893815125040978</v>
      </c>
      <c r="AF4872">
        <v>1</v>
      </c>
    </row>
    <row r="4873" spans="27:32" x14ac:dyDescent="0.3">
      <c r="AA4873" s="3">
        <v>2456.6999999999998</v>
      </c>
      <c r="AB4873">
        <v>1E-4</v>
      </c>
      <c r="AC4873">
        <v>8</v>
      </c>
      <c r="AD4873" s="5">
        <v>5.0014858996741127</v>
      </c>
      <c r="AE4873" s="5">
        <v>2.2652875486411594</v>
      </c>
      <c r="AF4873">
        <v>1</v>
      </c>
    </row>
    <row r="4874" spans="27:32" x14ac:dyDescent="0.3">
      <c r="AA4874" s="3">
        <v>2159.41</v>
      </c>
      <c r="AB4874">
        <v>1E-4</v>
      </c>
      <c r="AC4874">
        <v>8</v>
      </c>
      <c r="AD4874" s="5">
        <v>4.9923292871754805</v>
      </c>
      <c r="AE4874" s="5">
        <v>2.2974752959623572</v>
      </c>
      <c r="AF4874">
        <v>1</v>
      </c>
    </row>
    <row r="4875" spans="27:32" x14ac:dyDescent="0.3">
      <c r="AA4875" s="3">
        <v>34444.15</v>
      </c>
      <c r="AB4875">
        <v>1E-4</v>
      </c>
      <c r="AC4875">
        <v>7</v>
      </c>
      <c r="AD4875" s="5">
        <v>5.0171465394629013</v>
      </c>
      <c r="AE4875" s="5">
        <v>2.2021230407574688</v>
      </c>
      <c r="AF4875">
        <v>1</v>
      </c>
    </row>
    <row r="4876" spans="27:32" x14ac:dyDescent="0.3">
      <c r="AA4876" s="3">
        <v>36671.69</v>
      </c>
      <c r="AB4876">
        <v>1E-4</v>
      </c>
      <c r="AC4876">
        <v>7</v>
      </c>
      <c r="AD4876" s="5">
        <v>5.0587494495141891</v>
      </c>
      <c r="AE4876" s="5">
        <v>2.2007831269269698</v>
      </c>
      <c r="AF4876">
        <v>1</v>
      </c>
    </row>
    <row r="4877" spans="27:32" x14ac:dyDescent="0.3">
      <c r="AA4877" s="3">
        <v>38406.82</v>
      </c>
      <c r="AB4877">
        <v>1E-4</v>
      </c>
      <c r="AC4877">
        <v>7</v>
      </c>
      <c r="AD4877" s="5">
        <v>4.9463385111364273</v>
      </c>
      <c r="AE4877" s="5">
        <v>2.1834132766395515</v>
      </c>
      <c r="AF4877">
        <v>1</v>
      </c>
    </row>
    <row r="4878" spans="27:32" x14ac:dyDescent="0.3">
      <c r="AA4878" s="3">
        <v>30202.16</v>
      </c>
      <c r="AB4878">
        <v>1E-4</v>
      </c>
      <c r="AC4878">
        <v>8</v>
      </c>
      <c r="AD4878" s="5">
        <v>5.0701779530185389</v>
      </c>
      <c r="AE4878" s="5">
        <v>2.1885877826728422</v>
      </c>
      <c r="AF4878">
        <v>1</v>
      </c>
    </row>
    <row r="4879" spans="27:32" x14ac:dyDescent="0.3">
      <c r="AA4879" s="3">
        <v>39022.620000000003</v>
      </c>
      <c r="AB4879">
        <v>1E-4</v>
      </c>
      <c r="AC4879">
        <v>7</v>
      </c>
      <c r="AD4879" s="5">
        <v>5.0878234926154899</v>
      </c>
      <c r="AE4879" s="5">
        <v>2.1459762368509256</v>
      </c>
      <c r="AF4879">
        <v>1</v>
      </c>
    </row>
    <row r="4880" spans="27:32" x14ac:dyDescent="0.3">
      <c r="AA4880" s="3">
        <v>39193.22</v>
      </c>
      <c r="AB4880">
        <v>1E-4</v>
      </c>
      <c r="AC4880">
        <v>7</v>
      </c>
      <c r="AD4880" s="5">
        <v>5.0792541697986273</v>
      </c>
      <c r="AE4880" s="5">
        <v>2.2202398872340594</v>
      </c>
      <c r="AF4880">
        <v>1</v>
      </c>
    </row>
    <row r="4881" spans="27:32" x14ac:dyDescent="0.3">
      <c r="AA4881" s="3">
        <v>29932.81</v>
      </c>
      <c r="AB4881">
        <v>1E-4</v>
      </c>
      <c r="AC4881">
        <v>7</v>
      </c>
      <c r="AD4881" s="5">
        <v>5.1372558321276944</v>
      </c>
      <c r="AE4881" s="5">
        <v>2.1810020901038327</v>
      </c>
      <c r="AF4881">
        <v>1</v>
      </c>
    </row>
    <row r="4882" spans="27:32" x14ac:dyDescent="0.3">
      <c r="AA4882" s="3">
        <v>53444.52</v>
      </c>
      <c r="AB4882">
        <v>1E-4</v>
      </c>
      <c r="AC4882">
        <v>6</v>
      </c>
      <c r="AD4882" s="5">
        <v>4.8935708481865303</v>
      </c>
      <c r="AE4882" s="5">
        <v>2.1028781207409271</v>
      </c>
      <c r="AF4882">
        <v>1</v>
      </c>
    </row>
    <row r="4883" spans="27:32" x14ac:dyDescent="0.3">
      <c r="AA4883" s="3">
        <v>50225.57</v>
      </c>
      <c r="AB4883">
        <v>1E-4</v>
      </c>
      <c r="AC4883">
        <v>6</v>
      </c>
      <c r="AD4883" s="5">
        <v>5.1376767209873035</v>
      </c>
      <c r="AE4883" s="5">
        <v>2.2414032573405143</v>
      </c>
      <c r="AF4883">
        <v>1</v>
      </c>
    </row>
    <row r="4884" spans="27:32" x14ac:dyDescent="0.3">
      <c r="AA4884" s="3">
        <v>13261.37</v>
      </c>
      <c r="AB4884">
        <v>1E-4</v>
      </c>
      <c r="AC4884">
        <v>8</v>
      </c>
      <c r="AD4884" s="5">
        <v>5.1145856584508884</v>
      </c>
      <c r="AE4884" s="5">
        <v>2.2597678476150693</v>
      </c>
      <c r="AF4884">
        <v>1</v>
      </c>
    </row>
    <row r="4885" spans="27:32" x14ac:dyDescent="0.3">
      <c r="AA4885" s="3">
        <v>6385.57</v>
      </c>
      <c r="AB4885">
        <v>1E-4</v>
      </c>
      <c r="AC4885">
        <v>8</v>
      </c>
      <c r="AD4885" s="5">
        <v>4.9743199451364815</v>
      </c>
      <c r="AE4885" s="5">
        <v>2.281590047054296</v>
      </c>
      <c r="AF4885">
        <v>1</v>
      </c>
    </row>
    <row r="4886" spans="27:32" x14ac:dyDescent="0.3">
      <c r="AA4886" s="3">
        <v>3713.05</v>
      </c>
      <c r="AB4886">
        <v>1E-4</v>
      </c>
      <c r="AC4886">
        <v>8</v>
      </c>
      <c r="AD4886" s="5">
        <v>5.0447830827729465</v>
      </c>
      <c r="AE4886" s="5">
        <v>2.3029790727238972</v>
      </c>
      <c r="AF4886">
        <v>1</v>
      </c>
    </row>
    <row r="4887" spans="27:32" x14ac:dyDescent="0.3">
      <c r="AA4887" s="3">
        <v>-7129.7079775924831</v>
      </c>
      <c r="AB4887">
        <v>1E-4</v>
      </c>
      <c r="AC4887">
        <v>8</v>
      </c>
      <c r="AD4887" s="5">
        <v>5.2116168899180302</v>
      </c>
      <c r="AE4887" s="5">
        <v>2.2624346850498918</v>
      </c>
      <c r="AF4887">
        <v>0</v>
      </c>
    </row>
    <row r="4888" spans="27:32" x14ac:dyDescent="0.3">
      <c r="AA4888" s="3">
        <v>-5504.38</v>
      </c>
      <c r="AB4888">
        <v>1E-4</v>
      </c>
      <c r="AC4888">
        <v>9</v>
      </c>
      <c r="AD4888" s="5">
        <v>4.9129780713042974</v>
      </c>
      <c r="AE4888" s="5">
        <v>2.2784974584547171</v>
      </c>
      <c r="AF4888">
        <v>1</v>
      </c>
    </row>
    <row r="4889" spans="27:32" x14ac:dyDescent="0.3">
      <c r="AA4889" s="3">
        <v>7519.99</v>
      </c>
      <c r="AB4889">
        <v>1E-4</v>
      </c>
      <c r="AC4889">
        <v>8</v>
      </c>
      <c r="AD4889" s="5">
        <v>4.9112629249832747</v>
      </c>
      <c r="AE4889" s="5">
        <v>2.2002127736648931</v>
      </c>
      <c r="AF4889">
        <v>1</v>
      </c>
    </row>
    <row r="4890" spans="27:32" x14ac:dyDescent="0.3">
      <c r="AA4890" s="3">
        <v>34646.839999999997</v>
      </c>
      <c r="AB4890">
        <v>1E-4</v>
      </c>
      <c r="AC4890">
        <v>7</v>
      </c>
      <c r="AD4890" s="5">
        <v>5.0526981958071273</v>
      </c>
      <c r="AE4890" s="5">
        <v>2.2147341393278452</v>
      </c>
      <c r="AF4890">
        <v>1</v>
      </c>
    </row>
    <row r="4891" spans="27:32" x14ac:dyDescent="0.3">
      <c r="AA4891" s="3">
        <v>19988.05</v>
      </c>
      <c r="AB4891">
        <v>1E-4</v>
      </c>
      <c r="AC4891">
        <v>8</v>
      </c>
      <c r="AD4891" s="5">
        <v>4.8866000920115118</v>
      </c>
      <c r="AE4891" s="5">
        <v>2.2468633250298433</v>
      </c>
      <c r="AF4891">
        <v>1</v>
      </c>
    </row>
    <row r="4892" spans="27:32" x14ac:dyDescent="0.3">
      <c r="AA4892" s="3">
        <v>-4639.6099999999997</v>
      </c>
      <c r="AB4892">
        <v>1E-4</v>
      </c>
      <c r="AC4892">
        <v>9</v>
      </c>
      <c r="AD4892" s="5">
        <v>4.937832458190786</v>
      </c>
      <c r="AE4892" s="5">
        <v>2.2439615120402907</v>
      </c>
      <c r="AF4892">
        <v>1</v>
      </c>
    </row>
    <row r="4893" spans="27:32" x14ac:dyDescent="0.3">
      <c r="AA4893" s="3">
        <v>22328.83</v>
      </c>
      <c r="AB4893">
        <v>1E-4</v>
      </c>
      <c r="AC4893">
        <v>8</v>
      </c>
      <c r="AD4893" s="5">
        <v>5.1861920955465237</v>
      </c>
      <c r="AE4893" s="5">
        <v>2.211729523351802</v>
      </c>
      <c r="AF4893">
        <v>1</v>
      </c>
    </row>
    <row r="4894" spans="27:32" x14ac:dyDescent="0.3">
      <c r="AA4894" s="3">
        <v>30249.46</v>
      </c>
      <c r="AB4894">
        <v>1E-4</v>
      </c>
      <c r="AC4894">
        <v>8</v>
      </c>
      <c r="AD4894" s="5">
        <v>4.9948333703699399</v>
      </c>
      <c r="AE4894" s="5">
        <v>2.2297450972669322</v>
      </c>
      <c r="AF4894">
        <v>1</v>
      </c>
    </row>
    <row r="4895" spans="27:32" x14ac:dyDescent="0.3">
      <c r="AA4895" s="3">
        <v>14457.72</v>
      </c>
      <c r="AB4895">
        <v>1E-4</v>
      </c>
      <c r="AC4895">
        <v>8</v>
      </c>
      <c r="AD4895" s="5">
        <v>4.8590769057533629</v>
      </c>
      <c r="AE4895" s="5">
        <v>2.2178718111822295</v>
      </c>
      <c r="AF4895">
        <v>1</v>
      </c>
    </row>
    <row r="4896" spans="27:32" x14ac:dyDescent="0.3">
      <c r="AA4896" s="3">
        <v>19904.53</v>
      </c>
      <c r="AB4896">
        <v>1E-4</v>
      </c>
      <c r="AC4896">
        <v>8</v>
      </c>
      <c r="AD4896" s="5">
        <v>5.0450390364024562</v>
      </c>
      <c r="AE4896" s="5">
        <v>2.149757418705331</v>
      </c>
      <c r="AF4896">
        <v>1</v>
      </c>
    </row>
    <row r="4897" spans="27:32" x14ac:dyDescent="0.3">
      <c r="AA4897" s="3">
        <v>11687.88</v>
      </c>
      <c r="AB4897">
        <v>1E-4</v>
      </c>
      <c r="AC4897">
        <v>8</v>
      </c>
      <c r="AD4897" s="5">
        <v>4.8670170164804567</v>
      </c>
      <c r="AE4897" s="5">
        <v>2.1985672578350255</v>
      </c>
      <c r="AF4897">
        <v>1</v>
      </c>
    </row>
    <row r="4898" spans="27:32" x14ac:dyDescent="0.3">
      <c r="AA4898" s="3">
        <v>27782.57</v>
      </c>
      <c r="AB4898">
        <v>1E-4</v>
      </c>
      <c r="AC4898">
        <v>8</v>
      </c>
      <c r="AD4898" s="5">
        <v>5.0546015570733687</v>
      </c>
      <c r="AE4898" s="5">
        <v>2.1287309271265222</v>
      </c>
      <c r="AF4898">
        <v>1</v>
      </c>
    </row>
    <row r="4899" spans="27:32" x14ac:dyDescent="0.3">
      <c r="AA4899" s="3">
        <v>23885.3</v>
      </c>
      <c r="AB4899">
        <v>1E-4</v>
      </c>
      <c r="AC4899">
        <v>8</v>
      </c>
      <c r="AD4899" s="5">
        <v>5.0702753901565218</v>
      </c>
      <c r="AE4899" s="5">
        <v>2.1816385770046911</v>
      </c>
      <c r="AF4899">
        <v>1</v>
      </c>
    </row>
    <row r="4900" spans="27:32" x14ac:dyDescent="0.3">
      <c r="AA4900" s="3">
        <v>40881.919999999998</v>
      </c>
      <c r="AB4900">
        <v>1E-4</v>
      </c>
      <c r="AC4900">
        <v>7</v>
      </c>
      <c r="AD4900" s="5">
        <v>4.96128850418072</v>
      </c>
      <c r="AE4900" s="5">
        <v>2.2515053564575793</v>
      </c>
      <c r="AF4900">
        <v>1</v>
      </c>
    </row>
    <row r="4901" spans="27:32" x14ac:dyDescent="0.3">
      <c r="AA4901" s="3">
        <v>-6770.84</v>
      </c>
      <c r="AB4901">
        <v>1E-4</v>
      </c>
      <c r="AC4901">
        <v>9</v>
      </c>
      <c r="AD4901" s="5">
        <v>4.9871435424996946</v>
      </c>
      <c r="AE4901" s="5">
        <v>2.2581516338015497</v>
      </c>
      <c r="AF4901">
        <v>1</v>
      </c>
    </row>
    <row r="4902" spans="27:32" x14ac:dyDescent="0.3">
      <c r="AA4902" s="3">
        <v>15646.37</v>
      </c>
      <c r="AB4902">
        <v>1E-4</v>
      </c>
      <c r="AC4902">
        <v>8</v>
      </c>
      <c r="AD4902" s="5">
        <v>5.0053186121808899</v>
      </c>
      <c r="AE4902" s="5">
        <v>2.1806735284730001</v>
      </c>
      <c r="AF4902">
        <v>1</v>
      </c>
    </row>
    <row r="4903" spans="27:32" x14ac:dyDescent="0.3">
      <c r="AA4903" s="3">
        <v>28670.78</v>
      </c>
      <c r="AB4903">
        <v>1E-4</v>
      </c>
      <c r="AC4903">
        <v>8</v>
      </c>
      <c r="AD4903" s="5">
        <v>5.0985922140408215</v>
      </c>
      <c r="AE4903" s="5">
        <v>2.201053607503904</v>
      </c>
      <c r="AF4903">
        <v>1</v>
      </c>
    </row>
    <row r="4904" spans="27:32" x14ac:dyDescent="0.3">
      <c r="AA4904" s="3">
        <v>16580.3</v>
      </c>
      <c r="AB4904">
        <v>1E-4</v>
      </c>
      <c r="AC4904">
        <v>8</v>
      </c>
      <c r="AD4904" s="5">
        <v>5.0881257802444066</v>
      </c>
      <c r="AE4904" s="5">
        <v>2.1557952951873469</v>
      </c>
      <c r="AF4904">
        <v>1</v>
      </c>
    </row>
    <row r="4905" spans="27:32" x14ac:dyDescent="0.3">
      <c r="AA4905" s="3">
        <v>-11407.84</v>
      </c>
      <c r="AB4905">
        <v>1E-4</v>
      </c>
      <c r="AC4905">
        <v>9</v>
      </c>
      <c r="AD4905" s="5">
        <v>5.0617891127297669</v>
      </c>
      <c r="AE4905" s="5">
        <v>2.1727363691172314</v>
      </c>
      <c r="AF4905">
        <v>1</v>
      </c>
    </row>
    <row r="4906" spans="27:32" x14ac:dyDescent="0.3">
      <c r="AA4906" s="3">
        <v>10512.98</v>
      </c>
      <c r="AB4906">
        <v>1E-4</v>
      </c>
      <c r="AC4906">
        <v>8</v>
      </c>
      <c r="AD4906" s="5">
        <v>4.9160336493040022</v>
      </c>
      <c r="AE4906" s="5">
        <v>2.1844191381024194</v>
      </c>
      <c r="AF4906">
        <v>1</v>
      </c>
    </row>
    <row r="4907" spans="27:32" x14ac:dyDescent="0.3">
      <c r="AA4907" s="3">
        <v>15283.89</v>
      </c>
      <c r="AB4907">
        <v>1E-4</v>
      </c>
      <c r="AC4907">
        <v>8</v>
      </c>
      <c r="AD4907" s="5">
        <v>5.0710314630791826</v>
      </c>
      <c r="AE4907" s="5">
        <v>2.2049428372926667</v>
      </c>
      <c r="AF4907">
        <v>1</v>
      </c>
    </row>
    <row r="4908" spans="27:32" x14ac:dyDescent="0.3">
      <c r="AA4908" s="3">
        <v>5206.5</v>
      </c>
      <c r="AB4908">
        <v>1E-4</v>
      </c>
      <c r="AC4908">
        <v>8</v>
      </c>
      <c r="AD4908" s="5">
        <v>5.1581363923524002</v>
      </c>
      <c r="AE4908" s="5">
        <v>2.2369561392556965</v>
      </c>
      <c r="AF4908">
        <v>1</v>
      </c>
    </row>
    <row r="4909" spans="27:32" x14ac:dyDescent="0.3">
      <c r="AA4909" s="3">
        <v>1020.75</v>
      </c>
      <c r="AB4909">
        <v>1E-4</v>
      </c>
      <c r="AC4909">
        <v>8</v>
      </c>
      <c r="AD4909" s="5">
        <v>4.9476821260169643</v>
      </c>
      <c r="AE4909" s="5">
        <v>2.255637839069029</v>
      </c>
      <c r="AF4909">
        <v>1</v>
      </c>
    </row>
    <row r="4910" spans="27:32" x14ac:dyDescent="0.3">
      <c r="AA4910" s="3">
        <v>11672.64</v>
      </c>
      <c r="AB4910">
        <v>1E-4</v>
      </c>
      <c r="AC4910">
        <v>8</v>
      </c>
      <c r="AD4910" s="5">
        <v>5.0386289620627736</v>
      </c>
      <c r="AE4910" s="5">
        <v>2.2042832279688276</v>
      </c>
      <c r="AF4910">
        <v>1</v>
      </c>
    </row>
    <row r="4911" spans="27:32" x14ac:dyDescent="0.3">
      <c r="AA4911" s="3">
        <v>26719.42</v>
      </c>
      <c r="AB4911">
        <v>1E-4</v>
      </c>
      <c r="AC4911">
        <v>8</v>
      </c>
      <c r="AD4911" s="5">
        <v>5.0440675298925441</v>
      </c>
      <c r="AE4911" s="5">
        <v>2.1960464248139755</v>
      </c>
      <c r="AF4911">
        <v>1</v>
      </c>
    </row>
    <row r="4912" spans="27:32" x14ac:dyDescent="0.3">
      <c r="AA4912" s="3">
        <v>14838.99</v>
      </c>
      <c r="AB4912">
        <v>1E-4</v>
      </c>
      <c r="AC4912">
        <v>8</v>
      </c>
      <c r="AD4912" s="5">
        <v>5.0181463951601506</v>
      </c>
      <c r="AE4912" s="5">
        <v>2.1829022531438369</v>
      </c>
      <c r="AF4912">
        <v>1</v>
      </c>
    </row>
    <row r="4913" spans="27:32" x14ac:dyDescent="0.3">
      <c r="AA4913" s="3">
        <v>15661.63</v>
      </c>
      <c r="AB4913">
        <v>1E-4</v>
      </c>
      <c r="AC4913">
        <v>8</v>
      </c>
      <c r="AD4913" s="5">
        <v>5.0469421990808225</v>
      </c>
      <c r="AE4913" s="5">
        <v>2.1616256980869886</v>
      </c>
      <c r="AF4913">
        <v>1</v>
      </c>
    </row>
    <row r="4914" spans="27:32" x14ac:dyDescent="0.3">
      <c r="AA4914" s="3">
        <v>-14082.000564660812</v>
      </c>
      <c r="AB4914">
        <v>1E-4</v>
      </c>
      <c r="AC4914">
        <v>8</v>
      </c>
      <c r="AD4914" s="5">
        <v>5.0991133829546769</v>
      </c>
      <c r="AE4914" s="5">
        <v>2.0584057538677061</v>
      </c>
      <c r="AF4914">
        <v>0</v>
      </c>
    </row>
    <row r="4915" spans="27:32" x14ac:dyDescent="0.3">
      <c r="AA4915" s="3">
        <v>1088.8900000000001</v>
      </c>
      <c r="AB4915">
        <v>1E-4</v>
      </c>
      <c r="AC4915">
        <v>8</v>
      </c>
      <c r="AD4915" s="5">
        <v>4.9566853220813538</v>
      </c>
      <c r="AE4915" s="5">
        <v>2.2191278125704961</v>
      </c>
      <c r="AF4915">
        <v>1</v>
      </c>
    </row>
    <row r="4916" spans="27:32" x14ac:dyDescent="0.3">
      <c r="AA4916" s="3">
        <v>7688.26</v>
      </c>
      <c r="AB4916">
        <v>1E-4</v>
      </c>
      <c r="AC4916">
        <v>8</v>
      </c>
      <c r="AD4916" s="5">
        <v>4.8990410934792505</v>
      </c>
      <c r="AE4916" s="5">
        <v>2.2780688190786198</v>
      </c>
      <c r="AF4916">
        <v>1</v>
      </c>
    </row>
    <row r="4917" spans="27:32" x14ac:dyDescent="0.3">
      <c r="AA4917" s="3">
        <v>-8138.83</v>
      </c>
      <c r="AB4917">
        <v>1E-4</v>
      </c>
      <c r="AC4917">
        <v>9</v>
      </c>
      <c r="AD4917" s="5">
        <v>4.8693313187504765</v>
      </c>
      <c r="AE4917" s="5">
        <v>2.1776960080150434</v>
      </c>
      <c r="AF4917">
        <v>1</v>
      </c>
    </row>
    <row r="4918" spans="27:32" x14ac:dyDescent="0.3">
      <c r="AA4918" s="3">
        <v>23597.63</v>
      </c>
      <c r="AB4918">
        <v>1E-4</v>
      </c>
      <c r="AC4918">
        <v>8</v>
      </c>
      <c r="AD4918" s="5">
        <v>5.144654376692257</v>
      </c>
      <c r="AE4918" s="5">
        <v>2.1311554866890661</v>
      </c>
      <c r="AF4918">
        <v>1</v>
      </c>
    </row>
    <row r="4919" spans="27:32" x14ac:dyDescent="0.3">
      <c r="AA4919" s="3">
        <v>12588.5</v>
      </c>
      <c r="AB4919">
        <v>1E-4</v>
      </c>
      <c r="AC4919">
        <v>8</v>
      </c>
      <c r="AD4919" s="5">
        <v>5.0431889305623523</v>
      </c>
      <c r="AE4919" s="5">
        <v>2.2444786764078257</v>
      </c>
      <c r="AF4919">
        <v>1</v>
      </c>
    </row>
    <row r="4920" spans="27:32" x14ac:dyDescent="0.3">
      <c r="AA4920" s="3">
        <v>42116.39</v>
      </c>
      <c r="AB4920">
        <v>1E-4</v>
      </c>
      <c r="AC4920">
        <v>7</v>
      </c>
      <c r="AD4920" s="5">
        <v>5.0109990767200809</v>
      </c>
      <c r="AE4920" s="5">
        <v>2.2209515457624991</v>
      </c>
      <c r="AF4920">
        <v>1</v>
      </c>
    </row>
    <row r="4921" spans="27:32" x14ac:dyDescent="0.3">
      <c r="AA4921" s="3">
        <v>15941.81</v>
      </c>
      <c r="AB4921">
        <v>1E-4</v>
      </c>
      <c r="AC4921">
        <v>8</v>
      </c>
      <c r="AD4921" s="5">
        <v>4.9974825258589117</v>
      </c>
      <c r="AE4921" s="5">
        <v>2.2597085044238665</v>
      </c>
      <c r="AF4921">
        <v>1</v>
      </c>
    </row>
    <row r="4922" spans="27:32" x14ac:dyDescent="0.3">
      <c r="AA4922" s="3">
        <v>9636.98</v>
      </c>
      <c r="AB4922">
        <v>1E-4</v>
      </c>
      <c r="AC4922">
        <v>8</v>
      </c>
      <c r="AD4922" s="5">
        <v>5.0419526189813269</v>
      </c>
      <c r="AE4922" s="5">
        <v>2.2321002031682053</v>
      </c>
      <c r="AF4922">
        <v>1</v>
      </c>
    </row>
    <row r="4923" spans="27:32" x14ac:dyDescent="0.3">
      <c r="AA4923" s="3">
        <v>28797.34</v>
      </c>
      <c r="AB4923">
        <v>1E-4</v>
      </c>
      <c r="AC4923">
        <v>8</v>
      </c>
      <c r="AD4923" s="5">
        <v>5.1063305489246265</v>
      </c>
      <c r="AE4923" s="5">
        <v>2.2172407097562914</v>
      </c>
      <c r="AF4923">
        <v>1</v>
      </c>
    </row>
    <row r="4924" spans="27:32" x14ac:dyDescent="0.3">
      <c r="AA4924" s="3">
        <v>-354.75</v>
      </c>
      <c r="AB4924">
        <v>1E-4</v>
      </c>
      <c r="AC4924">
        <v>9</v>
      </c>
      <c r="AD4924" s="5">
        <v>4.9750266743738836</v>
      </c>
      <c r="AE4924" s="5">
        <v>2.2598634413838274</v>
      </c>
      <c r="AF4924">
        <v>1</v>
      </c>
    </row>
    <row r="4925" spans="27:32" x14ac:dyDescent="0.3">
      <c r="AA4925" s="3">
        <v>-14677.43</v>
      </c>
      <c r="AB4925">
        <v>1E-4</v>
      </c>
      <c r="AC4925">
        <v>9</v>
      </c>
      <c r="AD4925" s="5">
        <v>4.8075489237418818</v>
      </c>
      <c r="AE4925" s="5">
        <v>2.1938264150963271</v>
      </c>
      <c r="AF4925">
        <v>1</v>
      </c>
    </row>
    <row r="4926" spans="27:32" x14ac:dyDescent="0.3">
      <c r="AA4926" s="3">
        <v>-417.09</v>
      </c>
      <c r="AB4926">
        <v>1E-4</v>
      </c>
      <c r="AC4926">
        <v>9</v>
      </c>
      <c r="AD4926" s="5">
        <v>5.0026359852081459</v>
      </c>
      <c r="AE4926" s="5">
        <v>2.1736551243938069</v>
      </c>
      <c r="AF4926">
        <v>1</v>
      </c>
    </row>
    <row r="4927" spans="27:32" x14ac:dyDescent="0.3">
      <c r="AA4927" s="3">
        <v>23813.41</v>
      </c>
      <c r="AB4927">
        <v>1E-4</v>
      </c>
      <c r="AC4927">
        <v>8</v>
      </c>
      <c r="AD4927" s="5">
        <v>4.9973912461198768</v>
      </c>
      <c r="AE4927" s="5">
        <v>2.2042894516054909</v>
      </c>
      <c r="AF4927">
        <v>1</v>
      </c>
    </row>
    <row r="4928" spans="27:32" x14ac:dyDescent="0.3">
      <c r="AA4928" s="3">
        <v>12247.26</v>
      </c>
      <c r="AB4928">
        <v>1E-4</v>
      </c>
      <c r="AC4928">
        <v>8</v>
      </c>
      <c r="AD4928" s="5">
        <v>5.2584353143574081</v>
      </c>
      <c r="AE4928" s="5">
        <v>2.1808898928556211</v>
      </c>
      <c r="AF4928">
        <v>1</v>
      </c>
    </row>
    <row r="4929" spans="27:32" x14ac:dyDescent="0.3">
      <c r="AA4929" s="3">
        <v>29891.39</v>
      </c>
      <c r="AB4929">
        <v>1E-4</v>
      </c>
      <c r="AC4929">
        <v>8</v>
      </c>
      <c r="AD4929" s="5">
        <v>5.0535254600263357</v>
      </c>
      <c r="AE4929" s="5">
        <v>2.2391498906892795</v>
      </c>
      <c r="AF4929">
        <v>1</v>
      </c>
    </row>
    <row r="4930" spans="27:32" x14ac:dyDescent="0.3">
      <c r="AA4930" s="3">
        <v>-10839.46</v>
      </c>
      <c r="AB4930">
        <v>1E-4</v>
      </c>
      <c r="AC4930">
        <v>9</v>
      </c>
      <c r="AD4930" s="5">
        <v>5.0573174377534764</v>
      </c>
      <c r="AE4930" s="5">
        <v>2.235006582040663</v>
      </c>
      <c r="AF4930">
        <v>1</v>
      </c>
    </row>
    <row r="4931" spans="27:32" x14ac:dyDescent="0.3">
      <c r="AA4931" s="3">
        <v>-20081.990000000002</v>
      </c>
      <c r="AB4931">
        <v>1E-4</v>
      </c>
      <c r="AC4931">
        <v>9</v>
      </c>
      <c r="AD4931" s="5">
        <v>4.8699281225202027</v>
      </c>
      <c r="AE4931" s="5">
        <v>2.0787233526122737</v>
      </c>
      <c r="AF4931">
        <v>1</v>
      </c>
    </row>
    <row r="4932" spans="27:32" x14ac:dyDescent="0.3">
      <c r="AA4932" s="3">
        <v>23531.86</v>
      </c>
      <c r="AB4932">
        <v>1E-4</v>
      </c>
      <c r="AC4932">
        <v>8</v>
      </c>
      <c r="AD4932" s="5">
        <v>5.0012243367592744</v>
      </c>
      <c r="AE4932" s="5">
        <v>2.1977080946190153</v>
      </c>
      <c r="AF4932">
        <v>1</v>
      </c>
    </row>
    <row r="4933" spans="27:32" x14ac:dyDescent="0.3">
      <c r="AA4933" s="3">
        <v>-16921.640288096645</v>
      </c>
      <c r="AB4933">
        <v>1E-4</v>
      </c>
      <c r="AC4933">
        <v>8</v>
      </c>
      <c r="AD4933" s="5">
        <v>4.8844491681708515</v>
      </c>
      <c r="AE4933" s="5">
        <v>2.2085721442427539</v>
      </c>
      <c r="AF4933">
        <v>0</v>
      </c>
    </row>
    <row r="4934" spans="27:32" x14ac:dyDescent="0.3">
      <c r="AA4934" s="3">
        <v>21401.39</v>
      </c>
      <c r="AB4934">
        <v>1E-4</v>
      </c>
      <c r="AC4934">
        <v>8</v>
      </c>
      <c r="AD4934" s="5">
        <v>4.9947665252542643</v>
      </c>
      <c r="AE4934" s="5">
        <v>2.1071971894949932</v>
      </c>
      <c r="AF4934">
        <v>1</v>
      </c>
    </row>
    <row r="4935" spans="27:32" x14ac:dyDescent="0.3">
      <c r="AA4935" s="3">
        <v>2013.47</v>
      </c>
      <c r="AB4935">
        <v>1E-4</v>
      </c>
      <c r="AC4935">
        <v>8</v>
      </c>
      <c r="AD4935" s="5">
        <v>5.0592678003672074</v>
      </c>
      <c r="AE4935" s="5">
        <v>2.1531089122934137</v>
      </c>
      <c r="AF4935">
        <v>1</v>
      </c>
    </row>
    <row r="4936" spans="27:32" x14ac:dyDescent="0.3">
      <c r="AA4936" s="3">
        <v>10008.14</v>
      </c>
      <c r="AB4936">
        <v>1E-4</v>
      </c>
      <c r="AC4936">
        <v>8</v>
      </c>
      <c r="AD4936" s="5">
        <v>4.9704647695770321</v>
      </c>
      <c r="AE4936" s="5">
        <v>2.2458593820826227</v>
      </c>
      <c r="AF4936">
        <v>1</v>
      </c>
    </row>
    <row r="4937" spans="27:32" x14ac:dyDescent="0.3">
      <c r="AA4937" s="3">
        <v>-957.45</v>
      </c>
      <c r="AB4937">
        <v>1E-4</v>
      </c>
      <c r="AC4937">
        <v>9</v>
      </c>
      <c r="AD4937" s="5">
        <v>5.1429735030395269</v>
      </c>
      <c r="AE4937" s="5">
        <v>2.2434150354916613</v>
      </c>
      <c r="AF4937">
        <v>1</v>
      </c>
    </row>
    <row r="4938" spans="27:32" x14ac:dyDescent="0.3">
      <c r="AA4938" s="3">
        <v>29807.8</v>
      </c>
      <c r="AB4938">
        <v>1E-4</v>
      </c>
      <c r="AC4938">
        <v>8</v>
      </c>
      <c r="AD4938" s="5">
        <v>5.07861487815219</v>
      </c>
      <c r="AE4938" s="5">
        <v>2.1759479965350055</v>
      </c>
      <c r="AF4938">
        <v>1</v>
      </c>
    </row>
    <row r="4939" spans="27:32" x14ac:dyDescent="0.3">
      <c r="AA4939" s="3">
        <v>-6552.73</v>
      </c>
      <c r="AB4939">
        <v>1E-4</v>
      </c>
      <c r="AC4939">
        <v>9</v>
      </c>
      <c r="AD4939" s="5">
        <v>4.9492470009042862</v>
      </c>
      <c r="AE4939" s="5">
        <v>2.1684686160074436</v>
      </c>
      <c r="AF4939">
        <v>1</v>
      </c>
    </row>
    <row r="4940" spans="27:32" x14ac:dyDescent="0.3">
      <c r="AA4940" s="3">
        <v>49876.89</v>
      </c>
      <c r="AB4940">
        <v>1E-4</v>
      </c>
      <c r="AC4940">
        <v>6</v>
      </c>
      <c r="AD4940" s="5">
        <v>4.9790618389575148</v>
      </c>
      <c r="AE4940" s="5">
        <v>2.2066412009126939</v>
      </c>
      <c r="AF4940">
        <v>1</v>
      </c>
    </row>
    <row r="4941" spans="27:32" x14ac:dyDescent="0.3">
      <c r="AA4941" s="3">
        <v>21444.639999999999</v>
      </c>
      <c r="AB4941">
        <v>1E-4</v>
      </c>
      <c r="AC4941">
        <v>8</v>
      </c>
      <c r="AD4941" s="5">
        <v>4.9568528116379209</v>
      </c>
      <c r="AE4941" s="5">
        <v>2.0831331209602082</v>
      </c>
      <c r="AF4941">
        <v>1</v>
      </c>
    </row>
    <row r="4942" spans="27:32" x14ac:dyDescent="0.3">
      <c r="AA4942" s="3">
        <v>40512.839999999997</v>
      </c>
      <c r="AB4942">
        <v>1E-4</v>
      </c>
      <c r="AC4942">
        <v>7</v>
      </c>
      <c r="AD4942" s="5">
        <v>4.9215571990271645</v>
      </c>
      <c r="AE4942" s="5">
        <v>2.1633533214500029</v>
      </c>
      <c r="AF4942">
        <v>1</v>
      </c>
    </row>
    <row r="4943" spans="27:32" x14ac:dyDescent="0.3">
      <c r="AA4943" s="3">
        <v>-25811.447346037203</v>
      </c>
      <c r="AB4943">
        <v>1E-4</v>
      </c>
      <c r="AC4943">
        <v>9</v>
      </c>
      <c r="AD4943" s="5">
        <v>5.0119791383565895</v>
      </c>
      <c r="AE4943" s="5">
        <v>2.271134353509134</v>
      </c>
      <c r="AF4943">
        <v>0</v>
      </c>
    </row>
    <row r="4944" spans="27:32" x14ac:dyDescent="0.3">
      <c r="AA4944" s="3">
        <v>-4909.34</v>
      </c>
      <c r="AB4944">
        <v>1E-4</v>
      </c>
      <c r="AC4944">
        <v>9</v>
      </c>
      <c r="AD4944" s="5">
        <v>5.0711581278321649</v>
      </c>
      <c r="AE4944" s="5">
        <v>2.193657550583846</v>
      </c>
      <c r="AF4944">
        <v>1</v>
      </c>
    </row>
    <row r="4945" spans="27:32" x14ac:dyDescent="0.3">
      <c r="AA4945" s="3">
        <v>59066.74</v>
      </c>
      <c r="AB4945">
        <v>1E-4</v>
      </c>
      <c r="AC4945">
        <v>6</v>
      </c>
      <c r="AD4945" s="5">
        <v>5.0379798060588357</v>
      </c>
      <c r="AE4945" s="5">
        <v>2.1765620209541643</v>
      </c>
      <c r="AF4945">
        <v>1</v>
      </c>
    </row>
    <row r="4946" spans="27:32" x14ac:dyDescent="0.3">
      <c r="AA4946" s="3">
        <v>40696.83</v>
      </c>
      <c r="AB4946">
        <v>1E-4</v>
      </c>
      <c r="AC4946">
        <v>7</v>
      </c>
      <c r="AD4946" s="5">
        <v>5.0327614309366586</v>
      </c>
      <c r="AE4946" s="5">
        <v>2.1156826004116449</v>
      </c>
      <c r="AF4946">
        <v>1</v>
      </c>
    </row>
    <row r="4947" spans="27:32" x14ac:dyDescent="0.3">
      <c r="AA4947" s="3">
        <v>-1733.4</v>
      </c>
      <c r="AB4947">
        <v>1E-4</v>
      </c>
      <c r="AC4947">
        <v>9</v>
      </c>
      <c r="AD4947" s="5">
        <v>4.9548409627968715</v>
      </c>
      <c r="AE4947" s="5">
        <v>2.1232128050406223</v>
      </c>
      <c r="AF4947">
        <v>1</v>
      </c>
    </row>
    <row r="4948" spans="27:32" x14ac:dyDescent="0.3">
      <c r="AA4948" s="3">
        <v>12792.75</v>
      </c>
      <c r="AB4948">
        <v>1E-4</v>
      </c>
      <c r="AC4948">
        <v>8</v>
      </c>
      <c r="AD4948" s="5">
        <v>5.0382291697414088</v>
      </c>
      <c r="AE4948" s="5">
        <v>2.1520229566140028</v>
      </c>
      <c r="AF4948">
        <v>1</v>
      </c>
    </row>
    <row r="4949" spans="27:32" x14ac:dyDescent="0.3">
      <c r="AA4949" s="3">
        <v>27022.84</v>
      </c>
      <c r="AB4949">
        <v>1E-4</v>
      </c>
      <c r="AC4949">
        <v>8</v>
      </c>
      <c r="AD4949" s="5">
        <v>4.8755697021824025</v>
      </c>
      <c r="AE4949" s="5">
        <v>2.2074025166005482</v>
      </c>
      <c r="AF4949">
        <v>1</v>
      </c>
    </row>
    <row r="4950" spans="27:32" x14ac:dyDescent="0.3">
      <c r="AA4950" s="3">
        <v>28144.45</v>
      </c>
      <c r="AB4950">
        <v>1E-4</v>
      </c>
      <c r="AC4950">
        <v>8</v>
      </c>
      <c r="AD4950" s="5">
        <v>4.9766036449037214</v>
      </c>
      <c r="AE4950" s="5">
        <v>2.184352630633045</v>
      </c>
      <c r="AF4950">
        <v>1</v>
      </c>
    </row>
    <row r="4951" spans="27:32" x14ac:dyDescent="0.3">
      <c r="AA4951" s="3">
        <v>20016.36</v>
      </c>
      <c r="AB4951">
        <v>1E-4</v>
      </c>
      <c r="AC4951">
        <v>8</v>
      </c>
      <c r="AD4951" s="5">
        <v>4.9863988605309135</v>
      </c>
      <c r="AE4951" s="5">
        <v>2.1997635871543171</v>
      </c>
      <c r="AF4951">
        <v>1</v>
      </c>
    </row>
    <row r="4952" spans="27:32" x14ac:dyDescent="0.3">
      <c r="AA4952" s="3">
        <v>-9732.7199999999993</v>
      </c>
      <c r="AB4952">
        <v>1E-4</v>
      </c>
      <c r="AC4952">
        <v>9</v>
      </c>
      <c r="AD4952" s="5">
        <v>4.9871223962448807</v>
      </c>
      <c r="AE4952" s="5">
        <v>2.253352661865045</v>
      </c>
      <c r="AF4952">
        <v>1</v>
      </c>
    </row>
    <row r="4953" spans="27:32" x14ac:dyDescent="0.3">
      <c r="AA4953" s="3">
        <v>34705.82</v>
      </c>
      <c r="AB4953">
        <v>1E-4</v>
      </c>
      <c r="AC4953">
        <v>7</v>
      </c>
      <c r="AD4953" s="5">
        <v>4.915731472081613</v>
      </c>
      <c r="AE4953" s="5">
        <v>2.1651454231420613</v>
      </c>
      <c r="AF4953">
        <v>1</v>
      </c>
    </row>
    <row r="4954" spans="27:32" x14ac:dyDescent="0.3">
      <c r="AA4954" s="3">
        <v>39964.639999999999</v>
      </c>
      <c r="AB4954">
        <v>1E-4</v>
      </c>
      <c r="AC4954">
        <v>7</v>
      </c>
      <c r="AD4954" s="5">
        <v>4.9601165554059277</v>
      </c>
      <c r="AE4954" s="5">
        <v>2.1384698513518439</v>
      </c>
      <c r="AF4954">
        <v>1</v>
      </c>
    </row>
    <row r="4955" spans="27:32" x14ac:dyDescent="0.3">
      <c r="AA4955" s="3">
        <v>43449.18</v>
      </c>
      <c r="AB4955">
        <v>1E-4</v>
      </c>
      <c r="AC4955">
        <v>7</v>
      </c>
      <c r="AD4955" s="5">
        <v>5.1078879110768192</v>
      </c>
      <c r="AE4955" s="5">
        <v>2.2016718843872214</v>
      </c>
      <c r="AF4955">
        <v>1</v>
      </c>
    </row>
    <row r="4956" spans="27:32" x14ac:dyDescent="0.3">
      <c r="AA4956" s="3">
        <v>19126.48</v>
      </c>
      <c r="AB4956">
        <v>1E-4</v>
      </c>
      <c r="AC4956">
        <v>8</v>
      </c>
      <c r="AD4956" s="5">
        <v>4.9009464684919095</v>
      </c>
      <c r="AE4956" s="5">
        <v>2.1472174832474291</v>
      </c>
      <c r="AF4956">
        <v>1</v>
      </c>
    </row>
    <row r="4957" spans="27:32" x14ac:dyDescent="0.3">
      <c r="AA4957" s="3">
        <v>-24409.4</v>
      </c>
      <c r="AB4957">
        <v>1E-4</v>
      </c>
      <c r="AC4957">
        <v>9</v>
      </c>
      <c r="AD4957" s="5">
        <v>4.9836977000996372</v>
      </c>
      <c r="AE4957" s="5">
        <v>2.2855227299358996</v>
      </c>
      <c r="AF4957">
        <v>1</v>
      </c>
    </row>
    <row r="4958" spans="27:32" x14ac:dyDescent="0.3">
      <c r="AA4958" s="3">
        <v>40827.99</v>
      </c>
      <c r="AB4958">
        <v>1E-4</v>
      </c>
      <c r="AC4958">
        <v>7</v>
      </c>
      <c r="AD4958" s="5">
        <v>4.9715855855323872</v>
      </c>
      <c r="AE4958" s="5">
        <v>2.137662448940008</v>
      </c>
      <c r="AF4958">
        <v>1</v>
      </c>
    </row>
    <row r="4959" spans="27:32" x14ac:dyDescent="0.3">
      <c r="AA4959" s="3">
        <v>-7033.4</v>
      </c>
      <c r="AB4959">
        <v>1E-4</v>
      </c>
      <c r="AC4959">
        <v>9</v>
      </c>
      <c r="AD4959" s="5">
        <v>4.7703873485077555</v>
      </c>
      <c r="AE4959" s="5">
        <v>2.2290285078230756</v>
      </c>
      <c r="AF4959">
        <v>1</v>
      </c>
    </row>
    <row r="4960" spans="27:32" x14ac:dyDescent="0.3">
      <c r="AA4960" s="3">
        <v>-16409.009999999998</v>
      </c>
      <c r="AB4960">
        <v>1E-4</v>
      </c>
      <c r="AC4960">
        <v>9</v>
      </c>
      <c r="AD4960" s="5">
        <v>4.9424205550485008</v>
      </c>
      <c r="AE4960" s="5">
        <v>2.2406942136112695</v>
      </c>
      <c r="AF4960">
        <v>1</v>
      </c>
    </row>
    <row r="4961" spans="27:32" x14ac:dyDescent="0.3">
      <c r="AA4961" s="3">
        <v>-1930.21</v>
      </c>
      <c r="AB4961">
        <v>1E-4</v>
      </c>
      <c r="AC4961">
        <v>9</v>
      </c>
      <c r="AD4961" s="5">
        <v>4.792879040964106</v>
      </c>
      <c r="AE4961" s="5">
        <v>2.1347301981235081</v>
      </c>
      <c r="AF4961">
        <v>1</v>
      </c>
    </row>
    <row r="4962" spans="27:32" x14ac:dyDescent="0.3">
      <c r="AA4962" s="3">
        <v>21710.29</v>
      </c>
      <c r="AB4962">
        <v>1E-4</v>
      </c>
      <c r="AC4962">
        <v>8</v>
      </c>
      <c r="AD4962" s="5">
        <v>5.0799700304563338</v>
      </c>
      <c r="AE4962" s="5">
        <v>2.1475121243618127</v>
      </c>
      <c r="AF4962">
        <v>1</v>
      </c>
    </row>
    <row r="4963" spans="27:32" x14ac:dyDescent="0.3">
      <c r="AA4963" s="3">
        <v>1490.9</v>
      </c>
      <c r="AB4963">
        <v>1E-4</v>
      </c>
      <c r="AC4963">
        <v>8</v>
      </c>
      <c r="AD4963" s="5">
        <v>4.9510752078007831</v>
      </c>
      <c r="AE4963" s="5">
        <v>2.2148015409775104</v>
      </c>
      <c r="AF4963">
        <v>1</v>
      </c>
    </row>
    <row r="4964" spans="27:32" x14ac:dyDescent="0.3">
      <c r="AA4964" s="3">
        <v>17710.939999999999</v>
      </c>
      <c r="AB4964">
        <v>1E-4</v>
      </c>
      <c r="AC4964">
        <v>8</v>
      </c>
      <c r="AD4964" s="5">
        <v>4.99904346056426</v>
      </c>
      <c r="AE4964" s="5">
        <v>2.2420868735512833</v>
      </c>
      <c r="AF4964">
        <v>1</v>
      </c>
    </row>
    <row r="4965" spans="27:32" x14ac:dyDescent="0.3">
      <c r="AA4965" s="3">
        <v>-11347.87</v>
      </c>
      <c r="AB4965">
        <v>1E-4</v>
      </c>
      <c r="AC4965">
        <v>9</v>
      </c>
      <c r="AD4965" s="5">
        <v>4.7657717961845076</v>
      </c>
      <c r="AE4965" s="5">
        <v>2.1908941135886639</v>
      </c>
      <c r="AF4965">
        <v>1</v>
      </c>
    </row>
    <row r="4966" spans="27:32" x14ac:dyDescent="0.3">
      <c r="AA4966" s="3">
        <v>28364.49</v>
      </c>
      <c r="AB4966">
        <v>1E-4</v>
      </c>
      <c r="AC4966">
        <v>8</v>
      </c>
      <c r="AD4966" s="5">
        <v>4.8437038820182625</v>
      </c>
      <c r="AE4966" s="5">
        <v>2.1982229113630161</v>
      </c>
      <c r="AF4966">
        <v>1</v>
      </c>
    </row>
    <row r="4967" spans="27:32" x14ac:dyDescent="0.3">
      <c r="AA4967" s="3">
        <v>11342.84</v>
      </c>
      <c r="AB4967">
        <v>1E-4</v>
      </c>
      <c r="AC4967">
        <v>8</v>
      </c>
      <c r="AD4967" s="5">
        <v>4.9544582781132291</v>
      </c>
      <c r="AE4967" s="5">
        <v>2.246777697907711</v>
      </c>
      <c r="AF4967">
        <v>1</v>
      </c>
    </row>
    <row r="4968" spans="27:32" x14ac:dyDescent="0.3">
      <c r="AA4968" s="3">
        <v>-230.93</v>
      </c>
      <c r="AB4968">
        <v>1E-4</v>
      </c>
      <c r="AC4968">
        <v>9</v>
      </c>
      <c r="AD4968" s="5">
        <v>4.9403902764283476</v>
      </c>
      <c r="AE4968" s="5">
        <v>2.2345686182948161</v>
      </c>
      <c r="AF4968">
        <v>1</v>
      </c>
    </row>
    <row r="4969" spans="27:32" x14ac:dyDescent="0.3">
      <c r="AA4969" s="3">
        <v>12846.77</v>
      </c>
      <c r="AB4969">
        <v>1E-4</v>
      </c>
      <c r="AC4969">
        <v>8</v>
      </c>
      <c r="AD4969" s="5">
        <v>5.0828997509307339</v>
      </c>
      <c r="AE4969" s="5">
        <v>2.2121727746966253</v>
      </c>
      <c r="AF4969">
        <v>1</v>
      </c>
    </row>
    <row r="4970" spans="27:32" x14ac:dyDescent="0.3">
      <c r="AA4970" s="3">
        <v>37181.800000000003</v>
      </c>
      <c r="AB4970">
        <v>1E-4</v>
      </c>
      <c r="AC4970">
        <v>7</v>
      </c>
      <c r="AD4970" s="5">
        <v>4.9674506948134693</v>
      </c>
      <c r="AE4970" s="5">
        <v>2.1235993963116542</v>
      </c>
      <c r="AF4970">
        <v>1</v>
      </c>
    </row>
    <row r="4971" spans="27:32" x14ac:dyDescent="0.3">
      <c r="AA4971" s="3">
        <v>-24855.71</v>
      </c>
      <c r="AB4971">
        <v>1E-4</v>
      </c>
      <c r="AC4971">
        <v>9</v>
      </c>
      <c r="AD4971" s="5">
        <v>4.8794768077039068</v>
      </c>
      <c r="AE4971" s="5">
        <v>2.1955342728040712</v>
      </c>
      <c r="AF4971">
        <v>1</v>
      </c>
    </row>
    <row r="4972" spans="27:32" x14ac:dyDescent="0.3">
      <c r="AA4972" s="3">
        <v>25713.16</v>
      </c>
      <c r="AB4972">
        <v>1E-4</v>
      </c>
      <c r="AC4972">
        <v>8</v>
      </c>
      <c r="AD4972" s="5">
        <v>5.0460577992027451</v>
      </c>
      <c r="AE4972" s="5">
        <v>2.1600365299871451</v>
      </c>
      <c r="AF4972">
        <v>1</v>
      </c>
    </row>
    <row r="4973" spans="27:32" x14ac:dyDescent="0.3">
      <c r="AA4973" s="3">
        <v>-16331.37</v>
      </c>
      <c r="AB4973">
        <v>1E-4</v>
      </c>
      <c r="AC4973">
        <v>9</v>
      </c>
      <c r="AD4973" s="5">
        <v>4.9174038925322465</v>
      </c>
      <c r="AE4973" s="5">
        <v>2.2256071683589433</v>
      </c>
      <c r="AF4973">
        <v>1</v>
      </c>
    </row>
    <row r="4974" spans="27:32" x14ac:dyDescent="0.3">
      <c r="AA4974" s="3">
        <v>-15315.1</v>
      </c>
      <c r="AB4974">
        <v>1E-4</v>
      </c>
      <c r="AC4974">
        <v>9</v>
      </c>
      <c r="AD4974" s="5">
        <v>4.9537579865119863</v>
      </c>
      <c r="AE4974" s="5">
        <v>2.1941758687929998</v>
      </c>
      <c r="AF4974">
        <v>1</v>
      </c>
    </row>
    <row r="4975" spans="27:32" x14ac:dyDescent="0.3">
      <c r="AA4975" s="3">
        <v>-19098.84</v>
      </c>
      <c r="AB4975">
        <v>1E-4</v>
      </c>
      <c r="AC4975">
        <v>9</v>
      </c>
      <c r="AD4975" s="5">
        <v>4.9633859817482682</v>
      </c>
      <c r="AE4975" s="5">
        <v>2.2445023611961354</v>
      </c>
      <c r="AF4975">
        <v>1</v>
      </c>
    </row>
    <row r="4976" spans="27:32" x14ac:dyDescent="0.3">
      <c r="AA4976" s="3">
        <v>9493.5</v>
      </c>
      <c r="AB4976">
        <v>1E-4</v>
      </c>
      <c r="AC4976">
        <v>8</v>
      </c>
      <c r="AD4976" s="5">
        <v>4.9236705007532935</v>
      </c>
      <c r="AE4976" s="5">
        <v>2.1112125798478099</v>
      </c>
      <c r="AF4976">
        <v>1</v>
      </c>
    </row>
    <row r="4977" spans="27:32" x14ac:dyDescent="0.3">
      <c r="AA4977" s="3">
        <v>13586.9</v>
      </c>
      <c r="AB4977">
        <v>1E-4</v>
      </c>
      <c r="AC4977">
        <v>8</v>
      </c>
      <c r="AD4977" s="5">
        <v>4.9821626200700004</v>
      </c>
      <c r="AE4977" s="5">
        <v>2.2017270512862517</v>
      </c>
      <c r="AF4977">
        <v>1</v>
      </c>
    </row>
    <row r="4978" spans="27:32" x14ac:dyDescent="0.3">
      <c r="AA4978" s="3">
        <v>16403.919999999998</v>
      </c>
      <c r="AB4978">
        <v>1E-4</v>
      </c>
      <c r="AC4978">
        <v>8</v>
      </c>
      <c r="AD4978" s="5">
        <v>5.0905639905138109</v>
      </c>
      <c r="AE4978" s="5">
        <v>2.1613534572465261</v>
      </c>
      <c r="AF4978">
        <v>1</v>
      </c>
    </row>
    <row r="4979" spans="27:32" x14ac:dyDescent="0.3">
      <c r="AA4979" s="3">
        <v>13739.6</v>
      </c>
      <c r="AB4979">
        <v>1E-4</v>
      </c>
      <c r="AC4979">
        <v>8</v>
      </c>
      <c r="AD4979" s="5">
        <v>4.9456534740001405</v>
      </c>
      <c r="AE4979" s="5">
        <v>2.1953029554624948</v>
      </c>
      <c r="AF4979">
        <v>1</v>
      </c>
    </row>
    <row r="4980" spans="27:32" x14ac:dyDescent="0.3">
      <c r="AA4980" s="3">
        <v>42526.28</v>
      </c>
      <c r="AB4980">
        <v>1E-4</v>
      </c>
      <c r="AC4980">
        <v>7</v>
      </c>
      <c r="AD4980" s="5">
        <v>5.0490616918855356</v>
      </c>
      <c r="AE4980" s="5">
        <v>2.067741756486539</v>
      </c>
      <c r="AF4980">
        <v>1</v>
      </c>
    </row>
    <row r="4981" spans="27:32" x14ac:dyDescent="0.3">
      <c r="AA4981" s="3">
        <v>22568.97</v>
      </c>
      <c r="AB4981">
        <v>1E-4</v>
      </c>
      <c r="AC4981">
        <v>8</v>
      </c>
      <c r="AD4981" s="5">
        <v>5.0364824568226947</v>
      </c>
      <c r="AE4981" s="5">
        <v>2.1352376186607267</v>
      </c>
      <c r="AF4981">
        <v>1</v>
      </c>
    </row>
    <row r="4982" spans="27:32" x14ac:dyDescent="0.3">
      <c r="AA4982" s="3">
        <v>29558.59</v>
      </c>
      <c r="AB4982">
        <v>1E-4</v>
      </c>
      <c r="AC4982">
        <v>8</v>
      </c>
      <c r="AD4982" s="5">
        <v>5.1177261530909943</v>
      </c>
      <c r="AE4982" s="5">
        <v>2.1833750243750196</v>
      </c>
      <c r="AF4982">
        <v>1</v>
      </c>
    </row>
    <row r="4983" spans="27:32" x14ac:dyDescent="0.3">
      <c r="AA4983" s="3">
        <v>9151.7099999999991</v>
      </c>
      <c r="AB4983">
        <v>1E-4</v>
      </c>
      <c r="AC4983">
        <v>8</v>
      </c>
      <c r="AD4983" s="5">
        <v>5.0970799508736206</v>
      </c>
      <c r="AE4983" s="5">
        <v>2.2736943834776264</v>
      </c>
      <c r="AF4983">
        <v>1</v>
      </c>
    </row>
    <row r="4984" spans="27:32" x14ac:dyDescent="0.3">
      <c r="AA4984" s="3">
        <v>7418.99</v>
      </c>
      <c r="AB4984">
        <v>1E-4</v>
      </c>
      <c r="AC4984">
        <v>8</v>
      </c>
      <c r="AD4984" s="5">
        <v>4.9531146675165116</v>
      </c>
      <c r="AE4984" s="5">
        <v>2.2280729568497835</v>
      </c>
      <c r="AF4984">
        <v>1</v>
      </c>
    </row>
    <row r="4985" spans="27:32" x14ac:dyDescent="0.3">
      <c r="AA4985" s="3">
        <v>17292.009999999998</v>
      </c>
      <c r="AB4985">
        <v>1E-4</v>
      </c>
      <c r="AC4985">
        <v>8</v>
      </c>
      <c r="AD4985" s="5">
        <v>4.8180837199662632</v>
      </c>
      <c r="AE4985" s="5">
        <v>2.18341164763318</v>
      </c>
      <c r="AF4985">
        <v>1</v>
      </c>
    </row>
    <row r="4986" spans="27:32" x14ac:dyDescent="0.3">
      <c r="AA4986" s="3">
        <v>11437.7</v>
      </c>
      <c r="AB4986">
        <v>1E-4</v>
      </c>
      <c r="AC4986">
        <v>8</v>
      </c>
      <c r="AD4986" s="5">
        <v>4.8873834738153557</v>
      </c>
      <c r="AE4986" s="5">
        <v>2.0980860906047525</v>
      </c>
      <c r="AF4986">
        <v>1</v>
      </c>
    </row>
    <row r="4987" spans="27:32" x14ac:dyDescent="0.3">
      <c r="AA4987" s="3">
        <v>3464.85</v>
      </c>
      <c r="AB4987">
        <v>1E-4</v>
      </c>
      <c r="AC4987">
        <v>8</v>
      </c>
      <c r="AD4987" s="5">
        <v>4.9711383740526172</v>
      </c>
      <c r="AE4987" s="5">
        <v>2.2130032689045072</v>
      </c>
      <c r="AF4987">
        <v>1</v>
      </c>
    </row>
    <row r="4988" spans="27:32" x14ac:dyDescent="0.3">
      <c r="AA4988" s="3">
        <v>19125.830000000002</v>
      </c>
      <c r="AB4988">
        <v>1E-4</v>
      </c>
      <c r="AC4988">
        <v>8</v>
      </c>
      <c r="AD4988" s="5">
        <v>4.9373246800363484</v>
      </c>
      <c r="AE4988" s="5">
        <v>2.1260919599283388</v>
      </c>
      <c r="AF4988">
        <v>1</v>
      </c>
    </row>
    <row r="4989" spans="27:32" x14ac:dyDescent="0.3">
      <c r="AA4989" s="3">
        <v>28525.08</v>
      </c>
      <c r="AB4989">
        <v>1E-4</v>
      </c>
      <c r="AC4989">
        <v>7</v>
      </c>
      <c r="AD4989" s="5">
        <v>4.9333103895681418</v>
      </c>
      <c r="AE4989" s="5">
        <v>2.2591257636252489</v>
      </c>
      <c r="AF4989">
        <v>1</v>
      </c>
    </row>
    <row r="4990" spans="27:32" x14ac:dyDescent="0.3">
      <c r="AA4990" s="3">
        <v>-306.29000000000002</v>
      </c>
      <c r="AB4990">
        <v>1E-4</v>
      </c>
      <c r="AC4990">
        <v>9</v>
      </c>
      <c r="AD4990" s="5">
        <v>4.8751373199001238</v>
      </c>
      <c r="AE4990" s="5">
        <v>2.1935009615269974</v>
      </c>
      <c r="AF4990">
        <v>1</v>
      </c>
    </row>
    <row r="4991" spans="27:32" x14ac:dyDescent="0.3">
      <c r="AA4991" s="3">
        <v>10181.81</v>
      </c>
      <c r="AB4991">
        <v>1E-4</v>
      </c>
      <c r="AC4991">
        <v>8</v>
      </c>
      <c r="AD4991" s="5">
        <v>5.0793210370491648</v>
      </c>
      <c r="AE4991" s="5">
        <v>2.2333750198754538</v>
      </c>
      <c r="AF4991">
        <v>1</v>
      </c>
    </row>
    <row r="4992" spans="27:32" x14ac:dyDescent="0.3">
      <c r="AA4992" s="3">
        <v>-17782.28</v>
      </c>
      <c r="AB4992">
        <v>1E-4</v>
      </c>
      <c r="AC4992">
        <v>9</v>
      </c>
      <c r="AD4992" s="5">
        <v>5.0261362560281473</v>
      </c>
      <c r="AE4992" s="5">
        <v>2.1890580017556069</v>
      </c>
      <c r="AF4992">
        <v>1</v>
      </c>
    </row>
    <row r="4993" spans="27:32" x14ac:dyDescent="0.3">
      <c r="AA4993" s="3">
        <v>-27412.93</v>
      </c>
      <c r="AB4993">
        <v>1E-4</v>
      </c>
      <c r="AC4993">
        <v>9</v>
      </c>
      <c r="AD4993" s="5">
        <v>4.9898562257133463</v>
      </c>
      <c r="AE4993" s="5">
        <v>2.2781218130988452</v>
      </c>
      <c r="AF4993">
        <v>1</v>
      </c>
    </row>
    <row r="4994" spans="27:32" x14ac:dyDescent="0.3">
      <c r="AA4994" s="3">
        <v>-9809.49</v>
      </c>
      <c r="AB4994">
        <v>1E-4</v>
      </c>
      <c r="AC4994">
        <v>9</v>
      </c>
      <c r="AD4994" s="5">
        <v>4.9289082630565799</v>
      </c>
      <c r="AE4994" s="5">
        <v>2.2769009100702697</v>
      </c>
      <c r="AF4994">
        <v>1</v>
      </c>
    </row>
    <row r="4995" spans="27:32" x14ac:dyDescent="0.3">
      <c r="AA4995" s="3">
        <v>22131.19</v>
      </c>
      <c r="AB4995">
        <v>1E-4</v>
      </c>
      <c r="AC4995">
        <v>8</v>
      </c>
      <c r="AD4995" s="5">
        <v>5.1669675498429859</v>
      </c>
      <c r="AE4995" s="5">
        <v>2.2182057746776156</v>
      </c>
      <c r="AF4995">
        <v>1</v>
      </c>
    </row>
    <row r="4996" spans="27:32" x14ac:dyDescent="0.3">
      <c r="AA4996" s="3">
        <v>3292.53</v>
      </c>
      <c r="AB4996">
        <v>1E-4</v>
      </c>
      <c r="AC4996">
        <v>8</v>
      </c>
      <c r="AD4996" s="5">
        <v>5.0133597502172185</v>
      </c>
      <c r="AE4996" s="5">
        <v>2.2613844941380155</v>
      </c>
      <c r="AF4996">
        <v>1</v>
      </c>
    </row>
    <row r="4997" spans="27:32" x14ac:dyDescent="0.3">
      <c r="AA4997" s="3">
        <v>7367.71</v>
      </c>
      <c r="AB4997">
        <v>1E-4</v>
      </c>
      <c r="AC4997">
        <v>8</v>
      </c>
      <c r="AD4997" s="5">
        <v>4.8700663539979292</v>
      </c>
      <c r="AE4997" s="5">
        <v>2.1791446383834825</v>
      </c>
      <c r="AF4997">
        <v>1</v>
      </c>
    </row>
    <row r="4998" spans="27:32" x14ac:dyDescent="0.3">
      <c r="AA4998" s="3">
        <v>11162.57</v>
      </c>
      <c r="AB4998">
        <v>1E-4</v>
      </c>
      <c r="AC4998">
        <v>8</v>
      </c>
      <c r="AD4998" s="5">
        <v>4.9527516969557261</v>
      </c>
      <c r="AE4998" s="5">
        <v>2.1570867244904135</v>
      </c>
      <c r="AF4998">
        <v>1</v>
      </c>
    </row>
    <row r="4999" spans="27:32" x14ac:dyDescent="0.3">
      <c r="AA4999" s="3">
        <v>26900.89</v>
      </c>
      <c r="AB4999">
        <v>1E-4</v>
      </c>
      <c r="AC4999">
        <v>8</v>
      </c>
      <c r="AD4999" s="5">
        <v>5.0779713741921997</v>
      </c>
      <c r="AE4999" s="5">
        <v>2.1363428760055854</v>
      </c>
      <c r="AF4999">
        <v>1</v>
      </c>
    </row>
    <row r="5000" spans="27:32" x14ac:dyDescent="0.3">
      <c r="AA5000" s="3">
        <v>9966.76</v>
      </c>
      <c r="AB5000">
        <v>1E-4</v>
      </c>
      <c r="AC5000">
        <v>8</v>
      </c>
      <c r="AD5000" s="5">
        <v>4.9641849572063661</v>
      </c>
      <c r="AE5000" s="5">
        <v>2.1844647088483176</v>
      </c>
      <c r="AF5000">
        <v>1</v>
      </c>
    </row>
    <row r="5001" spans="27:32" x14ac:dyDescent="0.3">
      <c r="AA5001" s="3">
        <v>-36022.955095370788</v>
      </c>
      <c r="AB5001">
        <v>1E-4</v>
      </c>
      <c r="AC5001">
        <v>9</v>
      </c>
      <c r="AD5001" s="5">
        <v>4.9974833158695162</v>
      </c>
      <c r="AE5001" s="5">
        <v>2.2777054034761157</v>
      </c>
      <c r="AF5001">
        <v>0</v>
      </c>
    </row>
    <row r="5002" spans="27:32" x14ac:dyDescent="0.3">
      <c r="AA5002" s="3">
        <v>26479.52</v>
      </c>
      <c r="AB5002">
        <v>1E-4</v>
      </c>
      <c r="AC5002">
        <v>7</v>
      </c>
      <c r="AD5002" s="5">
        <v>5.1206286594434234</v>
      </c>
      <c r="AE5002" s="5">
        <v>2.1976132143136549</v>
      </c>
      <c r="AF5002">
        <v>1</v>
      </c>
    </row>
    <row r="5003" spans="27:32" x14ac:dyDescent="0.3">
      <c r="AA5003" s="3">
        <v>45326.17</v>
      </c>
      <c r="AB5003">
        <v>1E-4</v>
      </c>
      <c r="AC5003">
        <v>7</v>
      </c>
      <c r="AD5003" s="5">
        <v>5.0920769972619446</v>
      </c>
      <c r="AE5003" s="5">
        <v>2.1810845221724819</v>
      </c>
      <c r="AF5003">
        <v>1</v>
      </c>
    </row>
    <row r="5004" spans="27:32" x14ac:dyDescent="0.3">
      <c r="AA5004" s="3">
        <v>15326.28</v>
      </c>
      <c r="AB5004">
        <v>1E-4</v>
      </c>
      <c r="AC5004">
        <v>8</v>
      </c>
      <c r="AD5004" s="5">
        <v>5.0787471871768313</v>
      </c>
      <c r="AE5004" s="5">
        <v>2.1771076286729052</v>
      </c>
      <c r="AF5004">
        <v>1</v>
      </c>
    </row>
    <row r="5005" spans="27:32" x14ac:dyDescent="0.3">
      <c r="AA5005" s="3">
        <v>35101.699999999997</v>
      </c>
      <c r="AB5005">
        <v>1E-4</v>
      </c>
      <c r="AC5005">
        <v>7</v>
      </c>
      <c r="AD5005" s="5">
        <v>5.0700736884625437</v>
      </c>
      <c r="AE5005" s="5">
        <v>2.2642898444485771</v>
      </c>
      <c r="AF5005">
        <v>1</v>
      </c>
    </row>
    <row r="5006" spans="27:32" x14ac:dyDescent="0.3">
      <c r="AA5006" s="3">
        <v>4355.51</v>
      </c>
      <c r="AB5006">
        <v>1E-4</v>
      </c>
      <c r="AC5006">
        <v>8</v>
      </c>
      <c r="AD5006" s="5">
        <v>5.0252722319640295</v>
      </c>
      <c r="AE5006" s="5">
        <v>2.1801976013104096</v>
      </c>
      <c r="AF5006">
        <v>1</v>
      </c>
    </row>
    <row r="5007" spans="27:32" x14ac:dyDescent="0.3">
      <c r="AA5007" s="3">
        <v>23202.44</v>
      </c>
      <c r="AB5007">
        <v>1E-4</v>
      </c>
      <c r="AC5007">
        <v>8</v>
      </c>
      <c r="AD5007" s="5">
        <v>5.0072135546491037</v>
      </c>
      <c r="AE5007" s="5">
        <v>2.1927621746823456</v>
      </c>
      <c r="AF5007">
        <v>1</v>
      </c>
    </row>
    <row r="5008" spans="27:32" x14ac:dyDescent="0.3">
      <c r="AA5008" s="3">
        <v>23303.09</v>
      </c>
      <c r="AB5008">
        <v>1E-4</v>
      </c>
      <c r="AC5008">
        <v>8</v>
      </c>
      <c r="AD5008" s="5">
        <v>5.0860446546217659</v>
      </c>
      <c r="AE5008" s="5">
        <v>2.2042018124553473</v>
      </c>
      <c r="AF5008">
        <v>1</v>
      </c>
    </row>
    <row r="5009" spans="27:32" x14ac:dyDescent="0.3">
      <c r="AA5009" s="3">
        <v>13947.82</v>
      </c>
      <c r="AB5009">
        <v>1E-4</v>
      </c>
      <c r="AC5009">
        <v>8</v>
      </c>
      <c r="AD5009" s="5">
        <v>4.8101719075510294</v>
      </c>
      <c r="AE5009" s="5">
        <v>2.1239704893894604</v>
      </c>
      <c r="AF5009">
        <v>1</v>
      </c>
    </row>
    <row r="5010" spans="27:32" x14ac:dyDescent="0.3">
      <c r="AA5010" s="3">
        <v>-2828.68</v>
      </c>
      <c r="AB5010">
        <v>1E-4</v>
      </c>
      <c r="AC5010">
        <v>9</v>
      </c>
      <c r="AD5010" s="5">
        <v>4.8941821930322442</v>
      </c>
      <c r="AE5010" s="5">
        <v>2.2608489545586101</v>
      </c>
      <c r="AF5010">
        <v>1</v>
      </c>
    </row>
    <row r="5011" spans="27:32" x14ac:dyDescent="0.3">
      <c r="AA5011" s="3">
        <v>6098.0685661394418</v>
      </c>
      <c r="AB5011">
        <v>1E-4</v>
      </c>
      <c r="AC5011">
        <v>8</v>
      </c>
      <c r="AD5011" s="5">
        <v>5.0685991296862323</v>
      </c>
      <c r="AE5011" s="5">
        <v>2.1542759346577811</v>
      </c>
      <c r="AF5011">
        <v>0</v>
      </c>
    </row>
    <row r="5012" spans="27:32" x14ac:dyDescent="0.3">
      <c r="AA5012" s="3">
        <v>48668.85</v>
      </c>
      <c r="AB5012">
        <v>1E-4</v>
      </c>
      <c r="AC5012">
        <v>6</v>
      </c>
      <c r="AD5012" s="5">
        <v>4.9664817679685012</v>
      </c>
      <c r="AE5012" s="5">
        <v>2.3382234928271681</v>
      </c>
      <c r="AF5012">
        <v>1</v>
      </c>
    </row>
    <row r="5013" spans="27:32" x14ac:dyDescent="0.3">
      <c r="AA5013" s="3">
        <v>17436.240000000002</v>
      </c>
      <c r="AB5013">
        <v>1E-4</v>
      </c>
      <c r="AC5013">
        <v>8</v>
      </c>
      <c r="AD5013" s="5">
        <v>4.9773494611456073</v>
      </c>
      <c r="AE5013" s="5">
        <v>2.1699895535675329</v>
      </c>
      <c r="AF5013">
        <v>1</v>
      </c>
    </row>
    <row r="5014" spans="27:32" x14ac:dyDescent="0.3">
      <c r="AA5014" s="3">
        <v>29831.17</v>
      </c>
      <c r="AB5014">
        <v>1E-4</v>
      </c>
      <c r="AC5014">
        <v>8</v>
      </c>
      <c r="AD5014" s="5">
        <v>4.8298810850040876</v>
      </c>
      <c r="AE5014" s="5">
        <v>2.2172528791467756</v>
      </c>
      <c r="AF5014">
        <v>1</v>
      </c>
    </row>
    <row r="5015" spans="27:32" x14ac:dyDescent="0.3">
      <c r="AA5015" s="3">
        <v>36878.83</v>
      </c>
      <c r="AB5015">
        <v>1E-4</v>
      </c>
      <c r="AC5015">
        <v>7</v>
      </c>
      <c r="AD5015" s="5">
        <v>5.1805448396704339</v>
      </c>
      <c r="AE5015" s="5">
        <v>2.2533499392494036</v>
      </c>
      <c r="AF5015">
        <v>1</v>
      </c>
    </row>
    <row r="5016" spans="27:32" x14ac:dyDescent="0.3">
      <c r="AA5016" s="3">
        <v>-17867.02</v>
      </c>
      <c r="AB5016">
        <v>1E-4</v>
      </c>
      <c r="AC5016">
        <v>9</v>
      </c>
      <c r="AD5016" s="5">
        <v>4.7182936917406275</v>
      </c>
      <c r="AE5016" s="5">
        <v>2.1628810522055897</v>
      </c>
      <c r="AF5016">
        <v>1</v>
      </c>
    </row>
    <row r="5017" spans="27:32" x14ac:dyDescent="0.3">
      <c r="AA5017" s="3">
        <v>23449.8</v>
      </c>
      <c r="AB5017">
        <v>1E-4</v>
      </c>
      <c r="AC5017">
        <v>8</v>
      </c>
      <c r="AD5017" s="5">
        <v>5.0119240454041485</v>
      </c>
      <c r="AE5017" s="5">
        <v>2.1736588066596898</v>
      </c>
      <c r="AF5017">
        <v>1</v>
      </c>
    </row>
    <row r="5018" spans="27:32" x14ac:dyDescent="0.3">
      <c r="AA5018" s="3">
        <v>8469.07</v>
      </c>
      <c r="AB5018">
        <v>1E-4</v>
      </c>
      <c r="AC5018">
        <v>8</v>
      </c>
      <c r="AD5018" s="5">
        <v>4.9036141458965208</v>
      </c>
      <c r="AE5018" s="5">
        <v>2.1881331474767673</v>
      </c>
      <c r="AF5018">
        <v>1</v>
      </c>
    </row>
    <row r="5019" spans="27:32" x14ac:dyDescent="0.3">
      <c r="AA5019" s="3">
        <v>4383.3</v>
      </c>
      <c r="AB5019">
        <v>1E-4</v>
      </c>
      <c r="AC5019">
        <v>8</v>
      </c>
      <c r="AD5019" s="5">
        <v>5.004568245318084</v>
      </c>
      <c r="AE5019" s="5">
        <v>2.2290417310685564</v>
      </c>
      <c r="AF5019">
        <v>1</v>
      </c>
    </row>
    <row r="5020" spans="27:32" x14ac:dyDescent="0.3">
      <c r="AA5020" s="3">
        <v>19929.439999999999</v>
      </c>
      <c r="AB5020">
        <v>1E-4</v>
      </c>
      <c r="AC5020">
        <v>8</v>
      </c>
      <c r="AD5020" s="5">
        <v>4.9674590484596406</v>
      </c>
      <c r="AE5020" s="5">
        <v>2.2215246687393368</v>
      </c>
      <c r="AF5020">
        <v>1</v>
      </c>
    </row>
    <row r="5021" spans="27:32" x14ac:dyDescent="0.3">
      <c r="AA5021" s="3">
        <v>7465.67</v>
      </c>
      <c r="AB5021">
        <v>1E-4</v>
      </c>
      <c r="AC5021">
        <v>8</v>
      </c>
      <c r="AD5021" s="5">
        <v>5.017520730132432</v>
      </c>
      <c r="AE5021" s="5">
        <v>2.1899193607593075</v>
      </c>
      <c r="AF5021">
        <v>1</v>
      </c>
    </row>
    <row r="5022" spans="27:32" x14ac:dyDescent="0.3">
      <c r="AA5022" s="3">
        <v>33335.360000000001</v>
      </c>
      <c r="AB5022">
        <v>1E-4</v>
      </c>
      <c r="AC5022">
        <v>7</v>
      </c>
      <c r="AD5022" s="5">
        <v>4.9995598806255872</v>
      </c>
      <c r="AE5022" s="5">
        <v>2.1899439463407235</v>
      </c>
      <c r="AF5022">
        <v>1</v>
      </c>
    </row>
    <row r="5023" spans="27:32" x14ac:dyDescent="0.3">
      <c r="AA5023" s="3">
        <v>-12996.48</v>
      </c>
      <c r="AB5023">
        <v>1E-4</v>
      </c>
      <c r="AC5023">
        <v>9</v>
      </c>
      <c r="AD5023" s="5">
        <v>5.0293065928925378</v>
      </c>
      <c r="AE5023" s="5">
        <v>2.3110227830440326</v>
      </c>
      <c r="AF5023">
        <v>1</v>
      </c>
    </row>
    <row r="5024" spans="27:32" x14ac:dyDescent="0.3">
      <c r="AA5024" s="3">
        <v>-3715.96</v>
      </c>
      <c r="AB5024">
        <v>1E-4</v>
      </c>
      <c r="AC5024">
        <v>9</v>
      </c>
      <c r="AD5024" s="5">
        <v>4.9313368947723832</v>
      </c>
      <c r="AE5024" s="5">
        <v>2.1897412871861572</v>
      </c>
      <c r="AF5024">
        <v>1</v>
      </c>
    </row>
    <row r="5025" spans="27:32" x14ac:dyDescent="0.3">
      <c r="AA5025" s="3">
        <v>18852.53</v>
      </c>
      <c r="AB5025">
        <v>1E-4</v>
      </c>
      <c r="AC5025">
        <v>8</v>
      </c>
      <c r="AD5025" s="5">
        <v>4.9660941190976446</v>
      </c>
      <c r="AE5025" s="5">
        <v>2.2558090676363087</v>
      </c>
      <c r="AF5025">
        <v>1</v>
      </c>
    </row>
    <row r="5026" spans="27:32" x14ac:dyDescent="0.3">
      <c r="AA5026" s="3">
        <v>21490.91</v>
      </c>
      <c r="AB5026">
        <v>1E-4</v>
      </c>
      <c r="AC5026">
        <v>8</v>
      </c>
      <c r="AD5026" s="5">
        <v>5.0912463529879233</v>
      </c>
      <c r="AE5026" s="5">
        <v>2.1332877295158492</v>
      </c>
      <c r="AF5026">
        <v>1</v>
      </c>
    </row>
    <row r="5027" spans="27:32" x14ac:dyDescent="0.3">
      <c r="AA5027" s="3">
        <v>13074.33</v>
      </c>
      <c r="AB5027">
        <v>1E-4</v>
      </c>
      <c r="AC5027">
        <v>8</v>
      </c>
      <c r="AD5027" s="5">
        <v>4.8268642677342513</v>
      </c>
      <c r="AE5027" s="5">
        <v>2.1750596044788431</v>
      </c>
      <c r="AF5027">
        <v>1</v>
      </c>
    </row>
    <row r="5028" spans="27:32" x14ac:dyDescent="0.3">
      <c r="AA5028" s="3">
        <v>25004.26</v>
      </c>
      <c r="AB5028">
        <v>1E-4</v>
      </c>
      <c r="AC5028">
        <v>8</v>
      </c>
      <c r="AD5028" s="5">
        <v>5.211750464466685</v>
      </c>
      <c r="AE5028" s="5">
        <v>2.1331629666454064</v>
      </c>
      <c r="AF5028">
        <v>1</v>
      </c>
    </row>
    <row r="5029" spans="27:32" x14ac:dyDescent="0.3">
      <c r="AA5029" s="3">
        <v>18157.66</v>
      </c>
      <c r="AB5029">
        <v>1E-4</v>
      </c>
      <c r="AC5029">
        <v>8</v>
      </c>
      <c r="AD5029" s="5">
        <v>4.9808051058988072</v>
      </c>
      <c r="AE5029" s="5">
        <v>2.1522857594833114</v>
      </c>
      <c r="AF5029">
        <v>1</v>
      </c>
    </row>
    <row r="5030" spans="27:32" x14ac:dyDescent="0.3">
      <c r="AA5030" s="3">
        <v>-2839.69</v>
      </c>
      <c r="AB5030">
        <v>1E-4</v>
      </c>
      <c r="AC5030">
        <v>9</v>
      </c>
      <c r="AD5030" s="5">
        <v>4.9197853312342206</v>
      </c>
      <c r="AE5030" s="5">
        <v>2.1432648010204387</v>
      </c>
      <c r="AF5030">
        <v>1</v>
      </c>
    </row>
    <row r="5031" spans="27:32" x14ac:dyDescent="0.3">
      <c r="AA5031" s="3">
        <v>-19393.689999999999</v>
      </c>
      <c r="AB5031">
        <v>1E-4</v>
      </c>
      <c r="AC5031">
        <v>9</v>
      </c>
      <c r="AD5031" s="5">
        <v>5.1059187396392893</v>
      </c>
      <c r="AE5031" s="5">
        <v>2.2782204932312373</v>
      </c>
      <c r="AF5031">
        <v>1</v>
      </c>
    </row>
    <row r="5032" spans="27:32" x14ac:dyDescent="0.3">
      <c r="AA5032" s="3">
        <v>12045.21</v>
      </c>
      <c r="AB5032">
        <v>1E-4</v>
      </c>
      <c r="AC5032">
        <v>8</v>
      </c>
      <c r="AD5032" s="5">
        <v>5.0173836728975303</v>
      </c>
      <c r="AE5032" s="5">
        <v>2.2216117940904674</v>
      </c>
      <c r="AF5032">
        <v>1</v>
      </c>
    </row>
    <row r="5033" spans="27:32" x14ac:dyDescent="0.3">
      <c r="AA5033" s="3">
        <v>28833.119999999999</v>
      </c>
      <c r="AB5033">
        <v>1E-4</v>
      </c>
      <c r="AC5033">
        <v>8</v>
      </c>
      <c r="AD5033" s="5">
        <v>4.9021072441026536</v>
      </c>
      <c r="AE5033" s="5">
        <v>2.2317490577237935</v>
      </c>
      <c r="AF5033">
        <v>1</v>
      </c>
    </row>
    <row r="5034" spans="27:32" x14ac:dyDescent="0.3">
      <c r="AA5034" s="3">
        <v>25557.8</v>
      </c>
      <c r="AB5034">
        <v>1E-4</v>
      </c>
      <c r="AC5034">
        <v>8</v>
      </c>
      <c r="AD5034" s="5">
        <v>4.9051553315389915</v>
      </c>
      <c r="AE5034" s="5">
        <v>2.1815589036338552</v>
      </c>
      <c r="AF5034">
        <v>1</v>
      </c>
    </row>
    <row r="5035" spans="27:32" x14ac:dyDescent="0.3">
      <c r="AA5035" s="3">
        <v>41552.559999999998</v>
      </c>
      <c r="AB5035">
        <v>1E-4</v>
      </c>
      <c r="AC5035">
        <v>7</v>
      </c>
      <c r="AD5035" s="5">
        <v>5.1241617243698503</v>
      </c>
      <c r="AE5035" s="5">
        <v>2.1534566412688023</v>
      </c>
      <c r="AF5035">
        <v>1</v>
      </c>
    </row>
    <row r="5036" spans="27:32" x14ac:dyDescent="0.3">
      <c r="AA5036" s="3">
        <v>-5721.74</v>
      </c>
      <c r="AB5036">
        <v>1E-4</v>
      </c>
      <c r="AC5036">
        <v>9</v>
      </c>
      <c r="AD5036" s="5">
        <v>5.0072144667208986</v>
      </c>
      <c r="AE5036" s="5">
        <v>2.2696448560820626</v>
      </c>
      <c r="AF5036">
        <v>1</v>
      </c>
    </row>
    <row r="5037" spans="27:32" x14ac:dyDescent="0.3">
      <c r="AA5037" s="3">
        <v>21088.41</v>
      </c>
      <c r="AB5037">
        <v>1E-4</v>
      </c>
      <c r="AC5037">
        <v>8</v>
      </c>
      <c r="AD5037" s="5">
        <v>4.9547533279474987</v>
      </c>
      <c r="AE5037" s="5">
        <v>2.1982845994096341</v>
      </c>
      <c r="AF5037">
        <v>1</v>
      </c>
    </row>
    <row r="5038" spans="27:32" x14ac:dyDescent="0.3">
      <c r="AA5038" s="3">
        <v>24866.93</v>
      </c>
      <c r="AB5038">
        <v>1E-4</v>
      </c>
      <c r="AC5038">
        <v>8</v>
      </c>
      <c r="AD5038" s="5">
        <v>4.9661804202077304</v>
      </c>
      <c r="AE5038" s="5">
        <v>2.1894315148831085</v>
      </c>
      <c r="AF5038">
        <v>1</v>
      </c>
    </row>
    <row r="5039" spans="27:32" x14ac:dyDescent="0.3">
      <c r="AA5039" s="3">
        <v>28390.14</v>
      </c>
      <c r="AB5039">
        <v>1E-4</v>
      </c>
      <c r="AC5039">
        <v>8</v>
      </c>
      <c r="AD5039" s="5">
        <v>5.0379687513013254</v>
      </c>
      <c r="AE5039" s="5">
        <v>2.134316124815173</v>
      </c>
      <c r="AF5039">
        <v>1</v>
      </c>
    </row>
    <row r="5040" spans="27:32" x14ac:dyDescent="0.3">
      <c r="AA5040" s="3">
        <v>3588.54</v>
      </c>
      <c r="AB5040">
        <v>1E-4</v>
      </c>
      <c r="AC5040">
        <v>8</v>
      </c>
      <c r="AD5040" s="5">
        <v>5.1450249233232386</v>
      </c>
      <c r="AE5040" s="5">
        <v>2.2515706643651274</v>
      </c>
      <c r="AF5040">
        <v>1</v>
      </c>
    </row>
    <row r="5041" spans="27:32" x14ac:dyDescent="0.3">
      <c r="AA5041" s="3">
        <v>22145.22</v>
      </c>
      <c r="AB5041">
        <v>1E-4</v>
      </c>
      <c r="AC5041">
        <v>8</v>
      </c>
      <c r="AD5041" s="5">
        <v>4.8886309797498591</v>
      </c>
      <c r="AE5041" s="5">
        <v>2.1502686974975189</v>
      </c>
      <c r="AF5041">
        <v>1</v>
      </c>
    </row>
    <row r="5042" spans="27:32" x14ac:dyDescent="0.3">
      <c r="AA5042" s="3">
        <v>3152.18</v>
      </c>
      <c r="AB5042">
        <v>1E-4</v>
      </c>
      <c r="AC5042">
        <v>8</v>
      </c>
      <c r="AD5042" s="5">
        <v>4.9558079998474307</v>
      </c>
      <c r="AE5042" s="5">
        <v>2.252371476078515</v>
      </c>
      <c r="AF5042">
        <v>1</v>
      </c>
    </row>
    <row r="5043" spans="27:32" x14ac:dyDescent="0.3">
      <c r="AA5043" s="3">
        <v>20363.38</v>
      </c>
      <c r="AB5043">
        <v>1E-4</v>
      </c>
      <c r="AC5043">
        <v>8</v>
      </c>
      <c r="AD5043" s="5">
        <v>5.0073986593290494</v>
      </c>
      <c r="AE5043" s="5">
        <v>2.1864554724106018</v>
      </c>
      <c r="AF5043">
        <v>1</v>
      </c>
    </row>
    <row r="5044" spans="27:32" x14ac:dyDescent="0.3">
      <c r="AA5044" s="3">
        <v>-13089.64</v>
      </c>
      <c r="AB5044">
        <v>1E-4</v>
      </c>
      <c r="AC5044">
        <v>9</v>
      </c>
      <c r="AD5044" s="5">
        <v>4.8665526866298503</v>
      </c>
      <c r="AE5044" s="5">
        <v>2.242860230132214</v>
      </c>
      <c r="AF5044">
        <v>1</v>
      </c>
    </row>
    <row r="5045" spans="27:32" x14ac:dyDescent="0.3">
      <c r="AA5045" s="3">
        <v>16682.34</v>
      </c>
      <c r="AB5045">
        <v>1E-4</v>
      </c>
      <c r="AC5045">
        <v>8</v>
      </c>
      <c r="AD5045" s="5">
        <v>4.9962447532976419</v>
      </c>
      <c r="AE5045" s="5">
        <v>2.1699174849025282</v>
      </c>
      <c r="AF5045">
        <v>1</v>
      </c>
    </row>
    <row r="5046" spans="27:32" x14ac:dyDescent="0.3">
      <c r="AA5046" s="3">
        <v>15680.11</v>
      </c>
      <c r="AB5046">
        <v>1E-4</v>
      </c>
      <c r="AC5046">
        <v>8</v>
      </c>
      <c r="AD5046" s="5">
        <v>5.0894708368380392</v>
      </c>
      <c r="AE5046" s="5">
        <v>2.2610128311625663</v>
      </c>
      <c r="AF5046">
        <v>1</v>
      </c>
    </row>
    <row r="5047" spans="27:32" x14ac:dyDescent="0.3">
      <c r="AA5047" s="3">
        <v>-2293.62</v>
      </c>
      <c r="AB5047">
        <v>1E-4</v>
      </c>
      <c r="AC5047">
        <v>9</v>
      </c>
      <c r="AD5047" s="5">
        <v>5.0463710319940489</v>
      </c>
      <c r="AE5047" s="5">
        <v>2.15146997675122</v>
      </c>
      <c r="AF5047">
        <v>1</v>
      </c>
    </row>
    <row r="5048" spans="27:32" x14ac:dyDescent="0.3">
      <c r="AA5048" s="3">
        <v>-7417.91</v>
      </c>
      <c r="AB5048">
        <v>1E-4</v>
      </c>
      <c r="AC5048">
        <v>9</v>
      </c>
      <c r="AD5048" s="5">
        <v>4.8317287624834684</v>
      </c>
      <c r="AE5048" s="5">
        <v>2.1813506485956595</v>
      </c>
      <c r="AF5048">
        <v>1</v>
      </c>
    </row>
    <row r="5049" spans="27:32" x14ac:dyDescent="0.3">
      <c r="AA5049" s="3">
        <v>45759.69</v>
      </c>
      <c r="AB5049">
        <v>1E-4</v>
      </c>
      <c r="AC5049">
        <v>7</v>
      </c>
      <c r="AD5049" s="5">
        <v>4.923827689074102</v>
      </c>
      <c r="AE5049" s="5">
        <v>2.1371111156777132</v>
      </c>
      <c r="AF5049">
        <v>1</v>
      </c>
    </row>
    <row r="5050" spans="27:32" x14ac:dyDescent="0.3">
      <c r="AA5050" s="3">
        <v>7448.94</v>
      </c>
      <c r="AB5050">
        <v>1E-4</v>
      </c>
      <c r="AC5050">
        <v>8</v>
      </c>
      <c r="AD5050" s="5">
        <v>5.0387194089080323</v>
      </c>
      <c r="AE5050" s="5">
        <v>2.2143994759581336</v>
      </c>
      <c r="AF5050">
        <v>1</v>
      </c>
    </row>
    <row r="5051" spans="27:32" x14ac:dyDescent="0.3">
      <c r="AA5051" s="3">
        <v>16120.71</v>
      </c>
      <c r="AB5051">
        <v>1E-4</v>
      </c>
      <c r="AC5051">
        <v>8</v>
      </c>
      <c r="AD5051" s="5">
        <v>5.0870993286132196</v>
      </c>
      <c r="AE5051" s="5">
        <v>2.2042884096836803</v>
      </c>
      <c r="AF5051">
        <v>1</v>
      </c>
    </row>
    <row r="5052" spans="27:32" x14ac:dyDescent="0.3">
      <c r="AA5052" s="3">
        <v>-17627.02</v>
      </c>
      <c r="AB5052">
        <v>1E-4</v>
      </c>
      <c r="AC5052">
        <v>9</v>
      </c>
      <c r="AD5052" s="5">
        <v>4.9155095242163833</v>
      </c>
      <c r="AE5052" s="5">
        <v>2.2052292948276051</v>
      </c>
      <c r="AF5052">
        <v>1</v>
      </c>
    </row>
    <row r="5053" spans="27:32" x14ac:dyDescent="0.3">
      <c r="AA5053" s="3">
        <v>9626.5</v>
      </c>
      <c r="AB5053">
        <v>1E-4</v>
      </c>
      <c r="AC5053">
        <v>8</v>
      </c>
      <c r="AD5053" s="5">
        <v>4.9905754911746731</v>
      </c>
      <c r="AE5053" s="5">
        <v>2.2823981485426406</v>
      </c>
      <c r="AF5053">
        <v>1</v>
      </c>
    </row>
    <row r="5054" spans="27:32" x14ac:dyDescent="0.3">
      <c r="AA5054" s="3">
        <v>-7522.63</v>
      </c>
      <c r="AB5054">
        <v>1E-4</v>
      </c>
      <c r="AC5054">
        <v>9</v>
      </c>
      <c r="AD5054" s="5">
        <v>4.7526174574175135</v>
      </c>
      <c r="AE5054" s="5">
        <v>2.2262702131267327</v>
      </c>
      <c r="AF5054">
        <v>1</v>
      </c>
    </row>
    <row r="5055" spans="27:32" x14ac:dyDescent="0.3">
      <c r="AA5055" s="3">
        <v>19957.2</v>
      </c>
      <c r="AB5055">
        <v>1E-4</v>
      </c>
      <c r="AC5055">
        <v>8</v>
      </c>
      <c r="AD5055" s="5">
        <v>5.0634882042917093</v>
      </c>
      <c r="AE5055" s="5">
        <v>2.2477502203533466</v>
      </c>
      <c r="AF5055">
        <v>1</v>
      </c>
    </row>
    <row r="5056" spans="27:32" x14ac:dyDescent="0.3">
      <c r="AA5056" s="3">
        <v>35861.53</v>
      </c>
      <c r="AB5056">
        <v>1E-4</v>
      </c>
      <c r="AC5056">
        <v>7</v>
      </c>
      <c r="AD5056" s="5">
        <v>4.9895136939352849</v>
      </c>
      <c r="AE5056" s="5">
        <v>2.2481615346670423</v>
      </c>
      <c r="AF5056">
        <v>1</v>
      </c>
    </row>
    <row r="5057" spans="27:32" x14ac:dyDescent="0.3">
      <c r="AA5057" s="3">
        <v>1890.41</v>
      </c>
      <c r="AB5057">
        <v>1E-4</v>
      </c>
      <c r="AC5057">
        <v>8</v>
      </c>
      <c r="AD5057" s="5">
        <v>5.075826000855149</v>
      </c>
      <c r="AE5057" s="5">
        <v>2.232718660582997</v>
      </c>
      <c r="AF5057">
        <v>1</v>
      </c>
    </row>
    <row r="5058" spans="27:32" x14ac:dyDescent="0.3">
      <c r="AA5058" s="3">
        <v>39633.93</v>
      </c>
      <c r="AB5058">
        <v>1E-4</v>
      </c>
      <c r="AC5058">
        <v>7</v>
      </c>
      <c r="AD5058" s="5">
        <v>4.9705806225826761</v>
      </c>
      <c r="AE5058" s="5">
        <v>2.1818802951960867</v>
      </c>
      <c r="AF5058">
        <v>1</v>
      </c>
    </row>
    <row r="5059" spans="27:32" x14ac:dyDescent="0.3">
      <c r="AA5059" s="3">
        <v>9006.1299999999992</v>
      </c>
      <c r="AB5059">
        <v>1E-4</v>
      </c>
      <c r="AC5059">
        <v>8</v>
      </c>
      <c r="AD5059" s="5">
        <v>4.8739626962551634</v>
      </c>
      <c r="AE5059" s="5">
        <v>2.1485452350834429</v>
      </c>
      <c r="AF5059">
        <v>1</v>
      </c>
    </row>
    <row r="5060" spans="27:32" x14ac:dyDescent="0.3">
      <c r="AA5060" s="3">
        <v>22296.63</v>
      </c>
      <c r="AB5060">
        <v>1E-4</v>
      </c>
      <c r="AC5060">
        <v>8</v>
      </c>
      <c r="AD5060" s="5">
        <v>5.0882690660979728</v>
      </c>
      <c r="AE5060" s="5">
        <v>2.2263807755266329</v>
      </c>
      <c r="AF5060">
        <v>1</v>
      </c>
    </row>
    <row r="5061" spans="27:32" x14ac:dyDescent="0.3">
      <c r="AA5061" s="3">
        <v>-2915.22</v>
      </c>
      <c r="AB5061">
        <v>1E-4</v>
      </c>
      <c r="AC5061">
        <v>9</v>
      </c>
      <c r="AD5061" s="5">
        <v>4.9727622964816067</v>
      </c>
      <c r="AE5061" s="5">
        <v>2.2033776170586061</v>
      </c>
      <c r="AF5061">
        <v>1</v>
      </c>
    </row>
    <row r="5062" spans="27:32" x14ac:dyDescent="0.3">
      <c r="AA5062" s="3">
        <v>18893.04</v>
      </c>
      <c r="AB5062">
        <v>1E-4</v>
      </c>
      <c r="AC5062">
        <v>8</v>
      </c>
      <c r="AD5062" s="5">
        <v>4.8582474282260391</v>
      </c>
      <c r="AE5062" s="5">
        <v>2.187894026930477</v>
      </c>
      <c r="AF5062">
        <v>1</v>
      </c>
    </row>
    <row r="5063" spans="27:32" x14ac:dyDescent="0.3">
      <c r="AA5063" s="3">
        <v>40542.080000000002</v>
      </c>
      <c r="AB5063">
        <v>1E-4</v>
      </c>
      <c r="AC5063">
        <v>7</v>
      </c>
      <c r="AD5063" s="5">
        <v>5.2424390213132535</v>
      </c>
      <c r="AE5063" s="5">
        <v>2.1213796116318755</v>
      </c>
      <c r="AF5063">
        <v>1</v>
      </c>
    </row>
    <row r="5064" spans="27:32" x14ac:dyDescent="0.3">
      <c r="AA5064" s="3">
        <v>9556.3799999999992</v>
      </c>
      <c r="AB5064">
        <v>1E-4</v>
      </c>
      <c r="AC5064">
        <v>8</v>
      </c>
      <c r="AD5064" s="5">
        <v>4.9023159871835533</v>
      </c>
      <c r="AE5064" s="5">
        <v>2.2760879709149817</v>
      </c>
      <c r="AF5064">
        <v>1</v>
      </c>
    </row>
    <row r="5065" spans="27:32" x14ac:dyDescent="0.3">
      <c r="AA5065" s="3">
        <v>31944.81</v>
      </c>
      <c r="AB5065">
        <v>1E-4</v>
      </c>
      <c r="AC5065">
        <v>7</v>
      </c>
      <c r="AD5065" s="5">
        <v>4.9429332985338466</v>
      </c>
      <c r="AE5065" s="5">
        <v>2.1399616820393264</v>
      </c>
      <c r="AF5065">
        <v>1</v>
      </c>
    </row>
    <row r="5066" spans="27:32" x14ac:dyDescent="0.3">
      <c r="AA5066" s="3">
        <v>7114.24</v>
      </c>
      <c r="AB5066">
        <v>1E-4</v>
      </c>
      <c r="AC5066">
        <v>8</v>
      </c>
      <c r="AD5066" s="5">
        <v>5.0734413470294912</v>
      </c>
      <c r="AE5066" s="5">
        <v>2.1135318261562945</v>
      </c>
      <c r="AF5066">
        <v>1</v>
      </c>
    </row>
    <row r="5067" spans="27:32" x14ac:dyDescent="0.3">
      <c r="AA5067" s="3">
        <v>26998.28</v>
      </c>
      <c r="AB5067">
        <v>1E-4</v>
      </c>
      <c r="AC5067">
        <v>8</v>
      </c>
      <c r="AD5067" s="5">
        <v>4.8910013711646378</v>
      </c>
      <c r="AE5067" s="5">
        <v>2.1556717183210603</v>
      </c>
      <c r="AF5067">
        <v>1</v>
      </c>
    </row>
    <row r="5068" spans="27:32" x14ac:dyDescent="0.3">
      <c r="AA5068" s="3">
        <v>27869.33</v>
      </c>
      <c r="AB5068">
        <v>1E-4</v>
      </c>
      <c r="AC5068">
        <v>8</v>
      </c>
      <c r="AD5068" s="5">
        <v>4.9832483687280016</v>
      </c>
      <c r="AE5068" s="5">
        <v>2.1912665613839564</v>
      </c>
      <c r="AF5068">
        <v>1</v>
      </c>
    </row>
    <row r="5069" spans="27:32" x14ac:dyDescent="0.3">
      <c r="AA5069" s="3">
        <v>8292.2099999999991</v>
      </c>
      <c r="AB5069">
        <v>1E-4</v>
      </c>
      <c r="AC5069">
        <v>8</v>
      </c>
      <c r="AD5069" s="5">
        <v>5.0962122859250671</v>
      </c>
      <c r="AE5069" s="5">
        <v>2.1757935821668979</v>
      </c>
      <c r="AF5069">
        <v>1</v>
      </c>
    </row>
    <row r="5070" spans="27:32" x14ac:dyDescent="0.3">
      <c r="AA5070" s="3">
        <v>24397.200000000001</v>
      </c>
      <c r="AB5070">
        <v>1E-4</v>
      </c>
      <c r="AC5070">
        <v>8</v>
      </c>
      <c r="AD5070" s="5">
        <v>5.2076551157903044</v>
      </c>
      <c r="AE5070" s="5">
        <v>2.1874030706752809</v>
      </c>
      <c r="AF5070">
        <v>1</v>
      </c>
    </row>
    <row r="5071" spans="27:32" x14ac:dyDescent="0.3">
      <c r="AA5071" s="3">
        <v>19865.96</v>
      </c>
      <c r="AB5071">
        <v>1E-4</v>
      </c>
      <c r="AC5071">
        <v>8</v>
      </c>
      <c r="AD5071" s="5">
        <v>5.1690589639256821</v>
      </c>
      <c r="AE5071" s="5">
        <v>2.285646647270315</v>
      </c>
      <c r="AF5071">
        <v>1</v>
      </c>
    </row>
    <row r="5072" spans="27:32" x14ac:dyDescent="0.3">
      <c r="AA5072" s="3">
        <v>-3445.42</v>
      </c>
      <c r="AB5072">
        <v>1E-4</v>
      </c>
      <c r="AC5072">
        <v>9</v>
      </c>
      <c r="AD5072" s="5">
        <v>5.0429537701574061</v>
      </c>
      <c r="AE5072" s="5">
        <v>2.253251298015762</v>
      </c>
      <c r="AF5072">
        <v>1</v>
      </c>
    </row>
    <row r="5073" spans="27:32" x14ac:dyDescent="0.3">
      <c r="AA5073" s="3">
        <v>-4706.13</v>
      </c>
      <c r="AB5073">
        <v>1E-4</v>
      </c>
      <c r="AC5073">
        <v>9</v>
      </c>
      <c r="AD5073" s="5">
        <v>4.8807138854316312</v>
      </c>
      <c r="AE5073" s="5">
        <v>2.3021436805572519</v>
      </c>
      <c r="AF5073">
        <v>1</v>
      </c>
    </row>
    <row r="5074" spans="27:32" x14ac:dyDescent="0.3">
      <c r="AA5074" s="3">
        <v>27192.82</v>
      </c>
      <c r="AB5074">
        <v>1E-4</v>
      </c>
      <c r="AC5074">
        <v>8</v>
      </c>
      <c r="AD5074" s="5">
        <v>4.9816164490573023</v>
      </c>
      <c r="AE5074" s="5">
        <v>2.1918572799824769</v>
      </c>
      <c r="AF5074">
        <v>1</v>
      </c>
    </row>
    <row r="5075" spans="27:32" x14ac:dyDescent="0.3">
      <c r="AA5075" s="3">
        <v>29886.87</v>
      </c>
      <c r="AB5075">
        <v>1E-4</v>
      </c>
      <c r="AC5075">
        <v>8</v>
      </c>
      <c r="AD5075" s="5">
        <v>4.9963327088904643</v>
      </c>
      <c r="AE5075" s="5">
        <v>2.1106936626211388</v>
      </c>
      <c r="AF5075">
        <v>1</v>
      </c>
    </row>
    <row r="5076" spans="27:32" x14ac:dyDescent="0.3">
      <c r="AA5076" s="3">
        <v>27622.05</v>
      </c>
      <c r="AB5076">
        <v>1E-4</v>
      </c>
      <c r="AC5076">
        <v>8</v>
      </c>
      <c r="AD5076" s="5">
        <v>4.8545266292424474</v>
      </c>
      <c r="AE5076" s="5">
        <v>2.1831309322194108</v>
      </c>
      <c r="AF5076">
        <v>1</v>
      </c>
    </row>
    <row r="5077" spans="27:32" x14ac:dyDescent="0.3">
      <c r="AA5077" s="3">
        <v>40244.400000000001</v>
      </c>
      <c r="AB5077">
        <v>1E-4</v>
      </c>
      <c r="AC5077">
        <v>7</v>
      </c>
      <c r="AD5077" s="5">
        <v>5.0444689793807225</v>
      </c>
      <c r="AE5077" s="5">
        <v>2.2072466399202644</v>
      </c>
      <c r="AF5077">
        <v>1</v>
      </c>
    </row>
    <row r="5078" spans="27:32" x14ac:dyDescent="0.3">
      <c r="AA5078" s="3">
        <v>6744.15</v>
      </c>
      <c r="AB5078">
        <v>1E-4</v>
      </c>
      <c r="AC5078">
        <v>8</v>
      </c>
      <c r="AD5078" s="5">
        <v>4.9797417740704386</v>
      </c>
      <c r="AE5078" s="5">
        <v>2.1510311387900232</v>
      </c>
      <c r="AF5078">
        <v>1</v>
      </c>
    </row>
    <row r="5079" spans="27:32" x14ac:dyDescent="0.3">
      <c r="AA5079" s="3">
        <v>6903.4</v>
      </c>
      <c r="AB5079">
        <v>1E-4</v>
      </c>
      <c r="AC5079">
        <v>8</v>
      </c>
      <c r="AD5079" s="5">
        <v>5.1229653798810375</v>
      </c>
      <c r="AE5079" s="5">
        <v>2.2879992402363705</v>
      </c>
      <c r="AF5079">
        <v>1</v>
      </c>
    </row>
    <row r="5080" spans="27:32" x14ac:dyDescent="0.3">
      <c r="AA5080" s="3">
        <v>-5812.93</v>
      </c>
      <c r="AB5080">
        <v>1E-4</v>
      </c>
      <c r="AC5080">
        <v>9</v>
      </c>
      <c r="AD5080" s="5">
        <v>5.1227955260085345</v>
      </c>
      <c r="AE5080" s="5">
        <v>2.1764436336566755</v>
      </c>
      <c r="AF5080">
        <v>1</v>
      </c>
    </row>
    <row r="5081" spans="27:32" x14ac:dyDescent="0.3">
      <c r="AA5081" s="3">
        <v>1047.5999999999999</v>
      </c>
      <c r="AB5081">
        <v>1E-4</v>
      </c>
      <c r="AC5081">
        <v>8</v>
      </c>
      <c r="AD5081" s="5">
        <v>4.9132301467659572</v>
      </c>
      <c r="AE5081" s="5">
        <v>2.2824174117986757</v>
      </c>
      <c r="AF5081">
        <v>1</v>
      </c>
    </row>
    <row r="5082" spans="27:32" x14ac:dyDescent="0.3">
      <c r="AA5082" s="3">
        <v>1128.8900000000001</v>
      </c>
      <c r="AB5082">
        <v>1E-4</v>
      </c>
      <c r="AC5082">
        <v>8</v>
      </c>
      <c r="AD5082" s="5">
        <v>4.9891488628568972</v>
      </c>
      <c r="AE5082" s="5">
        <v>2.3567304783662091</v>
      </c>
      <c r="AF5082">
        <v>1</v>
      </c>
    </row>
    <row r="5083" spans="27:32" x14ac:dyDescent="0.3">
      <c r="AA5083" s="3">
        <v>19769.77</v>
      </c>
      <c r="AB5083">
        <v>1E-4</v>
      </c>
      <c r="AC5083">
        <v>8</v>
      </c>
      <c r="AD5083" s="5">
        <v>5.0040790375537183</v>
      </c>
      <c r="AE5083" s="5">
        <v>2.1695339142773649</v>
      </c>
      <c r="AF5083">
        <v>1</v>
      </c>
    </row>
    <row r="5084" spans="27:32" x14ac:dyDescent="0.3">
      <c r="AA5084" s="3">
        <v>24521.17</v>
      </c>
      <c r="AB5084">
        <v>1E-4</v>
      </c>
      <c r="AC5084">
        <v>8</v>
      </c>
      <c r="AD5084" s="5">
        <v>4.9824803641336119</v>
      </c>
      <c r="AE5084" s="5">
        <v>2.2255970666514817</v>
      </c>
      <c r="AF5084">
        <v>1</v>
      </c>
    </row>
    <row r="5085" spans="27:32" x14ac:dyDescent="0.3">
      <c r="AA5085" s="3">
        <v>-14949.146298995816</v>
      </c>
      <c r="AB5085">
        <v>1E-4</v>
      </c>
      <c r="AC5085">
        <v>9</v>
      </c>
      <c r="AD5085" s="5">
        <v>4.9802355659281208</v>
      </c>
      <c r="AE5085" s="5">
        <v>2.2359507760713759</v>
      </c>
      <c r="AF5085">
        <v>0</v>
      </c>
    </row>
    <row r="5086" spans="27:32" x14ac:dyDescent="0.3">
      <c r="AA5086" s="3">
        <v>-15186.51</v>
      </c>
      <c r="AB5086">
        <v>1E-4</v>
      </c>
      <c r="AC5086">
        <v>9</v>
      </c>
      <c r="AD5086" s="5">
        <v>4.9266928755047505</v>
      </c>
      <c r="AE5086" s="5">
        <v>2.2634693543814524</v>
      </c>
      <c r="AF5086">
        <v>1</v>
      </c>
    </row>
    <row r="5087" spans="27:32" x14ac:dyDescent="0.3">
      <c r="AA5087" s="3">
        <v>4519.08</v>
      </c>
      <c r="AB5087">
        <v>1E-4</v>
      </c>
      <c r="AC5087">
        <v>8</v>
      </c>
      <c r="AD5087" s="5">
        <v>5.1697154901868965</v>
      </c>
      <c r="AE5087" s="5">
        <v>2.2644289397193518</v>
      </c>
      <c r="AF5087">
        <v>1</v>
      </c>
    </row>
    <row r="5088" spans="27:32" x14ac:dyDescent="0.3">
      <c r="AA5088" s="3">
        <v>23590.65</v>
      </c>
      <c r="AB5088">
        <v>1E-4</v>
      </c>
      <c r="AC5088">
        <v>8</v>
      </c>
      <c r="AD5088" s="5">
        <v>5.0730193056845945</v>
      </c>
      <c r="AE5088" s="5">
        <v>2.1597425141787814</v>
      </c>
      <c r="AF5088">
        <v>1</v>
      </c>
    </row>
    <row r="5089" spans="27:32" x14ac:dyDescent="0.3">
      <c r="AA5089" s="3">
        <v>44200.68</v>
      </c>
      <c r="AB5089">
        <v>1E-4</v>
      </c>
      <c r="AC5089">
        <v>7</v>
      </c>
      <c r="AD5089" s="5">
        <v>5.0729164029722558</v>
      </c>
      <c r="AE5089" s="5">
        <v>2.1298551491743063</v>
      </c>
      <c r="AF5089">
        <v>1</v>
      </c>
    </row>
    <row r="5090" spans="27:32" x14ac:dyDescent="0.3">
      <c r="AA5090" s="3">
        <v>11173.42</v>
      </c>
      <c r="AB5090">
        <v>1E-4</v>
      </c>
      <c r="AC5090">
        <v>8</v>
      </c>
      <c r="AD5090" s="5">
        <v>4.926361313665752</v>
      </c>
      <c r="AE5090" s="5">
        <v>2.2746036888886376</v>
      </c>
      <c r="AF5090">
        <v>1</v>
      </c>
    </row>
    <row r="5091" spans="27:32" x14ac:dyDescent="0.3">
      <c r="AA5091" s="3">
        <v>5446.67</v>
      </c>
      <c r="AB5091">
        <v>1E-4</v>
      </c>
      <c r="AC5091">
        <v>8</v>
      </c>
      <c r="AD5091" s="5">
        <v>4.9354311024379429</v>
      </c>
      <c r="AE5091" s="5">
        <v>2.099457756053082</v>
      </c>
      <c r="AF5091">
        <v>1</v>
      </c>
    </row>
    <row r="5092" spans="27:32" x14ac:dyDescent="0.3">
      <c r="AA5092" s="3">
        <v>2621.8</v>
      </c>
      <c r="AB5092">
        <v>1E-4</v>
      </c>
      <c r="AC5092">
        <v>8</v>
      </c>
      <c r="AD5092" s="5">
        <v>4.7287978545532887</v>
      </c>
      <c r="AE5092" s="5">
        <v>2.1590539102817576</v>
      </c>
      <c r="AF5092">
        <v>1</v>
      </c>
    </row>
    <row r="5093" spans="27:32" x14ac:dyDescent="0.3">
      <c r="AA5093" s="3">
        <v>52899.74</v>
      </c>
      <c r="AB5093">
        <v>1E-4</v>
      </c>
      <c r="AC5093">
        <v>6</v>
      </c>
      <c r="AD5093" s="5">
        <v>4.9658469782678836</v>
      </c>
      <c r="AE5093" s="5">
        <v>2.1975572652700262</v>
      </c>
      <c r="AF5093">
        <v>1</v>
      </c>
    </row>
    <row r="5094" spans="27:32" x14ac:dyDescent="0.3">
      <c r="AA5094" s="3">
        <v>30031.56</v>
      </c>
      <c r="AB5094">
        <v>1E-4</v>
      </c>
      <c r="AC5094">
        <v>7</v>
      </c>
      <c r="AD5094" s="5">
        <v>4.9210217599796175</v>
      </c>
      <c r="AE5094" s="5">
        <v>2.170227111743769</v>
      </c>
      <c r="AF5094">
        <v>1</v>
      </c>
    </row>
    <row r="5095" spans="27:32" x14ac:dyDescent="0.3">
      <c r="AA5095" s="3">
        <v>36103.22</v>
      </c>
      <c r="AB5095">
        <v>1E-4</v>
      </c>
      <c r="AC5095">
        <v>7</v>
      </c>
      <c r="AD5095" s="5">
        <v>4.9203580573645533</v>
      </c>
      <c r="AE5095" s="5">
        <v>2.1726640705660492</v>
      </c>
      <c r="AF5095">
        <v>1</v>
      </c>
    </row>
    <row r="5096" spans="27:32" x14ac:dyDescent="0.3">
      <c r="AA5096" s="3">
        <v>15106.02</v>
      </c>
      <c r="AB5096">
        <v>1E-4</v>
      </c>
      <c r="AC5096">
        <v>8</v>
      </c>
      <c r="AD5096" s="5">
        <v>4.8897165244730294</v>
      </c>
      <c r="AE5096" s="5">
        <v>2.2216797603813792</v>
      </c>
      <c r="AF5096">
        <v>1</v>
      </c>
    </row>
    <row r="5097" spans="27:32" x14ac:dyDescent="0.3">
      <c r="AA5097" s="3">
        <v>31186.54</v>
      </c>
      <c r="AB5097">
        <v>1E-4</v>
      </c>
      <c r="AC5097">
        <v>7</v>
      </c>
      <c r="AD5097" s="5">
        <v>5.0396498475056326</v>
      </c>
      <c r="AE5097" s="5">
        <v>2.2126655206415262</v>
      </c>
      <c r="AF5097">
        <v>1</v>
      </c>
    </row>
    <row r="5098" spans="27:32" x14ac:dyDescent="0.3">
      <c r="AA5098" s="3">
        <v>-13510.964808663119</v>
      </c>
      <c r="AB5098">
        <v>1E-4</v>
      </c>
      <c r="AC5098">
        <v>8</v>
      </c>
      <c r="AD5098" s="5">
        <v>5.0349940216392781</v>
      </c>
      <c r="AE5098" s="5">
        <v>2.1454803722588922</v>
      </c>
      <c r="AF5098">
        <v>0</v>
      </c>
    </row>
    <row r="5099" spans="27:32" x14ac:dyDescent="0.3">
      <c r="AA5099" s="3">
        <v>4293.9282783530252</v>
      </c>
      <c r="AB5099">
        <v>1E-4</v>
      </c>
      <c r="AC5099">
        <v>8</v>
      </c>
      <c r="AD5099" s="5">
        <v>4.9532180891063078</v>
      </c>
      <c r="AE5099" s="5">
        <v>2.1567395900390167</v>
      </c>
      <c r="AF5099">
        <v>0</v>
      </c>
    </row>
    <row r="5100" spans="27:32" x14ac:dyDescent="0.3">
      <c r="AA5100" s="3">
        <v>6515.86</v>
      </c>
      <c r="AB5100">
        <v>1E-4</v>
      </c>
      <c r="AC5100">
        <v>8</v>
      </c>
      <c r="AD5100" s="5">
        <v>4.9388442445814631</v>
      </c>
      <c r="AE5100" s="5">
        <v>2.1914267607345552</v>
      </c>
      <c r="AF5100">
        <v>1</v>
      </c>
    </row>
    <row r="5101" spans="27:32" x14ac:dyDescent="0.3">
      <c r="AA5101" s="3">
        <v>609.46</v>
      </c>
      <c r="AB5101">
        <v>1E-4</v>
      </c>
      <c r="AC5101">
        <v>8</v>
      </c>
      <c r="AD5101" s="5">
        <v>4.8988667571465685</v>
      </c>
      <c r="AE5101" s="5">
        <v>2.1970498532674441</v>
      </c>
      <c r="AF5101">
        <v>1</v>
      </c>
    </row>
    <row r="5102" spans="27:32" x14ac:dyDescent="0.3">
      <c r="AA5102" s="3">
        <v>-6572.24</v>
      </c>
      <c r="AB5102">
        <v>1E-4</v>
      </c>
      <c r="AC5102">
        <v>9</v>
      </c>
      <c r="AD5102" s="5">
        <v>4.9577970580691284</v>
      </c>
      <c r="AE5102" s="5">
        <v>2.2237446419493949</v>
      </c>
      <c r="AF5102">
        <v>1</v>
      </c>
    </row>
    <row r="5103" spans="27:32" x14ac:dyDescent="0.3">
      <c r="AA5103" s="3">
        <v>21271.32</v>
      </c>
      <c r="AB5103">
        <v>1E-4</v>
      </c>
      <c r="AC5103">
        <v>8</v>
      </c>
      <c r="AD5103" s="5">
        <v>4.9891953092453338</v>
      </c>
      <c r="AE5103" s="5">
        <v>2.1138702306275459</v>
      </c>
      <c r="AF5103">
        <v>1</v>
      </c>
    </row>
    <row r="5104" spans="27:32" x14ac:dyDescent="0.3">
      <c r="AA5104" s="3">
        <v>33125.9</v>
      </c>
      <c r="AB5104">
        <v>1E-4</v>
      </c>
      <c r="AC5104">
        <v>7</v>
      </c>
      <c r="AD5104" s="5">
        <v>4.894894578137948</v>
      </c>
      <c r="AE5104" s="5">
        <v>2.2023793435510233</v>
      </c>
      <c r="AF5104">
        <v>1</v>
      </c>
    </row>
    <row r="5105" spans="27:32" x14ac:dyDescent="0.3">
      <c r="AA5105" s="3">
        <v>-32139.893214509233</v>
      </c>
      <c r="AB5105">
        <v>1E-4</v>
      </c>
      <c r="AC5105">
        <v>9</v>
      </c>
      <c r="AD5105" s="5">
        <v>4.8495431666495161</v>
      </c>
      <c r="AE5105" s="5">
        <v>2.1158225994898094</v>
      </c>
      <c r="AF5105">
        <v>0</v>
      </c>
    </row>
    <row r="5106" spans="27:32" x14ac:dyDescent="0.3">
      <c r="AA5106" s="3">
        <v>11156</v>
      </c>
      <c r="AB5106">
        <v>1E-4</v>
      </c>
      <c r="AC5106">
        <v>8</v>
      </c>
      <c r="AD5106" s="5">
        <v>4.9445799135019541</v>
      </c>
      <c r="AE5106" s="5">
        <v>2.2138365321099687</v>
      </c>
      <c r="AF5106">
        <v>1</v>
      </c>
    </row>
    <row r="5107" spans="27:32" x14ac:dyDescent="0.3">
      <c r="AA5107" s="3">
        <v>14627.75</v>
      </c>
      <c r="AB5107">
        <v>1E-4</v>
      </c>
      <c r="AC5107">
        <v>8</v>
      </c>
      <c r="AD5107" s="5">
        <v>5.0696411073993293</v>
      </c>
      <c r="AE5107" s="5">
        <v>2.223582745543327</v>
      </c>
      <c r="AF5107">
        <v>1</v>
      </c>
    </row>
    <row r="5108" spans="27:32" x14ac:dyDescent="0.3">
      <c r="AA5108" s="3">
        <v>28125.51</v>
      </c>
      <c r="AB5108">
        <v>1E-4</v>
      </c>
      <c r="AC5108">
        <v>8</v>
      </c>
      <c r="AD5108" s="5">
        <v>5.1520878643922101</v>
      </c>
      <c r="AE5108" s="5">
        <v>2.1311536282067696</v>
      </c>
      <c r="AF5108">
        <v>1</v>
      </c>
    </row>
    <row r="5109" spans="27:32" x14ac:dyDescent="0.3">
      <c r="AA5109" s="3">
        <v>7865.78</v>
      </c>
      <c r="AB5109">
        <v>1E-4</v>
      </c>
      <c r="AC5109">
        <v>8</v>
      </c>
      <c r="AD5109" s="5">
        <v>4.7491235528974531</v>
      </c>
      <c r="AE5109" s="5">
        <v>2.1818713328945352</v>
      </c>
      <c r="AF5109">
        <v>1</v>
      </c>
    </row>
    <row r="5110" spans="27:32" x14ac:dyDescent="0.3">
      <c r="AA5110" s="3">
        <v>36063.46</v>
      </c>
      <c r="AB5110">
        <v>1E-4</v>
      </c>
      <c r="AC5110">
        <v>7</v>
      </c>
      <c r="AD5110" s="5">
        <v>5.0396834214144981</v>
      </c>
      <c r="AE5110" s="5">
        <v>2.1958955275875733</v>
      </c>
      <c r="AF5110">
        <v>1</v>
      </c>
    </row>
    <row r="5111" spans="27:32" x14ac:dyDescent="0.3">
      <c r="AA5111" s="3">
        <v>15634.62</v>
      </c>
      <c r="AB5111">
        <v>1E-4</v>
      </c>
      <c r="AC5111">
        <v>8</v>
      </c>
      <c r="AD5111" s="5">
        <v>4.8965830801268666</v>
      </c>
      <c r="AE5111" s="5">
        <v>2.2120700782970197</v>
      </c>
      <c r="AF5111">
        <v>1</v>
      </c>
    </row>
    <row r="5112" spans="27:32" x14ac:dyDescent="0.3">
      <c r="AA5112" s="3">
        <v>28763.47</v>
      </c>
      <c r="AB5112">
        <v>1E-4</v>
      </c>
      <c r="AC5112">
        <v>8</v>
      </c>
      <c r="AD5112" s="5">
        <v>5.2564414284864434</v>
      </c>
      <c r="AE5112" s="5">
        <v>2.2367824348794247</v>
      </c>
      <c r="AF5112">
        <v>1</v>
      </c>
    </row>
    <row r="5113" spans="27:32" x14ac:dyDescent="0.3">
      <c r="AA5113" s="3">
        <v>12138.29</v>
      </c>
      <c r="AB5113">
        <v>1E-4</v>
      </c>
      <c r="AC5113">
        <v>8</v>
      </c>
      <c r="AD5113" s="5">
        <v>4.8967917330635284</v>
      </c>
      <c r="AE5113" s="5">
        <v>2.1884854746769427</v>
      </c>
      <c r="AF5113">
        <v>1</v>
      </c>
    </row>
    <row r="5114" spans="27:32" x14ac:dyDescent="0.3">
      <c r="AA5114" s="3">
        <v>6391.3</v>
      </c>
      <c r="AB5114">
        <v>1E-4</v>
      </c>
      <c r="AC5114">
        <v>8</v>
      </c>
      <c r="AD5114" s="5">
        <v>4.9614817202580275</v>
      </c>
      <c r="AE5114" s="5">
        <v>2.2754424174245687</v>
      </c>
      <c r="AF5114">
        <v>1</v>
      </c>
    </row>
    <row r="5115" spans="27:32" x14ac:dyDescent="0.3">
      <c r="AA5115" s="3">
        <v>12914.52</v>
      </c>
      <c r="AB5115">
        <v>1E-4</v>
      </c>
      <c r="AC5115">
        <v>8</v>
      </c>
      <c r="AD5115" s="5">
        <v>4.9943448271026316</v>
      </c>
      <c r="AE5115" s="5">
        <v>2.2617429777020321</v>
      </c>
      <c r="AF5115">
        <v>1</v>
      </c>
    </row>
    <row r="5116" spans="27:32" x14ac:dyDescent="0.3">
      <c r="AA5116" s="3">
        <v>18632.400000000001</v>
      </c>
      <c r="AB5116">
        <v>1E-4</v>
      </c>
      <c r="AC5116">
        <v>8</v>
      </c>
      <c r="AD5116" s="5">
        <v>4.9175769561099516</v>
      </c>
      <c r="AE5116" s="5">
        <v>2.1952395264971973</v>
      </c>
      <c r="AF5116">
        <v>1</v>
      </c>
    </row>
    <row r="5117" spans="27:32" x14ac:dyDescent="0.3">
      <c r="AA5117" s="3">
        <v>17997.07</v>
      </c>
      <c r="AB5117">
        <v>1E-4</v>
      </c>
      <c r="AC5117">
        <v>8</v>
      </c>
      <c r="AD5117" s="5">
        <v>4.8932903629973072</v>
      </c>
      <c r="AE5117" s="5">
        <v>2.2261851736917251</v>
      </c>
      <c r="AF5117">
        <v>1</v>
      </c>
    </row>
    <row r="5118" spans="27:32" x14ac:dyDescent="0.3">
      <c r="AA5118" s="3">
        <v>24722.22</v>
      </c>
      <c r="AB5118">
        <v>1E-4</v>
      </c>
      <c r="AC5118">
        <v>8</v>
      </c>
      <c r="AD5118" s="5">
        <v>4.9254049088608705</v>
      </c>
      <c r="AE5118" s="5">
        <v>2.1247302713519498</v>
      </c>
      <c r="AF5118">
        <v>1</v>
      </c>
    </row>
    <row r="5119" spans="27:32" x14ac:dyDescent="0.3">
      <c r="AA5119" s="3">
        <v>-12507.44</v>
      </c>
      <c r="AB5119">
        <v>1E-4</v>
      </c>
      <c r="AC5119">
        <v>9</v>
      </c>
      <c r="AD5119" s="5">
        <v>4.9851994858633759</v>
      </c>
      <c r="AE5119" s="5">
        <v>2.2273351820461942</v>
      </c>
      <c r="AF5119">
        <v>1</v>
      </c>
    </row>
    <row r="5120" spans="27:32" x14ac:dyDescent="0.3">
      <c r="AA5120" s="3">
        <v>26922.07</v>
      </c>
      <c r="AB5120">
        <v>1E-4</v>
      </c>
      <c r="AC5120">
        <v>8</v>
      </c>
      <c r="AD5120" s="5">
        <v>5.0478672624518142</v>
      </c>
      <c r="AE5120" s="5">
        <v>2.1868819896074339</v>
      </c>
      <c r="AF5120">
        <v>1</v>
      </c>
    </row>
    <row r="5121" spans="27:32" x14ac:dyDescent="0.3">
      <c r="AA5121" s="3">
        <v>13905.67</v>
      </c>
      <c r="AB5121">
        <v>1E-4</v>
      </c>
      <c r="AC5121">
        <v>8</v>
      </c>
      <c r="AD5121" s="5">
        <v>5.078565893924937</v>
      </c>
      <c r="AE5121" s="5">
        <v>2.1208155974980545</v>
      </c>
      <c r="AF5121">
        <v>1</v>
      </c>
    </row>
    <row r="5122" spans="27:32" x14ac:dyDescent="0.3">
      <c r="AA5122" s="3">
        <v>39417.14</v>
      </c>
      <c r="AB5122">
        <v>1E-4</v>
      </c>
      <c r="AC5122">
        <v>7</v>
      </c>
      <c r="AD5122" s="5">
        <v>5.048397874125639</v>
      </c>
      <c r="AE5122" s="5">
        <v>2.19773477425325</v>
      </c>
      <c r="AF5122">
        <v>1</v>
      </c>
    </row>
    <row r="5123" spans="27:32" x14ac:dyDescent="0.3">
      <c r="AA5123" s="3">
        <v>27591.31</v>
      </c>
      <c r="AB5123">
        <v>1E-4</v>
      </c>
      <c r="AC5123">
        <v>8</v>
      </c>
      <c r="AD5123" s="5">
        <v>4.9704890387759733</v>
      </c>
      <c r="AE5123" s="5">
        <v>2.2409558542610957</v>
      </c>
      <c r="AF5123">
        <v>1</v>
      </c>
    </row>
    <row r="5124" spans="27:32" x14ac:dyDescent="0.3">
      <c r="AA5124" s="3">
        <v>29997.01</v>
      </c>
      <c r="AB5124">
        <v>1E-4</v>
      </c>
      <c r="AC5124">
        <v>7</v>
      </c>
      <c r="AD5124" s="5">
        <v>4.8698873524537358</v>
      </c>
      <c r="AE5124" s="5">
        <v>2.1226720838643711</v>
      </c>
      <c r="AF5124">
        <v>1</v>
      </c>
    </row>
    <row r="5125" spans="27:32" x14ac:dyDescent="0.3">
      <c r="AA5125" s="3">
        <v>37239.89</v>
      </c>
      <c r="AB5125">
        <v>1E-4</v>
      </c>
      <c r="AC5125">
        <v>7</v>
      </c>
      <c r="AD5125" s="5">
        <v>4.9754115086041555</v>
      </c>
      <c r="AE5125" s="5">
        <v>2.2290246109009972</v>
      </c>
      <c r="AF5125">
        <v>1</v>
      </c>
    </row>
    <row r="5126" spans="27:32" x14ac:dyDescent="0.3">
      <c r="AA5126" s="3">
        <v>35095.949999999997</v>
      </c>
      <c r="AB5126">
        <v>1E-4</v>
      </c>
      <c r="AC5126">
        <v>7</v>
      </c>
      <c r="AD5126" s="5">
        <v>5.1261269739717985</v>
      </c>
      <c r="AE5126" s="5">
        <v>2.270807186977462</v>
      </c>
      <c r="AF5126">
        <v>1</v>
      </c>
    </row>
    <row r="5127" spans="27:32" x14ac:dyDescent="0.3">
      <c r="AA5127" s="3">
        <v>13850.15</v>
      </c>
      <c r="AB5127">
        <v>1E-4</v>
      </c>
      <c r="AC5127">
        <v>8</v>
      </c>
      <c r="AD5127" s="5">
        <v>4.9519878293085675</v>
      </c>
      <c r="AE5127" s="5">
        <v>2.1643763229329784</v>
      </c>
      <c r="AF5127">
        <v>1</v>
      </c>
    </row>
    <row r="5128" spans="27:32" x14ac:dyDescent="0.3">
      <c r="AA5128" s="3">
        <v>10138.27</v>
      </c>
      <c r="AB5128">
        <v>1E-4</v>
      </c>
      <c r="AC5128">
        <v>8</v>
      </c>
      <c r="AD5128" s="5">
        <v>5.0442459882858683</v>
      </c>
      <c r="AE5128" s="5">
        <v>2.22946258644054</v>
      </c>
      <c r="AF5128">
        <v>1</v>
      </c>
    </row>
    <row r="5129" spans="27:32" x14ac:dyDescent="0.3">
      <c r="AA5129" s="3">
        <v>23320.47</v>
      </c>
      <c r="AB5129">
        <v>1E-4</v>
      </c>
      <c r="AC5129">
        <v>8</v>
      </c>
      <c r="AD5129" s="5">
        <v>5.1585927670710365</v>
      </c>
      <c r="AE5129" s="5">
        <v>2.1573082960018826</v>
      </c>
      <c r="AF5129">
        <v>1</v>
      </c>
    </row>
    <row r="5130" spans="27:32" x14ac:dyDescent="0.3">
      <c r="AA5130" s="3">
        <v>-15395.85</v>
      </c>
      <c r="AB5130">
        <v>1E-4</v>
      </c>
      <c r="AC5130">
        <v>9</v>
      </c>
      <c r="AD5130" s="5">
        <v>4.97380278702183</v>
      </c>
      <c r="AE5130" s="5">
        <v>2.1767646363832327</v>
      </c>
      <c r="AF5130">
        <v>1</v>
      </c>
    </row>
    <row r="5131" spans="27:32" x14ac:dyDescent="0.3">
      <c r="AA5131" s="3">
        <v>18574.2</v>
      </c>
      <c r="AB5131">
        <v>1E-4</v>
      </c>
      <c r="AC5131">
        <v>8</v>
      </c>
      <c r="AD5131" s="5">
        <v>5.0416472087244131</v>
      </c>
      <c r="AE5131" s="5">
        <v>2.3271044841058748</v>
      </c>
      <c r="AF5131">
        <v>1</v>
      </c>
    </row>
    <row r="5132" spans="27:32" x14ac:dyDescent="0.3">
      <c r="AA5132" s="3">
        <v>5908.15</v>
      </c>
      <c r="AB5132">
        <v>1E-4</v>
      </c>
      <c r="AC5132">
        <v>8</v>
      </c>
      <c r="AD5132" s="5">
        <v>4.9829353014191282</v>
      </c>
      <c r="AE5132" s="5">
        <v>2.1693458209738936</v>
      </c>
      <c r="AF5132">
        <v>1</v>
      </c>
    </row>
    <row r="5133" spans="27:32" x14ac:dyDescent="0.3">
      <c r="AA5133" s="3">
        <v>-1642.11</v>
      </c>
      <c r="AB5133">
        <v>1E-4</v>
      </c>
      <c r="AC5133">
        <v>9</v>
      </c>
      <c r="AD5133" s="5">
        <v>4.882720845446177</v>
      </c>
      <c r="AE5133" s="5">
        <v>2.198220856201385</v>
      </c>
      <c r="AF5133">
        <v>1</v>
      </c>
    </row>
    <row r="5134" spans="27:32" x14ac:dyDescent="0.3">
      <c r="AA5134" s="3">
        <v>23533.23</v>
      </c>
      <c r="AB5134">
        <v>1E-4</v>
      </c>
      <c r="AC5134">
        <v>8</v>
      </c>
      <c r="AD5134" s="5">
        <v>5.1413714721562442</v>
      </c>
      <c r="AE5134" s="5">
        <v>2.1629973288557873</v>
      </c>
      <c r="AF5134">
        <v>1</v>
      </c>
    </row>
    <row r="5135" spans="27:32" x14ac:dyDescent="0.3">
      <c r="AA5135" s="3">
        <v>26534.29</v>
      </c>
      <c r="AB5135">
        <v>1E-4</v>
      </c>
      <c r="AC5135">
        <v>8</v>
      </c>
      <c r="AD5135" s="5">
        <v>4.9735850687693457</v>
      </c>
      <c r="AE5135" s="5">
        <v>2.2280640753417114</v>
      </c>
      <c r="AF5135">
        <v>1</v>
      </c>
    </row>
    <row r="5136" spans="27:32" x14ac:dyDescent="0.3">
      <c r="AA5136" s="3">
        <v>14077</v>
      </c>
      <c r="AB5136">
        <v>1E-4</v>
      </c>
      <c r="AC5136">
        <v>8</v>
      </c>
      <c r="AD5136" s="5">
        <v>5.0131969116941093</v>
      </c>
      <c r="AE5136" s="5">
        <v>2.2585681728761831</v>
      </c>
      <c r="AF5136">
        <v>1</v>
      </c>
    </row>
    <row r="5137" spans="27:32" x14ac:dyDescent="0.3">
      <c r="AA5137" s="3">
        <v>-111.73</v>
      </c>
      <c r="AB5137">
        <v>1E-4</v>
      </c>
      <c r="AC5137">
        <v>9</v>
      </c>
      <c r="AD5137" s="5">
        <v>5.0024533223571854</v>
      </c>
      <c r="AE5137" s="5">
        <v>2.1764636923687339</v>
      </c>
      <c r="AF5137">
        <v>1</v>
      </c>
    </row>
    <row r="5138" spans="27:32" x14ac:dyDescent="0.3">
      <c r="AA5138" s="3">
        <v>33687.68</v>
      </c>
      <c r="AB5138">
        <v>1E-4</v>
      </c>
      <c r="AC5138">
        <v>7</v>
      </c>
      <c r="AD5138" s="5">
        <v>5.1269022554531114</v>
      </c>
      <c r="AE5138" s="5">
        <v>2.1835768786916296</v>
      </c>
      <c r="AF5138">
        <v>1</v>
      </c>
    </row>
    <row r="5139" spans="27:32" x14ac:dyDescent="0.3">
      <c r="AA5139" s="3">
        <v>11472.8</v>
      </c>
      <c r="AB5139">
        <v>1E-4</v>
      </c>
      <c r="AC5139">
        <v>8</v>
      </c>
      <c r="AD5139" s="5">
        <v>5.0780971389610325</v>
      </c>
      <c r="AE5139" s="5">
        <v>2.2592667610503767</v>
      </c>
      <c r="AF5139">
        <v>1</v>
      </c>
    </row>
    <row r="5140" spans="27:32" x14ac:dyDescent="0.3">
      <c r="AA5140" s="3">
        <v>20841.580000000002</v>
      </c>
      <c r="AB5140">
        <v>1E-4</v>
      </c>
      <c r="AC5140">
        <v>8</v>
      </c>
      <c r="AD5140" s="5">
        <v>4.9223699307988449</v>
      </c>
      <c r="AE5140" s="5">
        <v>2.1710699326929244</v>
      </c>
      <c r="AF5140">
        <v>1</v>
      </c>
    </row>
    <row r="5141" spans="27:32" x14ac:dyDescent="0.3">
      <c r="AA5141" s="3">
        <v>6174.75</v>
      </c>
      <c r="AB5141">
        <v>1E-4</v>
      </c>
      <c r="AC5141">
        <v>8</v>
      </c>
      <c r="AD5141" s="5">
        <v>4.9096876936762017</v>
      </c>
      <c r="AE5141" s="5">
        <v>2.21226485627587</v>
      </c>
      <c r="AF5141">
        <v>1</v>
      </c>
    </row>
    <row r="5142" spans="27:32" x14ac:dyDescent="0.3">
      <c r="AA5142" s="3">
        <v>36152.230000000003</v>
      </c>
      <c r="AB5142">
        <v>1E-4</v>
      </c>
      <c r="AC5142">
        <v>7</v>
      </c>
      <c r="AD5142" s="5">
        <v>4.9896051343607644</v>
      </c>
      <c r="AE5142" s="5">
        <v>2.1494409415297788</v>
      </c>
      <c r="AF5142">
        <v>1</v>
      </c>
    </row>
    <row r="5143" spans="27:32" x14ac:dyDescent="0.3">
      <c r="AA5143" s="3">
        <v>-6956.25</v>
      </c>
      <c r="AB5143">
        <v>1E-4</v>
      </c>
      <c r="AC5143">
        <v>9</v>
      </c>
      <c r="AD5143" s="5">
        <v>4.8439297671423773</v>
      </c>
      <c r="AE5143" s="5">
        <v>2.2615953051403848</v>
      </c>
      <c r="AF5143">
        <v>1</v>
      </c>
    </row>
    <row r="5144" spans="27:32" x14ac:dyDescent="0.3">
      <c r="AA5144" s="3">
        <v>1094.99</v>
      </c>
      <c r="AB5144">
        <v>1E-4</v>
      </c>
      <c r="AC5144">
        <v>8</v>
      </c>
      <c r="AD5144" s="5">
        <v>4.9184189572675878</v>
      </c>
      <c r="AE5144" s="5">
        <v>2.1492698668358092</v>
      </c>
      <c r="AF5144">
        <v>1</v>
      </c>
    </row>
    <row r="5145" spans="27:32" x14ac:dyDescent="0.3">
      <c r="AA5145" s="3">
        <v>28933.39</v>
      </c>
      <c r="AB5145">
        <v>1E-4</v>
      </c>
      <c r="AC5145">
        <v>8</v>
      </c>
      <c r="AD5145" s="5">
        <v>4.9479503248728269</v>
      </c>
      <c r="AE5145" s="5">
        <v>2.1614190387603869</v>
      </c>
      <c r="AF5145">
        <v>1</v>
      </c>
    </row>
    <row r="5146" spans="27:32" x14ac:dyDescent="0.3">
      <c r="AA5146" s="3">
        <v>12867.63</v>
      </c>
      <c r="AB5146">
        <v>1E-4</v>
      </c>
      <c r="AC5146">
        <v>8</v>
      </c>
      <c r="AD5146" s="5">
        <v>5.0739863214027752</v>
      </c>
      <c r="AE5146" s="5">
        <v>2.2164374252735168</v>
      </c>
      <c r="AF5146">
        <v>1</v>
      </c>
    </row>
    <row r="5147" spans="27:32" x14ac:dyDescent="0.3">
      <c r="AA5147" s="3">
        <v>24024.53</v>
      </c>
      <c r="AB5147">
        <v>1E-4</v>
      </c>
      <c r="AC5147">
        <v>7</v>
      </c>
      <c r="AD5147" s="5">
        <v>4.9928820184596949</v>
      </c>
      <c r="AE5147" s="5">
        <v>2.1844594511419642</v>
      </c>
      <c r="AF5147">
        <v>1</v>
      </c>
    </row>
    <row r="5148" spans="27:32" x14ac:dyDescent="0.3">
      <c r="AA5148" s="3">
        <v>14010.3</v>
      </c>
      <c r="AB5148">
        <v>1E-4</v>
      </c>
      <c r="AC5148">
        <v>8</v>
      </c>
      <c r="AD5148" s="5">
        <v>5.1945933163803639</v>
      </c>
      <c r="AE5148" s="5">
        <v>2.1752783577120276</v>
      </c>
      <c r="AF5148">
        <v>1</v>
      </c>
    </row>
    <row r="5149" spans="27:32" x14ac:dyDescent="0.3">
      <c r="AA5149" s="3">
        <v>24705.86</v>
      </c>
      <c r="AB5149">
        <v>1E-4</v>
      </c>
      <c r="AC5149">
        <v>8</v>
      </c>
      <c r="AD5149" s="5">
        <v>5.0359968466671168</v>
      </c>
      <c r="AE5149" s="5">
        <v>2.2494546731424516</v>
      </c>
      <c r="AF5149">
        <v>1</v>
      </c>
    </row>
    <row r="5150" spans="27:32" x14ac:dyDescent="0.3">
      <c r="AA5150" s="3">
        <v>996.6</v>
      </c>
      <c r="AB5150">
        <v>1E-4</v>
      </c>
      <c r="AC5150">
        <v>8</v>
      </c>
      <c r="AD5150" s="5">
        <v>4.8401919581973774</v>
      </c>
      <c r="AE5150" s="5">
        <v>2.2344246101494298</v>
      </c>
      <c r="AF5150">
        <v>1</v>
      </c>
    </row>
    <row r="5151" spans="27:32" x14ac:dyDescent="0.3">
      <c r="AA5151" s="3">
        <v>47081.89</v>
      </c>
      <c r="AB5151">
        <v>1E-4</v>
      </c>
      <c r="AC5151">
        <v>6</v>
      </c>
      <c r="AD5151" s="5">
        <v>5.0626234771532008</v>
      </c>
      <c r="AE5151" s="5">
        <v>2.2194850337954852</v>
      </c>
      <c r="AF5151">
        <v>1</v>
      </c>
    </row>
    <row r="5152" spans="27:32" x14ac:dyDescent="0.3">
      <c r="AA5152" s="3">
        <v>11431.75</v>
      </c>
      <c r="AB5152">
        <v>1E-4</v>
      </c>
      <c r="AC5152">
        <v>8</v>
      </c>
      <c r="AD5152" s="5">
        <v>4.9140771058307759</v>
      </c>
      <c r="AE5152" s="5">
        <v>2.2650207161417435</v>
      </c>
      <c r="AF5152">
        <v>1</v>
      </c>
    </row>
    <row r="5153" spans="27:32" x14ac:dyDescent="0.3">
      <c r="AA5153" s="3">
        <v>29127.75</v>
      </c>
      <c r="AB5153">
        <v>1E-4</v>
      </c>
      <c r="AC5153">
        <v>8</v>
      </c>
      <c r="AD5153" s="5">
        <v>4.9448495851137517</v>
      </c>
      <c r="AE5153" s="5">
        <v>2.1906204850432913</v>
      </c>
      <c r="AF5153">
        <v>1</v>
      </c>
    </row>
    <row r="5154" spans="27:32" x14ac:dyDescent="0.3">
      <c r="AA5154" s="3">
        <v>11435.147533906626</v>
      </c>
      <c r="AB5154">
        <v>1E-4</v>
      </c>
      <c r="AC5154">
        <v>8</v>
      </c>
      <c r="AD5154" s="5">
        <v>4.9701507386971349</v>
      </c>
      <c r="AE5154" s="5">
        <v>2.2337280744223773</v>
      </c>
      <c r="AF5154">
        <v>0</v>
      </c>
    </row>
    <row r="5155" spans="27:32" x14ac:dyDescent="0.3">
      <c r="AA5155" s="3">
        <v>35695.14</v>
      </c>
      <c r="AB5155">
        <v>1E-4</v>
      </c>
      <c r="AC5155">
        <v>7</v>
      </c>
      <c r="AD5155" s="5">
        <v>5.0371774422348787</v>
      </c>
      <c r="AE5155" s="5">
        <v>2.3065426527282398</v>
      </c>
      <c r="AF5155">
        <v>1</v>
      </c>
    </row>
    <row r="5156" spans="27:32" x14ac:dyDescent="0.3">
      <c r="AA5156" s="3">
        <v>-6861.66</v>
      </c>
      <c r="AB5156">
        <v>1E-4</v>
      </c>
      <c r="AC5156">
        <v>9</v>
      </c>
      <c r="AD5156" s="5">
        <v>5.0844758258679832</v>
      </c>
      <c r="AE5156" s="5">
        <v>2.2455927839908827</v>
      </c>
      <c r="AF5156">
        <v>1</v>
      </c>
    </row>
    <row r="5157" spans="27:32" x14ac:dyDescent="0.3">
      <c r="AA5157" s="3">
        <v>-39754.605964775496</v>
      </c>
      <c r="AB5157">
        <v>1E-4</v>
      </c>
      <c r="AC5157">
        <v>9</v>
      </c>
      <c r="AD5157" s="5">
        <v>4.8889190667273033</v>
      </c>
      <c r="AE5157" s="5">
        <v>2.1205865789945526</v>
      </c>
      <c r="AF5157">
        <v>0</v>
      </c>
    </row>
    <row r="5158" spans="27:32" x14ac:dyDescent="0.3">
      <c r="AA5158" s="3">
        <v>11880.22</v>
      </c>
      <c r="AB5158">
        <v>1E-4</v>
      </c>
      <c r="AC5158">
        <v>8</v>
      </c>
      <c r="AD5158" s="5">
        <v>5.030743104955838</v>
      </c>
      <c r="AE5158" s="5">
        <v>2.1649243117088135</v>
      </c>
      <c r="AF5158">
        <v>1</v>
      </c>
    </row>
    <row r="5159" spans="27:32" x14ac:dyDescent="0.3">
      <c r="AA5159" s="3">
        <v>33099.14</v>
      </c>
      <c r="AB5159">
        <v>1E-4</v>
      </c>
      <c r="AC5159">
        <v>7</v>
      </c>
      <c r="AD5159" s="5">
        <v>5.1059721595581209</v>
      </c>
      <c r="AE5159" s="5">
        <v>2.1600981693802814</v>
      </c>
      <c r="AF5159">
        <v>1</v>
      </c>
    </row>
    <row r="5160" spans="27:32" x14ac:dyDescent="0.3">
      <c r="AA5160" s="3">
        <v>28641.49</v>
      </c>
      <c r="AB5160">
        <v>1E-4</v>
      </c>
      <c r="AC5160">
        <v>8</v>
      </c>
      <c r="AD5160" s="5">
        <v>4.9919484560312322</v>
      </c>
      <c r="AE5160" s="5">
        <v>2.1613939921163814</v>
      </c>
      <c r="AF5160">
        <v>1</v>
      </c>
    </row>
    <row r="5161" spans="27:32" x14ac:dyDescent="0.3">
      <c r="AA5161" s="3">
        <v>-6546.48</v>
      </c>
      <c r="AB5161">
        <v>1E-4</v>
      </c>
      <c r="AC5161">
        <v>9</v>
      </c>
      <c r="AD5161" s="5">
        <v>4.9801263491462766</v>
      </c>
      <c r="AE5161" s="5">
        <v>2.2576454647181126</v>
      </c>
      <c r="AF5161">
        <v>1</v>
      </c>
    </row>
    <row r="5162" spans="27:32" x14ac:dyDescent="0.3">
      <c r="AA5162" s="3">
        <v>-5119.4225567171488</v>
      </c>
      <c r="AB5162">
        <v>1E-4</v>
      </c>
      <c r="AC5162">
        <v>8</v>
      </c>
      <c r="AD5162" s="5">
        <v>4.9861206082558036</v>
      </c>
      <c r="AE5162" s="5">
        <v>2.1355525078105133</v>
      </c>
      <c r="AF5162">
        <v>0</v>
      </c>
    </row>
    <row r="5163" spans="27:32" x14ac:dyDescent="0.3">
      <c r="AA5163" s="3">
        <v>-5223.6099999999997</v>
      </c>
      <c r="AB5163">
        <v>1E-4</v>
      </c>
      <c r="AC5163">
        <v>9</v>
      </c>
      <c r="AD5163" s="5">
        <v>4.8518331462045579</v>
      </c>
      <c r="AE5163" s="5">
        <v>2.1592977343813189</v>
      </c>
      <c r="AF5163">
        <v>1</v>
      </c>
    </row>
    <row r="5164" spans="27:32" x14ac:dyDescent="0.3">
      <c r="AA5164" s="3">
        <v>40803.22</v>
      </c>
      <c r="AB5164">
        <v>1E-4</v>
      </c>
      <c r="AC5164">
        <v>7</v>
      </c>
      <c r="AD5164" s="5">
        <v>5.022979645367454</v>
      </c>
      <c r="AE5164" s="5">
        <v>2.1627021241739568</v>
      </c>
      <c r="AF5164">
        <v>1</v>
      </c>
    </row>
    <row r="5165" spans="27:32" x14ac:dyDescent="0.3">
      <c r="AA5165" s="3">
        <v>42158.79</v>
      </c>
      <c r="AB5165">
        <v>1E-4</v>
      </c>
      <c r="AC5165">
        <v>7</v>
      </c>
      <c r="AD5165" s="5">
        <v>5.1472350164801632</v>
      </c>
      <c r="AE5165" s="5">
        <v>2.1676758875700211</v>
      </c>
      <c r="AF5165">
        <v>1</v>
      </c>
    </row>
    <row r="5166" spans="27:32" x14ac:dyDescent="0.3">
      <c r="AA5166" s="3">
        <v>7358.46</v>
      </c>
      <c r="AB5166">
        <v>1E-4</v>
      </c>
      <c r="AC5166">
        <v>8</v>
      </c>
      <c r="AD5166" s="5">
        <v>5.1016634303491681</v>
      </c>
      <c r="AE5166" s="5">
        <v>2.2589653475279201</v>
      </c>
      <c r="AF5166">
        <v>1</v>
      </c>
    </row>
    <row r="5167" spans="27:32" x14ac:dyDescent="0.3">
      <c r="AA5167" s="3">
        <v>8.61</v>
      </c>
      <c r="AB5167">
        <v>1E-4</v>
      </c>
      <c r="AC5167">
        <v>8</v>
      </c>
      <c r="AD5167" s="5">
        <v>4.9142171916355322</v>
      </c>
      <c r="AE5167" s="5">
        <v>2.2877745943577859</v>
      </c>
      <c r="AF5167">
        <v>1</v>
      </c>
    </row>
    <row r="5168" spans="27:32" x14ac:dyDescent="0.3">
      <c r="AA5168" s="3">
        <v>28823.68</v>
      </c>
      <c r="AB5168">
        <v>1E-4</v>
      </c>
      <c r="AC5168">
        <v>8</v>
      </c>
      <c r="AD5168" s="5">
        <v>5.2096031065483599</v>
      </c>
      <c r="AE5168" s="5">
        <v>2.2697377084547696</v>
      </c>
      <c r="AF5168">
        <v>1</v>
      </c>
    </row>
    <row r="5169" spans="27:32" x14ac:dyDescent="0.3">
      <c r="AA5169" s="3">
        <v>29953.03</v>
      </c>
      <c r="AB5169">
        <v>1E-4</v>
      </c>
      <c r="AC5169">
        <v>7</v>
      </c>
      <c r="AD5169" s="5">
        <v>4.9984476879700024</v>
      </c>
      <c r="AE5169" s="5">
        <v>2.2301018592310053</v>
      </c>
      <c r="AF5169">
        <v>1</v>
      </c>
    </row>
    <row r="5170" spans="27:32" x14ac:dyDescent="0.3">
      <c r="AA5170" s="3">
        <v>33355.51</v>
      </c>
      <c r="AB5170">
        <v>1E-4</v>
      </c>
      <c r="AC5170">
        <v>7</v>
      </c>
      <c r="AD5170" s="5">
        <v>4.9525202644382302</v>
      </c>
      <c r="AE5170" s="5">
        <v>2.2139895274970693</v>
      </c>
      <c r="AF5170">
        <v>1</v>
      </c>
    </row>
    <row r="5171" spans="27:32" x14ac:dyDescent="0.3">
      <c r="AA5171" s="3">
        <v>16407.71</v>
      </c>
      <c r="AB5171">
        <v>1E-4</v>
      </c>
      <c r="AC5171">
        <v>8</v>
      </c>
      <c r="AD5171" s="5">
        <v>4.9615742203179565</v>
      </c>
      <c r="AE5171" s="5">
        <v>2.2149802169225037</v>
      </c>
      <c r="AF5171">
        <v>1</v>
      </c>
    </row>
    <row r="5172" spans="27:32" x14ac:dyDescent="0.3">
      <c r="AA5172" s="3">
        <v>3162.38</v>
      </c>
      <c r="AB5172">
        <v>1E-4</v>
      </c>
      <c r="AC5172">
        <v>8</v>
      </c>
      <c r="AD5172" s="5">
        <v>4.965211196170352</v>
      </c>
      <c r="AE5172" s="5">
        <v>2.2390797547309496</v>
      </c>
      <c r="AF5172">
        <v>1</v>
      </c>
    </row>
    <row r="5173" spans="27:32" x14ac:dyDescent="0.3">
      <c r="AA5173" s="3">
        <v>-753.97</v>
      </c>
      <c r="AB5173">
        <v>1E-4</v>
      </c>
      <c r="AC5173">
        <v>9</v>
      </c>
      <c r="AD5173" s="5">
        <v>5.0239979119784017</v>
      </c>
      <c r="AE5173" s="5">
        <v>2.2351117426129408</v>
      </c>
      <c r="AF5173">
        <v>1</v>
      </c>
    </row>
    <row r="5174" spans="27:32" x14ac:dyDescent="0.3">
      <c r="AA5174" s="3">
        <v>29565.73</v>
      </c>
      <c r="AB5174">
        <v>1E-4</v>
      </c>
      <c r="AC5174">
        <v>7</v>
      </c>
      <c r="AD5174" s="5">
        <v>4.9408227461066598</v>
      </c>
      <c r="AE5174" s="5">
        <v>2.1939975025178318</v>
      </c>
      <c r="AF5174">
        <v>1</v>
      </c>
    </row>
    <row r="5175" spans="27:32" x14ac:dyDescent="0.3">
      <c r="AA5175" s="3">
        <v>-188.31</v>
      </c>
      <c r="AB5175">
        <v>1E-4</v>
      </c>
      <c r="AC5175">
        <v>9</v>
      </c>
      <c r="AD5175" s="5">
        <v>4.8149712434954841</v>
      </c>
      <c r="AE5175" s="5">
        <v>2.1710657528854651</v>
      </c>
      <c r="AF5175">
        <v>1</v>
      </c>
    </row>
    <row r="5176" spans="27:32" x14ac:dyDescent="0.3">
      <c r="AA5176" s="3">
        <v>20893.88</v>
      </c>
      <c r="AB5176">
        <v>1E-4</v>
      </c>
      <c r="AC5176">
        <v>8</v>
      </c>
      <c r="AD5176" s="5">
        <v>4.9476723531908178</v>
      </c>
      <c r="AE5176" s="5">
        <v>2.1930377402764902</v>
      </c>
      <c r="AF5176">
        <v>1</v>
      </c>
    </row>
    <row r="5177" spans="27:32" x14ac:dyDescent="0.3">
      <c r="AA5177" s="3">
        <v>16100.35</v>
      </c>
      <c r="AB5177">
        <v>1E-4</v>
      </c>
      <c r="AC5177">
        <v>8</v>
      </c>
      <c r="AD5177" s="5">
        <v>4.9546023347314359</v>
      </c>
      <c r="AE5177" s="5">
        <v>2.1026505736475762</v>
      </c>
      <c r="AF5177">
        <v>1</v>
      </c>
    </row>
    <row r="5178" spans="27:32" x14ac:dyDescent="0.3">
      <c r="AA5178" s="3">
        <v>12828.47</v>
      </c>
      <c r="AB5178">
        <v>1E-4</v>
      </c>
      <c r="AC5178">
        <v>8</v>
      </c>
      <c r="AD5178" s="5">
        <v>4.8541199426052479</v>
      </c>
      <c r="AE5178" s="5">
        <v>2.2023484252508929</v>
      </c>
      <c r="AF5178">
        <v>1</v>
      </c>
    </row>
    <row r="5179" spans="27:32" x14ac:dyDescent="0.3">
      <c r="AA5179" s="3">
        <v>9920.83</v>
      </c>
      <c r="AB5179">
        <v>1E-4</v>
      </c>
      <c r="AC5179">
        <v>8</v>
      </c>
      <c r="AD5179" s="5">
        <v>5.0325882949735998</v>
      </c>
      <c r="AE5179" s="5">
        <v>2.2426374097644759</v>
      </c>
      <c r="AF5179">
        <v>1</v>
      </c>
    </row>
    <row r="5180" spans="27:32" x14ac:dyDescent="0.3">
      <c r="AA5180" s="3">
        <v>34174.58</v>
      </c>
      <c r="AB5180">
        <v>1E-4</v>
      </c>
      <c r="AC5180">
        <v>7</v>
      </c>
      <c r="AD5180" s="5">
        <v>4.9542497923793558</v>
      </c>
      <c r="AE5180" s="5">
        <v>2.0988504593933559</v>
      </c>
      <c r="AF5180">
        <v>1</v>
      </c>
    </row>
    <row r="5181" spans="27:32" x14ac:dyDescent="0.3">
      <c r="AA5181" s="3">
        <v>35265.599999999999</v>
      </c>
      <c r="AB5181">
        <v>1E-4</v>
      </c>
      <c r="AC5181">
        <v>7</v>
      </c>
      <c r="AD5181" s="5">
        <v>5.0253684966931935</v>
      </c>
      <c r="AE5181" s="5">
        <v>2.1997191222427599</v>
      </c>
      <c r="AF5181">
        <v>1</v>
      </c>
    </row>
    <row r="5182" spans="27:32" x14ac:dyDescent="0.3">
      <c r="AA5182" s="3">
        <v>20361.32</v>
      </c>
      <c r="AB5182">
        <v>1E-4</v>
      </c>
      <c r="AC5182">
        <v>8</v>
      </c>
      <c r="AD5182" s="5">
        <v>4.9711441391917539</v>
      </c>
      <c r="AE5182" s="5">
        <v>2.2762418102282882</v>
      </c>
      <c r="AF5182">
        <v>1</v>
      </c>
    </row>
    <row r="5183" spans="27:32" x14ac:dyDescent="0.3">
      <c r="AA5183" s="3">
        <v>15033.11</v>
      </c>
      <c r="AB5183">
        <v>1E-4</v>
      </c>
      <c r="AC5183">
        <v>8</v>
      </c>
      <c r="AD5183" s="5">
        <v>5.0613422189952502</v>
      </c>
      <c r="AE5183" s="5">
        <v>2.2351696249706468</v>
      </c>
      <c r="AF5183">
        <v>1</v>
      </c>
    </row>
    <row r="5184" spans="27:32" x14ac:dyDescent="0.3">
      <c r="AA5184" s="3">
        <v>4272.74</v>
      </c>
      <c r="AB5184">
        <v>1E-4</v>
      </c>
      <c r="AC5184">
        <v>8</v>
      </c>
      <c r="AD5184" s="5">
        <v>4.959935647330358</v>
      </c>
      <c r="AE5184" s="5">
        <v>2.1046049877656814</v>
      </c>
      <c r="AF5184">
        <v>1</v>
      </c>
    </row>
    <row r="5185" spans="27:32" x14ac:dyDescent="0.3">
      <c r="AA5185" s="3">
        <v>21220.02</v>
      </c>
      <c r="AB5185">
        <v>1E-4</v>
      </c>
      <c r="AC5185">
        <v>8</v>
      </c>
      <c r="AD5185" s="5">
        <v>4.9021694856931557</v>
      </c>
      <c r="AE5185" s="5">
        <v>2.2298499019594122</v>
      </c>
      <c r="AF5185">
        <v>1</v>
      </c>
    </row>
    <row r="5186" spans="27:32" x14ac:dyDescent="0.3">
      <c r="AA5186" s="3">
        <v>18184.16</v>
      </c>
      <c r="AB5186">
        <v>1E-4</v>
      </c>
      <c r="AC5186">
        <v>8</v>
      </c>
      <c r="AD5186" s="5">
        <v>5.1091965243778121</v>
      </c>
      <c r="AE5186" s="5">
        <v>2.2833971100784218</v>
      </c>
      <c r="AF5186">
        <v>1</v>
      </c>
    </row>
    <row r="5187" spans="27:32" x14ac:dyDescent="0.3">
      <c r="AA5187" s="3">
        <v>34269.71</v>
      </c>
      <c r="AB5187">
        <v>1E-4</v>
      </c>
      <c r="AC5187">
        <v>7</v>
      </c>
      <c r="AD5187" s="5">
        <v>5.0553960719780733</v>
      </c>
      <c r="AE5187" s="5">
        <v>2.1568947057544778</v>
      </c>
      <c r="AF5187">
        <v>1</v>
      </c>
    </row>
    <row r="5188" spans="27:32" x14ac:dyDescent="0.3">
      <c r="AA5188" s="3">
        <v>43526.28</v>
      </c>
      <c r="AB5188">
        <v>1E-4</v>
      </c>
      <c r="AC5188">
        <v>7</v>
      </c>
      <c r="AD5188" s="5">
        <v>4.9078530433142742</v>
      </c>
      <c r="AE5188" s="5">
        <v>2.1515944684860444</v>
      </c>
      <c r="AF5188">
        <v>1</v>
      </c>
    </row>
    <row r="5189" spans="27:32" x14ac:dyDescent="0.3">
      <c r="AA5189" s="3">
        <v>11834.57</v>
      </c>
      <c r="AB5189">
        <v>1E-4</v>
      </c>
      <c r="AC5189">
        <v>8</v>
      </c>
      <c r="AD5189" s="5">
        <v>5.0156523338718744</v>
      </c>
      <c r="AE5189" s="5">
        <v>2.2343794651294626</v>
      </c>
      <c r="AF5189">
        <v>1</v>
      </c>
    </row>
    <row r="5190" spans="27:32" x14ac:dyDescent="0.3">
      <c r="AA5190" s="3">
        <v>35909.339999999997</v>
      </c>
      <c r="AB5190">
        <v>1E-4</v>
      </c>
      <c r="AC5190">
        <v>7</v>
      </c>
      <c r="AD5190" s="5">
        <v>5.1495106145400777</v>
      </c>
      <c r="AE5190" s="5">
        <v>2.1481994720687019</v>
      </c>
      <c r="AF5190">
        <v>1</v>
      </c>
    </row>
    <row r="5191" spans="27:32" x14ac:dyDescent="0.3">
      <c r="AA5191" s="3">
        <v>13231.94</v>
      </c>
      <c r="AB5191">
        <v>1E-4</v>
      </c>
      <c r="AC5191">
        <v>8</v>
      </c>
      <c r="AD5191" s="5">
        <v>4.9427276857191691</v>
      </c>
      <c r="AE5191" s="5">
        <v>2.2164791312296015</v>
      </c>
      <c r="AF5191">
        <v>1</v>
      </c>
    </row>
    <row r="5192" spans="27:32" x14ac:dyDescent="0.3">
      <c r="AA5192" s="3">
        <v>43286.63</v>
      </c>
      <c r="AB5192">
        <v>1E-4</v>
      </c>
      <c r="AC5192">
        <v>7</v>
      </c>
      <c r="AD5192" s="5">
        <v>5.0268434440393621</v>
      </c>
      <c r="AE5192" s="5">
        <v>2.1382149386435962</v>
      </c>
      <c r="AF5192">
        <v>1</v>
      </c>
    </row>
    <row r="5193" spans="27:32" x14ac:dyDescent="0.3">
      <c r="AA5193" s="3">
        <v>43975.64</v>
      </c>
      <c r="AB5193">
        <v>1E-4</v>
      </c>
      <c r="AC5193">
        <v>7</v>
      </c>
      <c r="AD5193" s="5">
        <v>5.1039804080780771</v>
      </c>
      <c r="AE5193" s="5">
        <v>2.0798318132426705</v>
      </c>
      <c r="AF5193">
        <v>1</v>
      </c>
    </row>
    <row r="5194" spans="27:32" x14ac:dyDescent="0.3">
      <c r="AA5194" s="3">
        <v>15391.37</v>
      </c>
      <c r="AB5194">
        <v>1E-4</v>
      </c>
      <c r="AC5194">
        <v>8</v>
      </c>
      <c r="AD5194" s="5">
        <v>4.9660632764711234</v>
      </c>
      <c r="AE5194" s="5">
        <v>2.1668397627466986</v>
      </c>
      <c r="AF5194">
        <v>1</v>
      </c>
    </row>
    <row r="5195" spans="27:32" x14ac:dyDescent="0.3">
      <c r="AA5195" s="3">
        <v>7009.85</v>
      </c>
      <c r="AB5195">
        <v>1E-4</v>
      </c>
      <c r="AC5195">
        <v>8</v>
      </c>
      <c r="AD5195" s="5">
        <v>5.0246858543722297</v>
      </c>
      <c r="AE5195" s="5">
        <v>2.1992380675064505</v>
      </c>
      <c r="AF5195">
        <v>1</v>
      </c>
    </row>
    <row r="5196" spans="27:32" x14ac:dyDescent="0.3">
      <c r="AA5196" s="3">
        <v>7311.57</v>
      </c>
      <c r="AB5196">
        <v>1E-4</v>
      </c>
      <c r="AC5196">
        <v>8</v>
      </c>
      <c r="AD5196" s="5">
        <v>4.9943330739147829</v>
      </c>
      <c r="AE5196" s="5">
        <v>2.1544840575753588</v>
      </c>
      <c r="AF5196">
        <v>1</v>
      </c>
    </row>
    <row r="5197" spans="27:32" x14ac:dyDescent="0.3">
      <c r="AA5197" s="3">
        <v>14226.16</v>
      </c>
      <c r="AB5197">
        <v>1E-4</v>
      </c>
      <c r="AC5197">
        <v>8</v>
      </c>
      <c r="AD5197" s="5">
        <v>4.8550305195562622</v>
      </c>
      <c r="AE5197" s="5">
        <v>2.1805804100714687</v>
      </c>
      <c r="AF5197">
        <v>1</v>
      </c>
    </row>
    <row r="5198" spans="27:32" x14ac:dyDescent="0.3">
      <c r="AA5198" s="3">
        <v>-14287.91</v>
      </c>
      <c r="AB5198">
        <v>1E-4</v>
      </c>
      <c r="AC5198">
        <v>9</v>
      </c>
      <c r="AD5198" s="5">
        <v>4.922364058257731</v>
      </c>
      <c r="AE5198" s="5">
        <v>2.1401160593057083</v>
      </c>
      <c r="AF5198">
        <v>1</v>
      </c>
    </row>
    <row r="5199" spans="27:32" x14ac:dyDescent="0.3">
      <c r="AA5199" s="3">
        <v>4951.1899999999996</v>
      </c>
      <c r="AB5199">
        <v>1E-4</v>
      </c>
      <c r="AC5199">
        <v>8</v>
      </c>
      <c r="AD5199" s="5">
        <v>4.8184358211600404</v>
      </c>
      <c r="AE5199" s="5">
        <v>2.1567021668166189</v>
      </c>
      <c r="AF5199">
        <v>1</v>
      </c>
    </row>
    <row r="5200" spans="27:32" x14ac:dyDescent="0.3">
      <c r="AA5200" s="3">
        <v>14393.04</v>
      </c>
      <c r="AB5200">
        <v>1E-4</v>
      </c>
      <c r="AC5200">
        <v>8</v>
      </c>
      <c r="AD5200" s="5">
        <v>4.9100832594136525</v>
      </c>
      <c r="AE5200" s="5">
        <v>2.2878166102609225</v>
      </c>
      <c r="AF5200">
        <v>1</v>
      </c>
    </row>
    <row r="5201" spans="27:32" x14ac:dyDescent="0.3">
      <c r="AA5201" s="3">
        <v>6115.56</v>
      </c>
      <c r="AB5201">
        <v>1E-4</v>
      </c>
      <c r="AC5201">
        <v>8</v>
      </c>
      <c r="AD5201" s="5">
        <v>4.8665308459744452</v>
      </c>
      <c r="AE5201" s="5">
        <v>2.2675414783174124</v>
      </c>
      <c r="AF5201">
        <v>1</v>
      </c>
    </row>
    <row r="5202" spans="27:32" x14ac:dyDescent="0.3">
      <c r="AA5202" s="3">
        <v>2412.4299999999998</v>
      </c>
      <c r="AB5202">
        <v>1E-4</v>
      </c>
      <c r="AC5202">
        <v>8</v>
      </c>
      <c r="AD5202" s="5">
        <v>5.0469819206278705</v>
      </c>
      <c r="AE5202" s="5">
        <v>2.1627314372981417</v>
      </c>
      <c r="AF5202">
        <v>1</v>
      </c>
    </row>
    <row r="5203" spans="27:32" x14ac:dyDescent="0.3">
      <c r="AA5203" s="3">
        <v>6170.8</v>
      </c>
      <c r="AB5203">
        <v>1E-4</v>
      </c>
      <c r="AC5203">
        <v>8</v>
      </c>
      <c r="AD5203" s="5">
        <v>5.0494569508085139</v>
      </c>
      <c r="AE5203" s="5">
        <v>2.1775474315676964</v>
      </c>
      <c r="AF5203">
        <v>1</v>
      </c>
    </row>
    <row r="5204" spans="27:32" x14ac:dyDescent="0.3">
      <c r="AA5204" s="3">
        <v>17358.61</v>
      </c>
      <c r="AB5204">
        <v>1E-4</v>
      </c>
      <c r="AC5204">
        <v>8</v>
      </c>
      <c r="AD5204" s="5">
        <v>5.050708655099883</v>
      </c>
      <c r="AE5204" s="5">
        <v>2.2392801206328374</v>
      </c>
      <c r="AF5204">
        <v>1</v>
      </c>
    </row>
    <row r="5205" spans="27:32" x14ac:dyDescent="0.3">
      <c r="AA5205" s="3">
        <v>-13413.75</v>
      </c>
      <c r="AB5205">
        <v>1E-4</v>
      </c>
      <c r="AC5205">
        <v>9</v>
      </c>
      <c r="AD5205" s="5">
        <v>5.1692949760469302</v>
      </c>
      <c r="AE5205" s="5">
        <v>2.2206926645893583</v>
      </c>
      <c r="AF5205">
        <v>1</v>
      </c>
    </row>
    <row r="5206" spans="27:32" x14ac:dyDescent="0.3">
      <c r="AA5206" s="3">
        <v>33401.74</v>
      </c>
      <c r="AB5206">
        <v>1E-4</v>
      </c>
      <c r="AC5206">
        <v>7</v>
      </c>
      <c r="AD5206" s="5">
        <v>4.9667012016114587</v>
      </c>
      <c r="AE5206" s="5">
        <v>2.2017021754835362</v>
      </c>
      <c r="AF5206">
        <v>1</v>
      </c>
    </row>
    <row r="5207" spans="27:32" x14ac:dyDescent="0.3">
      <c r="AA5207" s="3">
        <v>15587.94</v>
      </c>
      <c r="AB5207">
        <v>1E-4</v>
      </c>
      <c r="AC5207">
        <v>8</v>
      </c>
      <c r="AD5207" s="5">
        <v>5.088612667787813</v>
      </c>
      <c r="AE5207" s="5">
        <v>2.228326154258522</v>
      </c>
      <c r="AF5207">
        <v>1</v>
      </c>
    </row>
    <row r="5208" spans="27:32" x14ac:dyDescent="0.3">
      <c r="AA5208" s="3">
        <v>29456.58</v>
      </c>
      <c r="AB5208">
        <v>1E-4</v>
      </c>
      <c r="AC5208">
        <v>8</v>
      </c>
      <c r="AD5208" s="5">
        <v>5.1554700196562804</v>
      </c>
      <c r="AE5208" s="5">
        <v>2.2699979429624202</v>
      </c>
      <c r="AF5208">
        <v>1</v>
      </c>
    </row>
    <row r="5209" spans="27:32" x14ac:dyDescent="0.3">
      <c r="AA5209" s="3">
        <v>15094.06</v>
      </c>
      <c r="AB5209">
        <v>1E-4</v>
      </c>
      <c r="AC5209">
        <v>8</v>
      </c>
      <c r="AD5209" s="5">
        <v>5.0371612409887838</v>
      </c>
      <c r="AE5209" s="5">
        <v>2.1679892188419418</v>
      </c>
      <c r="AF5209">
        <v>1</v>
      </c>
    </row>
    <row r="5210" spans="27:32" x14ac:dyDescent="0.3">
      <c r="AA5210" s="3">
        <v>-8403.56</v>
      </c>
      <c r="AB5210">
        <v>1E-4</v>
      </c>
      <c r="AC5210">
        <v>9</v>
      </c>
      <c r="AD5210" s="5">
        <v>4.882391322327555</v>
      </c>
      <c r="AE5210" s="5">
        <v>2.2342478494634603</v>
      </c>
      <c r="AF5210">
        <v>1</v>
      </c>
    </row>
    <row r="5211" spans="27:32" x14ac:dyDescent="0.3">
      <c r="AA5211" s="3">
        <v>3807.95</v>
      </c>
      <c r="AB5211">
        <v>1E-4</v>
      </c>
      <c r="AC5211">
        <v>8</v>
      </c>
      <c r="AD5211" s="5">
        <v>4.937741613568396</v>
      </c>
      <c r="AE5211" s="5">
        <v>2.1836071492417091</v>
      </c>
      <c r="AF5211">
        <v>1</v>
      </c>
    </row>
    <row r="5212" spans="27:32" x14ac:dyDescent="0.3">
      <c r="AA5212" s="3">
        <v>34708.19</v>
      </c>
      <c r="AB5212">
        <v>1E-4</v>
      </c>
      <c r="AC5212">
        <v>7</v>
      </c>
      <c r="AD5212" s="5">
        <v>5.1106313710056694</v>
      </c>
      <c r="AE5212" s="5">
        <v>2.2790700534282391</v>
      </c>
      <c r="AF5212">
        <v>1</v>
      </c>
    </row>
    <row r="5213" spans="27:32" x14ac:dyDescent="0.3">
      <c r="AA5213" s="3">
        <v>-18304.530189163608</v>
      </c>
      <c r="AB5213">
        <v>1E-4</v>
      </c>
      <c r="AC5213">
        <v>8</v>
      </c>
      <c r="AD5213" s="5">
        <v>4.8305438367323239</v>
      </c>
      <c r="AE5213" s="5">
        <v>2.1308890896585</v>
      </c>
      <c r="AF5213">
        <v>0</v>
      </c>
    </row>
    <row r="5214" spans="27:32" x14ac:dyDescent="0.3">
      <c r="AA5214" s="3">
        <v>-2756.101277240643</v>
      </c>
      <c r="AB5214">
        <v>1E-4</v>
      </c>
      <c r="AC5214">
        <v>8</v>
      </c>
      <c r="AD5214" s="5">
        <v>5.0348947025665982</v>
      </c>
      <c r="AE5214" s="5">
        <v>2.2185597932949745</v>
      </c>
      <c r="AF5214">
        <v>0</v>
      </c>
    </row>
    <row r="5215" spans="27:32" x14ac:dyDescent="0.3">
      <c r="AA5215" s="3">
        <v>23397.47</v>
      </c>
      <c r="AB5215">
        <v>1E-4</v>
      </c>
      <c r="AC5215">
        <v>8</v>
      </c>
      <c r="AD5215" s="5">
        <v>5.0713386951292705</v>
      </c>
      <c r="AE5215" s="5">
        <v>2.2339609700977983</v>
      </c>
      <c r="AF5215">
        <v>1</v>
      </c>
    </row>
    <row r="5216" spans="27:32" x14ac:dyDescent="0.3">
      <c r="AA5216" s="3">
        <v>41955.360000000001</v>
      </c>
      <c r="AB5216">
        <v>1E-4</v>
      </c>
      <c r="AC5216">
        <v>7</v>
      </c>
      <c r="AD5216" s="5">
        <v>4.9678586797663806</v>
      </c>
      <c r="AE5216" s="5">
        <v>2.1248638714358714</v>
      </c>
      <c r="AF5216">
        <v>1</v>
      </c>
    </row>
    <row r="5217" spans="27:32" x14ac:dyDescent="0.3">
      <c r="AA5217" s="3">
        <v>22831.96</v>
      </c>
      <c r="AB5217">
        <v>1E-4</v>
      </c>
      <c r="AC5217">
        <v>8</v>
      </c>
      <c r="AD5217" s="5">
        <v>5.0134708701667101</v>
      </c>
      <c r="AE5217" s="5">
        <v>2.2221019842909397</v>
      </c>
      <c r="AF5217">
        <v>1</v>
      </c>
    </row>
    <row r="5218" spans="27:32" x14ac:dyDescent="0.3">
      <c r="AA5218" s="3">
        <v>25920.15</v>
      </c>
      <c r="AB5218">
        <v>1E-4</v>
      </c>
      <c r="AC5218">
        <v>8</v>
      </c>
      <c r="AD5218" s="5">
        <v>4.9703726583827033</v>
      </c>
      <c r="AE5218" s="5">
        <v>2.1637142707112522</v>
      </c>
      <c r="AF5218">
        <v>1</v>
      </c>
    </row>
    <row r="5219" spans="27:32" x14ac:dyDescent="0.3">
      <c r="AA5219" s="3">
        <v>24633.07</v>
      </c>
      <c r="AB5219">
        <v>1E-4</v>
      </c>
      <c r="AC5219">
        <v>8</v>
      </c>
      <c r="AD5219" s="5">
        <v>5.2237236653443242</v>
      </c>
      <c r="AE5219" s="5">
        <v>2.190065437499098</v>
      </c>
      <c r="AF5219">
        <v>1</v>
      </c>
    </row>
    <row r="5220" spans="27:32" x14ac:dyDescent="0.3">
      <c r="AA5220" s="3">
        <v>-15236.63</v>
      </c>
      <c r="AB5220">
        <v>1E-4</v>
      </c>
      <c r="AC5220">
        <v>9</v>
      </c>
      <c r="AD5220" s="5">
        <v>4.8373366514704248</v>
      </c>
      <c r="AE5220" s="5">
        <v>2.2241272950516442</v>
      </c>
      <c r="AF5220">
        <v>1</v>
      </c>
    </row>
    <row r="5221" spans="27:32" x14ac:dyDescent="0.3">
      <c r="AA5221" s="3">
        <v>26760.69</v>
      </c>
      <c r="AB5221">
        <v>1E-4</v>
      </c>
      <c r="AC5221">
        <v>8</v>
      </c>
      <c r="AD5221" s="5">
        <v>5.0175884124831871</v>
      </c>
      <c r="AE5221" s="5">
        <v>2.1871243676541932</v>
      </c>
      <c r="AF5221">
        <v>1</v>
      </c>
    </row>
    <row r="5222" spans="27:32" x14ac:dyDescent="0.3">
      <c r="AA5222" s="3">
        <v>21210.98</v>
      </c>
      <c r="AB5222">
        <v>1E-4</v>
      </c>
      <c r="AC5222">
        <v>8</v>
      </c>
      <c r="AD5222" s="5">
        <v>5.0407123318180975</v>
      </c>
      <c r="AE5222" s="5">
        <v>2.2114036232055323</v>
      </c>
      <c r="AF5222">
        <v>1</v>
      </c>
    </row>
    <row r="5223" spans="27:32" x14ac:dyDescent="0.3">
      <c r="AA5223" s="3">
        <v>19224.61</v>
      </c>
      <c r="AB5223">
        <v>1E-4</v>
      </c>
      <c r="AC5223">
        <v>8</v>
      </c>
      <c r="AD5223" s="5">
        <v>4.9937273807915163</v>
      </c>
      <c r="AE5223" s="5">
        <v>2.2671819140636749</v>
      </c>
      <c r="AF5223">
        <v>1</v>
      </c>
    </row>
    <row r="5224" spans="27:32" x14ac:dyDescent="0.3">
      <c r="AA5224" s="3">
        <v>32517.48</v>
      </c>
      <c r="AB5224">
        <v>1E-4</v>
      </c>
      <c r="AC5224">
        <v>7</v>
      </c>
      <c r="AD5224" s="5">
        <v>5.1075816332817654</v>
      </c>
      <c r="AE5224" s="5">
        <v>2.1604754639662049</v>
      </c>
      <c r="AF5224">
        <v>1</v>
      </c>
    </row>
    <row r="5225" spans="27:32" x14ac:dyDescent="0.3">
      <c r="AA5225" s="3">
        <v>58148.75</v>
      </c>
      <c r="AB5225">
        <v>1E-4</v>
      </c>
      <c r="AC5225">
        <v>6</v>
      </c>
      <c r="AD5225" s="5">
        <v>5.1048737767276027</v>
      </c>
      <c r="AE5225" s="5">
        <v>2.2004472984320209</v>
      </c>
      <c r="AF5225">
        <v>1</v>
      </c>
    </row>
    <row r="5226" spans="27:32" x14ac:dyDescent="0.3">
      <c r="AA5226" s="3">
        <v>40943.81</v>
      </c>
      <c r="AB5226">
        <v>1E-4</v>
      </c>
      <c r="AC5226">
        <v>7</v>
      </c>
      <c r="AD5226" s="5">
        <v>5.0898664398251636</v>
      </c>
      <c r="AE5226" s="5">
        <v>2.1638743015982582</v>
      </c>
      <c r="AF5226">
        <v>1</v>
      </c>
    </row>
    <row r="5227" spans="27:32" x14ac:dyDescent="0.3">
      <c r="AA5227" s="3">
        <v>5080.47</v>
      </c>
      <c r="AB5227">
        <v>1E-4</v>
      </c>
      <c r="AC5227">
        <v>8</v>
      </c>
      <c r="AD5227" s="5">
        <v>5.0284781730950181</v>
      </c>
      <c r="AE5227" s="5">
        <v>2.153455849056451</v>
      </c>
      <c r="AF5227">
        <v>1</v>
      </c>
    </row>
    <row r="5228" spans="27:32" x14ac:dyDescent="0.3">
      <c r="AA5228" s="3">
        <v>9494.16</v>
      </c>
      <c r="AB5228">
        <v>1E-4</v>
      </c>
      <c r="AC5228">
        <v>8</v>
      </c>
      <c r="AD5228" s="5">
        <v>5.066283755509172</v>
      </c>
      <c r="AE5228" s="5">
        <v>2.1825070635190578</v>
      </c>
      <c r="AF5228">
        <v>1</v>
      </c>
    </row>
    <row r="5229" spans="27:32" x14ac:dyDescent="0.3">
      <c r="AA5229" s="3">
        <v>14739.59</v>
      </c>
      <c r="AB5229">
        <v>1E-4</v>
      </c>
      <c r="AC5229">
        <v>8</v>
      </c>
      <c r="AD5229" s="5">
        <v>5.2059729443353442</v>
      </c>
      <c r="AE5229" s="5">
        <v>2.2550036315441773</v>
      </c>
      <c r="AF5229">
        <v>1</v>
      </c>
    </row>
    <row r="5230" spans="27:32" x14ac:dyDescent="0.3">
      <c r="AA5230" s="3">
        <v>20111.23</v>
      </c>
      <c r="AB5230">
        <v>1E-4</v>
      </c>
      <c r="AC5230">
        <v>8</v>
      </c>
      <c r="AD5230" s="5">
        <v>5.0211286515698301</v>
      </c>
      <c r="AE5230" s="5">
        <v>2.1865838845692682</v>
      </c>
      <c r="AF5230">
        <v>1</v>
      </c>
    </row>
    <row r="5231" spans="27:32" x14ac:dyDescent="0.3">
      <c r="AA5231" s="3">
        <v>36709.61</v>
      </c>
      <c r="AB5231">
        <v>1E-4</v>
      </c>
      <c r="AC5231">
        <v>7</v>
      </c>
      <c r="AD5231" s="5">
        <v>4.9424889007635375</v>
      </c>
      <c r="AE5231" s="5">
        <v>2.1102514513044484</v>
      </c>
      <c r="AF5231">
        <v>1</v>
      </c>
    </row>
    <row r="5232" spans="27:32" x14ac:dyDescent="0.3">
      <c r="AA5232" s="3">
        <v>30416.639999999999</v>
      </c>
      <c r="AB5232">
        <v>1E-4</v>
      </c>
      <c r="AC5232">
        <v>7</v>
      </c>
      <c r="AD5232" s="5">
        <v>4.9890648749761137</v>
      </c>
      <c r="AE5232" s="5">
        <v>2.2153027919294841</v>
      </c>
      <c r="AF5232">
        <v>1</v>
      </c>
    </row>
    <row r="5233" spans="27:32" x14ac:dyDescent="0.3">
      <c r="AA5233" s="3">
        <v>2621.75</v>
      </c>
      <c r="AB5233">
        <v>1E-4</v>
      </c>
      <c r="AC5233">
        <v>8</v>
      </c>
      <c r="AD5233" s="5">
        <v>5.0105662669378708</v>
      </c>
      <c r="AE5233" s="5">
        <v>2.1000417103719142</v>
      </c>
      <c r="AF5233">
        <v>1</v>
      </c>
    </row>
    <row r="5234" spans="27:32" x14ac:dyDescent="0.3">
      <c r="AA5234" s="3">
        <v>-71.67</v>
      </c>
      <c r="AB5234">
        <v>1E-4</v>
      </c>
      <c r="AC5234">
        <v>9</v>
      </c>
      <c r="AD5234" s="5">
        <v>4.9280351570575247</v>
      </c>
      <c r="AE5234" s="5">
        <v>2.209519928044267</v>
      </c>
      <c r="AF5234">
        <v>1</v>
      </c>
    </row>
    <row r="5235" spans="27:32" x14ac:dyDescent="0.3">
      <c r="AA5235" s="3">
        <v>41244.58</v>
      </c>
      <c r="AB5235">
        <v>1E-4</v>
      </c>
      <c r="AC5235">
        <v>7</v>
      </c>
      <c r="AD5235" s="5">
        <v>5.0739025655889209</v>
      </c>
      <c r="AE5235" s="5">
        <v>2.1795642636882633</v>
      </c>
      <c r="AF5235">
        <v>1</v>
      </c>
    </row>
    <row r="5236" spans="27:32" x14ac:dyDescent="0.3">
      <c r="AA5236" s="3">
        <v>19662.46</v>
      </c>
      <c r="AB5236">
        <v>1E-4</v>
      </c>
      <c r="AC5236">
        <v>8</v>
      </c>
      <c r="AD5236" s="5">
        <v>5.0937889664881864</v>
      </c>
      <c r="AE5236" s="5">
        <v>2.2252272774380089</v>
      </c>
      <c r="AF5236">
        <v>1</v>
      </c>
    </row>
    <row r="5237" spans="27:32" x14ac:dyDescent="0.3">
      <c r="AA5237" s="3">
        <v>35326.160000000003</v>
      </c>
      <c r="AB5237">
        <v>1E-4</v>
      </c>
      <c r="AC5237">
        <v>7</v>
      </c>
      <c r="AD5237" s="5">
        <v>5.0788662535949616</v>
      </c>
      <c r="AE5237" s="5">
        <v>2.2043702397209528</v>
      </c>
      <c r="AF5237">
        <v>1</v>
      </c>
    </row>
    <row r="5238" spans="27:32" x14ac:dyDescent="0.3">
      <c r="AA5238" s="3">
        <v>26164.34</v>
      </c>
      <c r="AB5238">
        <v>1E-4</v>
      </c>
      <c r="AC5238">
        <v>8</v>
      </c>
      <c r="AD5238" s="5">
        <v>4.9700621538846068</v>
      </c>
      <c r="AE5238" s="5">
        <v>2.2489816278018639</v>
      </c>
      <c r="AF5238">
        <v>1</v>
      </c>
    </row>
    <row r="5239" spans="27:32" x14ac:dyDescent="0.3">
      <c r="AA5239" s="3">
        <v>31036.38</v>
      </c>
      <c r="AB5239">
        <v>1E-4</v>
      </c>
      <c r="AC5239">
        <v>7</v>
      </c>
      <c r="AD5239" s="5">
        <v>5.0790724797013134</v>
      </c>
      <c r="AE5239" s="5">
        <v>2.1891123139978474</v>
      </c>
      <c r="AF5239">
        <v>1</v>
      </c>
    </row>
    <row r="5240" spans="27:32" x14ac:dyDescent="0.3">
      <c r="AA5240" s="3">
        <v>30057.52</v>
      </c>
      <c r="AB5240">
        <v>1E-4</v>
      </c>
      <c r="AC5240">
        <v>7</v>
      </c>
      <c r="AD5240" s="5">
        <v>4.9894133511173715</v>
      </c>
      <c r="AE5240" s="5">
        <v>2.2197158367073473</v>
      </c>
      <c r="AF5240">
        <v>1</v>
      </c>
    </row>
    <row r="5241" spans="27:32" x14ac:dyDescent="0.3">
      <c r="AA5241" s="3">
        <v>-9202.0300000000007</v>
      </c>
      <c r="AB5241">
        <v>1E-4</v>
      </c>
      <c r="AC5241">
        <v>9</v>
      </c>
      <c r="AD5241" s="5">
        <v>5.0717361206178841</v>
      </c>
      <c r="AE5241" s="5">
        <v>2.3265186970565961</v>
      </c>
      <c r="AF5241">
        <v>1</v>
      </c>
    </row>
    <row r="5242" spans="27:32" x14ac:dyDescent="0.3">
      <c r="AA5242" s="3">
        <v>17236.54</v>
      </c>
      <c r="AB5242">
        <v>1E-4</v>
      </c>
      <c r="AC5242">
        <v>8</v>
      </c>
      <c r="AD5242" s="5">
        <v>4.8906087457011589</v>
      </c>
      <c r="AE5242" s="5">
        <v>2.2096070564066985</v>
      </c>
      <c r="AF5242">
        <v>1</v>
      </c>
    </row>
    <row r="5243" spans="27:32" x14ac:dyDescent="0.3">
      <c r="AA5243" s="3">
        <v>20752.150000000001</v>
      </c>
      <c r="AB5243">
        <v>1E-4</v>
      </c>
      <c r="AC5243">
        <v>8</v>
      </c>
      <c r="AD5243" s="5">
        <v>4.926541062891939</v>
      </c>
      <c r="AE5243" s="5">
        <v>2.1582331469884148</v>
      </c>
      <c r="AF5243">
        <v>1</v>
      </c>
    </row>
    <row r="5244" spans="27:32" x14ac:dyDescent="0.3">
      <c r="AA5244" s="3">
        <v>12757.25</v>
      </c>
      <c r="AB5244">
        <v>1E-4</v>
      </c>
      <c r="AC5244">
        <v>8</v>
      </c>
      <c r="AD5244" s="5">
        <v>4.9129549565897017</v>
      </c>
      <c r="AE5244" s="5">
        <v>2.2195495452280083</v>
      </c>
      <c r="AF5244">
        <v>1</v>
      </c>
    </row>
    <row r="5245" spans="27:32" x14ac:dyDescent="0.3">
      <c r="AA5245" s="3">
        <v>46469.29</v>
      </c>
      <c r="AB5245">
        <v>1E-4</v>
      </c>
      <c r="AC5245">
        <v>7</v>
      </c>
      <c r="AD5245" s="5">
        <v>5.1499957979965911</v>
      </c>
      <c r="AE5245" s="5">
        <v>2.0893624750323396</v>
      </c>
      <c r="AF5245">
        <v>1</v>
      </c>
    </row>
    <row r="5246" spans="27:32" x14ac:dyDescent="0.3">
      <c r="AA5246" s="3">
        <v>1184.82</v>
      </c>
      <c r="AB5246">
        <v>1E-4</v>
      </c>
      <c r="AC5246">
        <v>8</v>
      </c>
      <c r="AD5246" s="5">
        <v>5.0538047817922651</v>
      </c>
      <c r="AE5246" s="5">
        <v>2.2677247549211832</v>
      </c>
      <c r="AF5246">
        <v>1</v>
      </c>
    </row>
    <row r="5247" spans="27:32" x14ac:dyDescent="0.3">
      <c r="AA5247" s="3">
        <v>13337.96</v>
      </c>
      <c r="AB5247">
        <v>1E-4</v>
      </c>
      <c r="AC5247">
        <v>8</v>
      </c>
      <c r="AD5247" s="5">
        <v>5.2308744668282845</v>
      </c>
      <c r="AE5247" s="5">
        <v>2.0978141655777653</v>
      </c>
      <c r="AF5247">
        <v>1</v>
      </c>
    </row>
    <row r="5248" spans="27:32" x14ac:dyDescent="0.3">
      <c r="AA5248" s="3">
        <v>20657.84</v>
      </c>
      <c r="AB5248">
        <v>1E-4</v>
      </c>
      <c r="AC5248">
        <v>8</v>
      </c>
      <c r="AD5248" s="5">
        <v>4.9376049855552351</v>
      </c>
      <c r="AE5248" s="5">
        <v>2.1082378246471052</v>
      </c>
      <c r="AF5248">
        <v>1</v>
      </c>
    </row>
    <row r="5249" spans="27:32" x14ac:dyDescent="0.3">
      <c r="AA5249" s="3">
        <v>17430.36</v>
      </c>
      <c r="AB5249">
        <v>1E-4</v>
      </c>
      <c r="AC5249">
        <v>8</v>
      </c>
      <c r="AD5249" s="5">
        <v>4.9783006919455612</v>
      </c>
      <c r="AE5249" s="5">
        <v>2.2585711893900418</v>
      </c>
      <c r="AF5249">
        <v>1</v>
      </c>
    </row>
    <row r="5250" spans="27:32" x14ac:dyDescent="0.3">
      <c r="AA5250" s="3">
        <v>-13629.04</v>
      </c>
      <c r="AB5250">
        <v>1E-4</v>
      </c>
      <c r="AC5250">
        <v>9</v>
      </c>
      <c r="AD5250" s="5">
        <v>4.8811392107960732</v>
      </c>
      <c r="AE5250" s="5">
        <v>2.2210333729985621</v>
      </c>
      <c r="AF5250">
        <v>1</v>
      </c>
    </row>
    <row r="5251" spans="27:32" x14ac:dyDescent="0.3">
      <c r="AA5251" s="3">
        <v>26596.03</v>
      </c>
      <c r="AB5251">
        <v>1E-4</v>
      </c>
      <c r="AC5251">
        <v>8</v>
      </c>
      <c r="AD5251" s="5">
        <v>5.1004576759552132</v>
      </c>
      <c r="AE5251" s="5">
        <v>2.1936179204106532</v>
      </c>
      <c r="AF5251">
        <v>1</v>
      </c>
    </row>
    <row r="5252" spans="27:32" x14ac:dyDescent="0.3">
      <c r="AA5252" s="3">
        <v>-445.03</v>
      </c>
      <c r="AB5252">
        <v>1E-4</v>
      </c>
      <c r="AC5252">
        <v>9</v>
      </c>
      <c r="AD5252" s="5">
        <v>4.9789556807131659</v>
      </c>
      <c r="AE5252" s="5">
        <v>2.2737823596120186</v>
      </c>
      <c r="AF5252">
        <v>1</v>
      </c>
    </row>
    <row r="5253" spans="27:32" x14ac:dyDescent="0.3">
      <c r="AA5253" s="3">
        <v>17856.669999999998</v>
      </c>
      <c r="AB5253">
        <v>1E-4</v>
      </c>
      <c r="AC5253">
        <v>8</v>
      </c>
      <c r="AD5253" s="5">
        <v>5.0984681322860652</v>
      </c>
      <c r="AE5253" s="5">
        <v>2.1212780399934208</v>
      </c>
      <c r="AF5253">
        <v>1</v>
      </c>
    </row>
    <row r="5254" spans="27:32" x14ac:dyDescent="0.3">
      <c r="AA5254" s="3">
        <v>21375.94</v>
      </c>
      <c r="AB5254">
        <v>1E-4</v>
      </c>
      <c r="AC5254">
        <v>8</v>
      </c>
      <c r="AD5254" s="5">
        <v>4.9794518400160488</v>
      </c>
      <c r="AE5254" s="5">
        <v>2.1783251565648816</v>
      </c>
      <c r="AF5254">
        <v>1</v>
      </c>
    </row>
    <row r="5255" spans="27:32" x14ac:dyDescent="0.3">
      <c r="AA5255" s="3">
        <v>-28221.01</v>
      </c>
      <c r="AB5255">
        <v>1E-4</v>
      </c>
      <c r="AC5255">
        <v>9</v>
      </c>
      <c r="AD5255" s="5">
        <v>5.0050901129142442</v>
      </c>
      <c r="AE5255" s="5">
        <v>2.2277206707443593</v>
      </c>
      <c r="AF5255">
        <v>1</v>
      </c>
    </row>
    <row r="5256" spans="27:32" x14ac:dyDescent="0.3">
      <c r="AA5256" s="3">
        <v>567.57000000000005</v>
      </c>
      <c r="AB5256">
        <v>1E-4</v>
      </c>
      <c r="AC5256">
        <v>8</v>
      </c>
      <c r="AD5256" s="5">
        <v>4.9849689681349219</v>
      </c>
      <c r="AE5256" s="5">
        <v>2.1750869359857075</v>
      </c>
      <c r="AF5256">
        <v>1</v>
      </c>
    </row>
    <row r="5257" spans="27:32" x14ac:dyDescent="0.3">
      <c r="AA5257" s="3">
        <v>24676.55</v>
      </c>
      <c r="AB5257">
        <v>1E-4</v>
      </c>
      <c r="AC5257">
        <v>8</v>
      </c>
      <c r="AD5257" s="5">
        <v>5.035543723859826</v>
      </c>
      <c r="AE5257" s="5">
        <v>2.2436133310655757</v>
      </c>
      <c r="AF5257">
        <v>1</v>
      </c>
    </row>
    <row r="5258" spans="27:32" x14ac:dyDescent="0.3">
      <c r="AA5258" s="3">
        <v>25784.03</v>
      </c>
      <c r="AB5258">
        <v>1E-4</v>
      </c>
      <c r="AC5258">
        <v>8</v>
      </c>
      <c r="AD5258" s="5">
        <v>4.9800965572967995</v>
      </c>
      <c r="AE5258" s="5">
        <v>2.1435267109313911</v>
      </c>
      <c r="AF5258">
        <v>1</v>
      </c>
    </row>
    <row r="5259" spans="27:32" x14ac:dyDescent="0.3">
      <c r="AA5259" s="3">
        <v>38280.370000000003</v>
      </c>
      <c r="AB5259">
        <v>1E-4</v>
      </c>
      <c r="AC5259">
        <v>7</v>
      </c>
      <c r="AD5259" s="5">
        <v>4.962965447110971</v>
      </c>
      <c r="AE5259" s="5">
        <v>2.2451997309559748</v>
      </c>
      <c r="AF5259">
        <v>1</v>
      </c>
    </row>
    <row r="5260" spans="27:32" x14ac:dyDescent="0.3">
      <c r="AA5260" s="3">
        <v>55514.64</v>
      </c>
      <c r="AB5260">
        <v>1E-4</v>
      </c>
      <c r="AC5260">
        <v>6</v>
      </c>
      <c r="AD5260" s="5">
        <v>4.9369895338630858</v>
      </c>
      <c r="AE5260" s="5">
        <v>2.1449899476391092</v>
      </c>
      <c r="AF5260">
        <v>1</v>
      </c>
    </row>
    <row r="5261" spans="27:32" x14ac:dyDescent="0.3">
      <c r="AA5261" s="3">
        <v>10304.41</v>
      </c>
      <c r="AB5261">
        <v>1E-4</v>
      </c>
      <c r="AC5261">
        <v>8</v>
      </c>
      <c r="AD5261" s="5">
        <v>5.1113109374790575</v>
      </c>
      <c r="AE5261" s="5">
        <v>2.2748013686948916</v>
      </c>
      <c r="AF5261">
        <v>1</v>
      </c>
    </row>
    <row r="5262" spans="27:32" x14ac:dyDescent="0.3">
      <c r="AA5262" s="3">
        <v>9573.06</v>
      </c>
      <c r="AB5262">
        <v>1E-4</v>
      </c>
      <c r="AC5262">
        <v>8</v>
      </c>
      <c r="AD5262" s="5">
        <v>5.0497828141556393</v>
      </c>
      <c r="AE5262" s="5">
        <v>2.1422591578768997</v>
      </c>
      <c r="AF5262">
        <v>1</v>
      </c>
    </row>
    <row r="5263" spans="27:32" x14ac:dyDescent="0.3">
      <c r="AA5263" s="3">
        <v>44881.98</v>
      </c>
      <c r="AB5263">
        <v>1E-4</v>
      </c>
      <c r="AC5263">
        <v>7</v>
      </c>
      <c r="AD5263" s="5">
        <v>5.2460524650047899</v>
      </c>
      <c r="AE5263" s="5">
        <v>2.2592361630178286</v>
      </c>
      <c r="AF5263">
        <v>1</v>
      </c>
    </row>
    <row r="5264" spans="27:32" x14ac:dyDescent="0.3">
      <c r="AA5264" s="3">
        <v>5195.97</v>
      </c>
      <c r="AB5264">
        <v>1E-4</v>
      </c>
      <c r="AC5264">
        <v>8</v>
      </c>
      <c r="AD5264" s="5">
        <v>4.9888677361130975</v>
      </c>
      <c r="AE5264" s="5">
        <v>2.1845415336520668</v>
      </c>
      <c r="AF5264">
        <v>1</v>
      </c>
    </row>
    <row r="5265" spans="27:32" x14ac:dyDescent="0.3">
      <c r="AA5265" s="3">
        <v>-10212.299999999999</v>
      </c>
      <c r="AB5265">
        <v>1E-4</v>
      </c>
      <c r="AC5265">
        <v>9</v>
      </c>
      <c r="AD5265" s="5">
        <v>4.9572098746899007</v>
      </c>
      <c r="AE5265" s="5">
        <v>2.2170995050708133</v>
      </c>
      <c r="AF5265">
        <v>1</v>
      </c>
    </row>
    <row r="5266" spans="27:32" x14ac:dyDescent="0.3">
      <c r="AA5266" s="3">
        <v>502.7</v>
      </c>
      <c r="AB5266">
        <v>1E-4</v>
      </c>
      <c r="AC5266">
        <v>8</v>
      </c>
      <c r="AD5266" s="5">
        <v>5.1500539063232385</v>
      </c>
      <c r="AE5266" s="5">
        <v>2.2240706113175079</v>
      </c>
      <c r="AF5266">
        <v>1</v>
      </c>
    </row>
    <row r="5267" spans="27:32" x14ac:dyDescent="0.3">
      <c r="AA5267" s="3">
        <v>54888.49</v>
      </c>
      <c r="AB5267">
        <v>1E-4</v>
      </c>
      <c r="AC5267">
        <v>6</v>
      </c>
      <c r="AD5267" s="5">
        <v>5.1330498352619616</v>
      </c>
      <c r="AE5267" s="5">
        <v>2.169139759408405</v>
      </c>
      <c r="AF5267">
        <v>1</v>
      </c>
    </row>
    <row r="5268" spans="27:32" x14ac:dyDescent="0.3">
      <c r="AA5268" s="3">
        <v>-17007.45</v>
      </c>
      <c r="AB5268">
        <v>1E-4</v>
      </c>
      <c r="AC5268">
        <v>9</v>
      </c>
      <c r="AD5268" s="5">
        <v>4.9718337992283343</v>
      </c>
      <c r="AE5268" s="5">
        <v>2.2500992272386853</v>
      </c>
      <c r="AF5268">
        <v>1</v>
      </c>
    </row>
    <row r="5269" spans="27:32" x14ac:dyDescent="0.3">
      <c r="AA5269" s="3">
        <v>539.79999999999995</v>
      </c>
      <c r="AB5269">
        <v>1E-4</v>
      </c>
      <c r="AC5269">
        <v>8</v>
      </c>
      <c r="AD5269" s="5">
        <v>4.872536097714371</v>
      </c>
      <c r="AE5269" s="5">
        <v>2.1905736565249918</v>
      </c>
      <c r="AF5269">
        <v>1</v>
      </c>
    </row>
    <row r="5270" spans="27:32" x14ac:dyDescent="0.3">
      <c r="AA5270" s="3">
        <v>16464.63</v>
      </c>
      <c r="AB5270">
        <v>1E-4</v>
      </c>
      <c r="AC5270">
        <v>8</v>
      </c>
      <c r="AD5270" s="5">
        <v>4.9709783301240309</v>
      </c>
      <c r="AE5270" s="5">
        <v>2.1659989125706036</v>
      </c>
      <c r="AF5270">
        <v>1</v>
      </c>
    </row>
    <row r="5271" spans="27:32" x14ac:dyDescent="0.3">
      <c r="AA5271" s="3">
        <v>16129.71</v>
      </c>
      <c r="AB5271">
        <v>1E-4</v>
      </c>
      <c r="AC5271">
        <v>8</v>
      </c>
      <c r="AD5271" s="5">
        <v>5.0222195584525045</v>
      </c>
      <c r="AE5271" s="5">
        <v>2.1920624277879988</v>
      </c>
      <c r="AF5271">
        <v>1</v>
      </c>
    </row>
    <row r="5272" spans="27:32" x14ac:dyDescent="0.3">
      <c r="AA5272" s="3">
        <v>21118.240000000002</v>
      </c>
      <c r="AB5272">
        <v>1E-4</v>
      </c>
      <c r="AC5272">
        <v>8</v>
      </c>
      <c r="AD5272" s="5">
        <v>4.6871132642613622</v>
      </c>
      <c r="AE5272" s="5">
        <v>2.2246199818189214</v>
      </c>
      <c r="AF5272">
        <v>1</v>
      </c>
    </row>
    <row r="5273" spans="27:32" x14ac:dyDescent="0.3">
      <c r="AA5273" s="3">
        <v>21689.66</v>
      </c>
      <c r="AB5273">
        <v>1E-4</v>
      </c>
      <c r="AC5273">
        <v>8</v>
      </c>
      <c r="AD5273" s="5">
        <v>4.9694908944731173</v>
      </c>
      <c r="AE5273" s="5">
        <v>2.2098846238547281</v>
      </c>
      <c r="AF5273">
        <v>1</v>
      </c>
    </row>
    <row r="5274" spans="27:32" x14ac:dyDescent="0.3">
      <c r="AA5274" s="3">
        <v>20448.599999999999</v>
      </c>
      <c r="AB5274">
        <v>1E-4</v>
      </c>
      <c r="AC5274">
        <v>8</v>
      </c>
      <c r="AD5274" s="5">
        <v>4.9505259512996664</v>
      </c>
      <c r="AE5274" s="5">
        <v>2.1985462334515136</v>
      </c>
      <c r="AF5274">
        <v>1</v>
      </c>
    </row>
    <row r="5275" spans="27:32" x14ac:dyDescent="0.3">
      <c r="AA5275" s="3">
        <v>6142.96</v>
      </c>
      <c r="AB5275">
        <v>1E-4</v>
      </c>
      <c r="AC5275">
        <v>8</v>
      </c>
      <c r="AD5275" s="5">
        <v>5.0881806188556284</v>
      </c>
      <c r="AE5275" s="5">
        <v>2.1981490286875971</v>
      </c>
      <c r="AF5275">
        <v>1</v>
      </c>
    </row>
    <row r="5276" spans="27:32" x14ac:dyDescent="0.3">
      <c r="AA5276" s="3">
        <v>12215.16</v>
      </c>
      <c r="AB5276">
        <v>1E-4</v>
      </c>
      <c r="AC5276">
        <v>8</v>
      </c>
      <c r="AD5276" s="5">
        <v>5.0047683899544095</v>
      </c>
      <c r="AE5276" s="5">
        <v>2.280978644248755</v>
      </c>
      <c r="AF5276">
        <v>1</v>
      </c>
    </row>
    <row r="5277" spans="27:32" x14ac:dyDescent="0.3">
      <c r="AA5277" s="3">
        <v>-4178.3900000000003</v>
      </c>
      <c r="AB5277">
        <v>1E-4</v>
      </c>
      <c r="AC5277">
        <v>9</v>
      </c>
      <c r="AD5277" s="5">
        <v>4.9441806344345229</v>
      </c>
      <c r="AE5277" s="5">
        <v>2.1752459920256499</v>
      </c>
      <c r="AF5277">
        <v>1</v>
      </c>
    </row>
    <row r="5278" spans="27:32" x14ac:dyDescent="0.3">
      <c r="AA5278" s="3">
        <v>-15925.490727585086</v>
      </c>
      <c r="AB5278">
        <v>1E-4</v>
      </c>
      <c r="AC5278">
        <v>8</v>
      </c>
      <c r="AD5278" s="5">
        <v>5.0141619906718082</v>
      </c>
      <c r="AE5278" s="5">
        <v>2.255078206282346</v>
      </c>
      <c r="AF5278">
        <v>0</v>
      </c>
    </row>
    <row r="5279" spans="27:32" x14ac:dyDescent="0.3">
      <c r="AA5279" s="3">
        <v>17505.07</v>
      </c>
      <c r="AB5279">
        <v>1E-4</v>
      </c>
      <c r="AC5279">
        <v>8</v>
      </c>
      <c r="AD5279" s="5">
        <v>5.0336062672355348</v>
      </c>
      <c r="AE5279" s="5">
        <v>2.1378491788469471</v>
      </c>
      <c r="AF5279">
        <v>1</v>
      </c>
    </row>
    <row r="5280" spans="27:32" x14ac:dyDescent="0.3">
      <c r="AA5280" s="3">
        <v>-2532.35</v>
      </c>
      <c r="AB5280">
        <v>1E-4</v>
      </c>
      <c r="AC5280">
        <v>9</v>
      </c>
      <c r="AD5280" s="5">
        <v>4.8648925738756299</v>
      </c>
      <c r="AE5280" s="5">
        <v>2.1779050933246475</v>
      </c>
      <c r="AF5280">
        <v>1</v>
      </c>
    </row>
    <row r="5281" spans="27:32" x14ac:dyDescent="0.3">
      <c r="AA5281" s="3">
        <v>-2766.86</v>
      </c>
      <c r="AB5281">
        <v>1E-4</v>
      </c>
      <c r="AC5281">
        <v>9</v>
      </c>
      <c r="AD5281" s="5">
        <v>4.9682905799982411</v>
      </c>
      <c r="AE5281" s="5">
        <v>2.1300933530741237</v>
      </c>
      <c r="AF5281">
        <v>1</v>
      </c>
    </row>
    <row r="5282" spans="27:32" x14ac:dyDescent="0.3">
      <c r="AA5282" s="3">
        <v>1257.1600000000001</v>
      </c>
      <c r="AB5282">
        <v>1E-4</v>
      </c>
      <c r="AC5282">
        <v>8</v>
      </c>
      <c r="AD5282" s="5">
        <v>4.8801070346455466</v>
      </c>
      <c r="AE5282" s="5">
        <v>2.2431678518377565</v>
      </c>
      <c r="AF5282">
        <v>1</v>
      </c>
    </row>
    <row r="5283" spans="27:32" x14ac:dyDescent="0.3">
      <c r="AA5283" s="3">
        <v>-30553.672468795405</v>
      </c>
      <c r="AB5283">
        <v>1E-4</v>
      </c>
      <c r="AC5283">
        <v>9</v>
      </c>
      <c r="AD5283" s="5">
        <v>5.1472351724909338</v>
      </c>
      <c r="AE5283" s="5">
        <v>2.2197526102673946</v>
      </c>
      <c r="AF5283">
        <v>0</v>
      </c>
    </row>
    <row r="5284" spans="27:32" x14ac:dyDescent="0.3">
      <c r="AA5284" s="3">
        <v>58067.55</v>
      </c>
      <c r="AB5284">
        <v>1E-4</v>
      </c>
      <c r="AC5284">
        <v>6</v>
      </c>
      <c r="AD5284" s="5">
        <v>5.2061349896101481</v>
      </c>
      <c r="AE5284" s="5">
        <v>2.222169500638608</v>
      </c>
      <c r="AF5284">
        <v>1</v>
      </c>
    </row>
    <row r="5285" spans="27:32" x14ac:dyDescent="0.3">
      <c r="AA5285" s="3">
        <v>63861.16</v>
      </c>
      <c r="AB5285">
        <v>1E-4</v>
      </c>
      <c r="AC5285">
        <v>6</v>
      </c>
      <c r="AD5285" s="5">
        <v>5.0284474389941467</v>
      </c>
      <c r="AE5285" s="5">
        <v>2.1387905771116542</v>
      </c>
      <c r="AF5285">
        <v>1</v>
      </c>
    </row>
    <row r="5286" spans="27:32" x14ac:dyDescent="0.3">
      <c r="AA5286" s="3">
        <v>25475.17</v>
      </c>
      <c r="AB5286">
        <v>1E-4</v>
      </c>
      <c r="AC5286">
        <v>8</v>
      </c>
      <c r="AD5286" s="5">
        <v>4.9514648527763852</v>
      </c>
      <c r="AE5286" s="5">
        <v>2.227627825316072</v>
      </c>
      <c r="AF5286">
        <v>1</v>
      </c>
    </row>
    <row r="5287" spans="27:32" x14ac:dyDescent="0.3">
      <c r="AA5287" s="3">
        <v>1797.67</v>
      </c>
      <c r="AB5287">
        <v>1E-4</v>
      </c>
      <c r="AC5287">
        <v>8</v>
      </c>
      <c r="AD5287" s="5">
        <v>5.1344566825945792</v>
      </c>
      <c r="AE5287" s="5">
        <v>2.1395954485932385</v>
      </c>
      <c r="AF5287">
        <v>1</v>
      </c>
    </row>
    <row r="5288" spans="27:32" x14ac:dyDescent="0.3">
      <c r="AA5288" s="3">
        <v>39343.33</v>
      </c>
      <c r="AB5288">
        <v>1E-4</v>
      </c>
      <c r="AC5288">
        <v>7</v>
      </c>
      <c r="AD5288" s="5">
        <v>5.0439749951627793</v>
      </c>
      <c r="AE5288" s="5">
        <v>2.1993397734450064</v>
      </c>
      <c r="AF5288">
        <v>1</v>
      </c>
    </row>
    <row r="5289" spans="27:32" x14ac:dyDescent="0.3">
      <c r="AA5289" s="3">
        <v>13409.93</v>
      </c>
      <c r="AB5289">
        <v>1E-4</v>
      </c>
      <c r="AC5289">
        <v>8</v>
      </c>
      <c r="AD5289" s="5">
        <v>4.8855539706756463</v>
      </c>
      <c r="AE5289" s="5">
        <v>2.2077102668274384</v>
      </c>
      <c r="AF5289">
        <v>1</v>
      </c>
    </row>
    <row r="5290" spans="27:32" x14ac:dyDescent="0.3">
      <c r="AA5290" s="3">
        <v>7727.39</v>
      </c>
      <c r="AB5290">
        <v>1E-4</v>
      </c>
      <c r="AC5290">
        <v>8</v>
      </c>
      <c r="AD5290" s="5">
        <v>4.8728538683856106</v>
      </c>
      <c r="AE5290" s="5">
        <v>2.2245586687989856</v>
      </c>
      <c r="AF5290">
        <v>1</v>
      </c>
    </row>
    <row r="5291" spans="27:32" x14ac:dyDescent="0.3">
      <c r="AA5291" s="3">
        <v>-36210.072870949851</v>
      </c>
      <c r="AB5291">
        <v>1E-4</v>
      </c>
      <c r="AC5291">
        <v>9</v>
      </c>
      <c r="AD5291" s="5">
        <v>5.0173122059170643</v>
      </c>
      <c r="AE5291" s="5">
        <v>2.1962258439220226</v>
      </c>
      <c r="AF5291">
        <v>0</v>
      </c>
    </row>
    <row r="5292" spans="27:32" x14ac:dyDescent="0.3">
      <c r="AA5292" s="3">
        <v>27032.85</v>
      </c>
      <c r="AB5292">
        <v>1E-4</v>
      </c>
      <c r="AC5292">
        <v>8</v>
      </c>
      <c r="AD5292" s="5">
        <v>4.8882518834570048</v>
      </c>
      <c r="AE5292" s="5">
        <v>2.2138865878159675</v>
      </c>
      <c r="AF5292">
        <v>1</v>
      </c>
    </row>
    <row r="5293" spans="27:32" x14ac:dyDescent="0.3">
      <c r="AA5293" s="3">
        <v>33816.92</v>
      </c>
      <c r="AB5293">
        <v>1E-4</v>
      </c>
      <c r="AC5293">
        <v>7</v>
      </c>
      <c r="AD5293" s="5">
        <v>5.0701045014903077</v>
      </c>
      <c r="AE5293" s="5">
        <v>2.0850804638242031</v>
      </c>
      <c r="AF5293">
        <v>1</v>
      </c>
    </row>
    <row r="5294" spans="27:32" x14ac:dyDescent="0.3">
      <c r="AA5294" s="3">
        <v>-7531.14</v>
      </c>
      <c r="AB5294">
        <v>1E-4</v>
      </c>
      <c r="AC5294">
        <v>9</v>
      </c>
      <c r="AD5294" s="5">
        <v>4.9860392424915361</v>
      </c>
      <c r="AE5294" s="5">
        <v>2.2838963927867528</v>
      </c>
      <c r="AF5294">
        <v>1</v>
      </c>
    </row>
    <row r="5295" spans="27:32" x14ac:dyDescent="0.3">
      <c r="AA5295" s="3">
        <v>23022.06</v>
      </c>
      <c r="AB5295">
        <v>1E-4</v>
      </c>
      <c r="AC5295">
        <v>8</v>
      </c>
      <c r="AD5295" s="5">
        <v>4.980922581935201</v>
      </c>
      <c r="AE5295" s="5">
        <v>2.131821345273321</v>
      </c>
      <c r="AF5295">
        <v>1</v>
      </c>
    </row>
    <row r="5296" spans="27:32" x14ac:dyDescent="0.3">
      <c r="AA5296" s="3">
        <v>23311.200000000001</v>
      </c>
      <c r="AB5296">
        <v>1E-4</v>
      </c>
      <c r="AC5296">
        <v>8</v>
      </c>
      <c r="AD5296" s="5">
        <v>4.9770254575748645</v>
      </c>
      <c r="AE5296" s="5">
        <v>2.1207692588299754</v>
      </c>
      <c r="AF5296">
        <v>1</v>
      </c>
    </row>
    <row r="5297" spans="27:32" x14ac:dyDescent="0.3">
      <c r="AA5297" s="3">
        <v>18437.14</v>
      </c>
      <c r="AB5297">
        <v>1E-4</v>
      </c>
      <c r="AC5297">
        <v>8</v>
      </c>
      <c r="AD5297" s="5">
        <v>4.8047047617130607</v>
      </c>
      <c r="AE5297" s="5">
        <v>2.1238567253368421</v>
      </c>
      <c r="AF5297">
        <v>1</v>
      </c>
    </row>
    <row r="5298" spans="27:32" x14ac:dyDescent="0.3">
      <c r="AA5298" s="3">
        <v>6676.11</v>
      </c>
      <c r="AB5298">
        <v>1E-4</v>
      </c>
      <c r="AC5298">
        <v>8</v>
      </c>
      <c r="AD5298" s="5">
        <v>4.9682613631729735</v>
      </c>
      <c r="AE5298" s="5">
        <v>2.1840967594684941</v>
      </c>
      <c r="AF5298">
        <v>1</v>
      </c>
    </row>
    <row r="5299" spans="27:32" x14ac:dyDescent="0.3">
      <c r="AA5299" s="3">
        <v>52706.99</v>
      </c>
      <c r="AB5299">
        <v>1E-4</v>
      </c>
      <c r="AC5299">
        <v>6</v>
      </c>
      <c r="AD5299" s="5">
        <v>4.9671212051356468</v>
      </c>
      <c r="AE5299" s="5">
        <v>2.1606539045872366</v>
      </c>
      <c r="AF5299">
        <v>1</v>
      </c>
    </row>
    <row r="5300" spans="27:32" x14ac:dyDescent="0.3">
      <c r="AA5300" s="3">
        <v>6785.21</v>
      </c>
      <c r="AB5300">
        <v>1E-4</v>
      </c>
      <c r="AC5300">
        <v>8</v>
      </c>
      <c r="AD5300" s="5">
        <v>5.0409895946970291</v>
      </c>
      <c r="AE5300" s="5">
        <v>2.1478374087549503</v>
      </c>
      <c r="AF5300">
        <v>1</v>
      </c>
    </row>
    <row r="5301" spans="27:32" x14ac:dyDescent="0.3">
      <c r="AA5301" s="3">
        <v>22785.919999999998</v>
      </c>
      <c r="AB5301">
        <v>1E-4</v>
      </c>
      <c r="AC5301">
        <v>8</v>
      </c>
      <c r="AD5301" s="5">
        <v>4.9436093582514173</v>
      </c>
      <c r="AE5301" s="5">
        <v>2.1749136286598931</v>
      </c>
      <c r="AF5301">
        <v>1</v>
      </c>
    </row>
    <row r="5302" spans="27:32" x14ac:dyDescent="0.3">
      <c r="AA5302" s="3">
        <v>22689.759999999998</v>
      </c>
      <c r="AB5302">
        <v>1E-4</v>
      </c>
      <c r="AC5302">
        <v>8</v>
      </c>
      <c r="AD5302" s="5">
        <v>5.1161655259634866</v>
      </c>
      <c r="AE5302" s="5">
        <v>2.1693423646275791</v>
      </c>
      <c r="AF5302">
        <v>1</v>
      </c>
    </row>
    <row r="5303" spans="27:32" x14ac:dyDescent="0.3">
      <c r="AA5303" s="3">
        <v>37209.19</v>
      </c>
      <c r="AB5303">
        <v>1E-4</v>
      </c>
      <c r="AC5303">
        <v>7</v>
      </c>
      <c r="AD5303" s="5">
        <v>4.9913230568197005</v>
      </c>
      <c r="AE5303" s="5">
        <v>2.1926189801176412</v>
      </c>
      <c r="AF5303">
        <v>1</v>
      </c>
    </row>
    <row r="5304" spans="27:32" x14ac:dyDescent="0.3">
      <c r="AA5304" s="3">
        <v>10236.07</v>
      </c>
      <c r="AB5304">
        <v>1E-4</v>
      </c>
      <c r="AC5304">
        <v>8</v>
      </c>
      <c r="AD5304" s="5">
        <v>4.9663387603808307</v>
      </c>
      <c r="AE5304" s="5">
        <v>2.1403474295353271</v>
      </c>
      <c r="AF5304">
        <v>1</v>
      </c>
    </row>
    <row r="5305" spans="27:32" x14ac:dyDescent="0.3">
      <c r="AA5305" s="3">
        <v>22278.76</v>
      </c>
      <c r="AB5305">
        <v>1E-4</v>
      </c>
      <c r="AC5305">
        <v>8</v>
      </c>
      <c r="AD5305" s="5">
        <v>5.0514033139579375</v>
      </c>
      <c r="AE5305" s="5">
        <v>2.1760691754719095</v>
      </c>
      <c r="AF5305">
        <v>1</v>
      </c>
    </row>
    <row r="5306" spans="27:32" x14ac:dyDescent="0.3">
      <c r="AA5306" s="3">
        <v>40284.120000000003</v>
      </c>
      <c r="AB5306">
        <v>1E-4</v>
      </c>
      <c r="AC5306">
        <v>7</v>
      </c>
      <c r="AD5306" s="5">
        <v>5.0038475549045103</v>
      </c>
      <c r="AE5306" s="5">
        <v>2.2333703240048539</v>
      </c>
      <c r="AF5306">
        <v>1</v>
      </c>
    </row>
    <row r="5307" spans="27:32" x14ac:dyDescent="0.3">
      <c r="AA5307" s="3">
        <v>3399.32</v>
      </c>
      <c r="AB5307">
        <v>1E-4</v>
      </c>
      <c r="AC5307">
        <v>8</v>
      </c>
      <c r="AD5307" s="5">
        <v>5.1164916376309515</v>
      </c>
      <c r="AE5307" s="5">
        <v>2.2732855692290896</v>
      </c>
      <c r="AF5307">
        <v>1</v>
      </c>
    </row>
    <row r="5308" spans="27:32" x14ac:dyDescent="0.3">
      <c r="AA5308" s="3">
        <v>14051.72</v>
      </c>
      <c r="AB5308">
        <v>1E-4</v>
      </c>
      <c r="AC5308">
        <v>8</v>
      </c>
      <c r="AD5308" s="5">
        <v>4.925217897688972</v>
      </c>
      <c r="AE5308" s="5">
        <v>2.2237904042710168</v>
      </c>
      <c r="AF5308">
        <v>1</v>
      </c>
    </row>
    <row r="5309" spans="27:32" x14ac:dyDescent="0.3">
      <c r="AA5309" s="3">
        <v>36486.81</v>
      </c>
      <c r="AB5309">
        <v>1E-4</v>
      </c>
      <c r="AC5309">
        <v>7</v>
      </c>
      <c r="AD5309" s="5">
        <v>5.0041687468862976</v>
      </c>
      <c r="AE5309" s="5">
        <v>2.1929391833721152</v>
      </c>
      <c r="AF5309">
        <v>1</v>
      </c>
    </row>
    <row r="5310" spans="27:32" x14ac:dyDescent="0.3">
      <c r="AA5310" s="3">
        <v>34486.75</v>
      </c>
      <c r="AB5310">
        <v>1E-4</v>
      </c>
      <c r="AC5310">
        <v>7</v>
      </c>
      <c r="AD5310" s="5">
        <v>5.1416339615090871</v>
      </c>
      <c r="AE5310" s="5">
        <v>2.1779966817397773</v>
      </c>
      <c r="AF5310">
        <v>1</v>
      </c>
    </row>
    <row r="5311" spans="27:32" x14ac:dyDescent="0.3">
      <c r="AA5311" s="3">
        <v>4428.03</v>
      </c>
      <c r="AB5311">
        <v>1E-4</v>
      </c>
      <c r="AC5311">
        <v>8</v>
      </c>
      <c r="AD5311" s="5">
        <v>4.9565886363479486</v>
      </c>
      <c r="AE5311" s="5">
        <v>2.218211907097114</v>
      </c>
      <c r="AF5311">
        <v>1</v>
      </c>
    </row>
    <row r="5312" spans="27:32" x14ac:dyDescent="0.3">
      <c r="AA5312" s="3">
        <v>26880.41</v>
      </c>
      <c r="AB5312">
        <v>1E-4</v>
      </c>
      <c r="AC5312">
        <v>7</v>
      </c>
      <c r="AD5312" s="5">
        <v>5.0476982373434236</v>
      </c>
      <c r="AE5312" s="5">
        <v>2.1404756414815087</v>
      </c>
      <c r="AF5312">
        <v>1</v>
      </c>
    </row>
    <row r="5313" spans="27:32" x14ac:dyDescent="0.3">
      <c r="AA5313" s="3">
        <v>6292.81</v>
      </c>
      <c r="AB5313">
        <v>1E-4</v>
      </c>
      <c r="AC5313">
        <v>8</v>
      </c>
      <c r="AD5313" s="5">
        <v>4.9118812737274977</v>
      </c>
      <c r="AE5313" s="5">
        <v>2.2512118107252235</v>
      </c>
      <c r="AF5313">
        <v>1</v>
      </c>
    </row>
    <row r="5314" spans="27:32" x14ac:dyDescent="0.3">
      <c r="AA5314" s="3">
        <v>44651.45</v>
      </c>
      <c r="AB5314">
        <v>1E-4</v>
      </c>
      <c r="AC5314">
        <v>7</v>
      </c>
      <c r="AD5314" s="5">
        <v>5.0795582358658242</v>
      </c>
      <c r="AE5314" s="5">
        <v>2.1124140546767474</v>
      </c>
      <c r="AF5314">
        <v>1</v>
      </c>
    </row>
    <row r="5315" spans="27:32" x14ac:dyDescent="0.3">
      <c r="AA5315" s="3">
        <v>58092.05</v>
      </c>
      <c r="AB5315">
        <v>1E-4</v>
      </c>
      <c r="AC5315">
        <v>6</v>
      </c>
      <c r="AD5315" s="5">
        <v>5.0287066780265937</v>
      </c>
      <c r="AE5315" s="5">
        <v>2.2276528310048569</v>
      </c>
      <c r="AF5315">
        <v>1</v>
      </c>
    </row>
    <row r="5316" spans="27:32" x14ac:dyDescent="0.3">
      <c r="AA5316" s="3">
        <v>34123.410000000003</v>
      </c>
      <c r="AB5316">
        <v>1E-4</v>
      </c>
      <c r="AC5316">
        <v>7</v>
      </c>
      <c r="AD5316" s="5">
        <v>5.1817483753811411</v>
      </c>
      <c r="AE5316" s="5">
        <v>2.2172845462178685</v>
      </c>
      <c r="AF5316">
        <v>1</v>
      </c>
    </row>
    <row r="5317" spans="27:32" x14ac:dyDescent="0.3">
      <c r="AA5317" s="3">
        <v>29929.97</v>
      </c>
      <c r="AB5317">
        <v>1E-4</v>
      </c>
      <c r="AC5317">
        <v>8</v>
      </c>
      <c r="AD5317" s="5">
        <v>4.995508778360958</v>
      </c>
      <c r="AE5317" s="5">
        <v>2.2107669019997793</v>
      </c>
      <c r="AF5317">
        <v>1</v>
      </c>
    </row>
    <row r="5318" spans="27:32" x14ac:dyDescent="0.3">
      <c r="AA5318" s="3">
        <v>-1762.98</v>
      </c>
      <c r="AB5318">
        <v>1E-4</v>
      </c>
      <c r="AC5318">
        <v>9</v>
      </c>
      <c r="AD5318" s="5">
        <v>4.8185489533489934</v>
      </c>
      <c r="AE5318" s="5">
        <v>2.1888769376975157</v>
      </c>
      <c r="AF5318">
        <v>1</v>
      </c>
    </row>
    <row r="5319" spans="27:32" x14ac:dyDescent="0.3">
      <c r="AA5319" s="3">
        <v>19048.37</v>
      </c>
      <c r="AB5319">
        <v>1E-4</v>
      </c>
      <c r="AC5319">
        <v>8</v>
      </c>
      <c r="AD5319" s="5">
        <v>5.0174633078748707</v>
      </c>
      <c r="AE5319" s="5">
        <v>2.1233624368041473</v>
      </c>
      <c r="AF5319">
        <v>1</v>
      </c>
    </row>
    <row r="5320" spans="27:32" x14ac:dyDescent="0.3">
      <c r="AA5320" s="3">
        <v>5821.95</v>
      </c>
      <c r="AB5320">
        <v>1E-4</v>
      </c>
      <c r="AC5320">
        <v>8</v>
      </c>
      <c r="AD5320" s="5">
        <v>4.9713236262484282</v>
      </c>
      <c r="AE5320" s="5">
        <v>2.1525759419928163</v>
      </c>
      <c r="AF5320">
        <v>1</v>
      </c>
    </row>
    <row r="5321" spans="27:32" x14ac:dyDescent="0.3">
      <c r="AA5321" s="3">
        <v>11275.81</v>
      </c>
      <c r="AB5321">
        <v>1E-4</v>
      </c>
      <c r="AC5321">
        <v>8</v>
      </c>
      <c r="AD5321" s="5">
        <v>4.9783091925229073</v>
      </c>
      <c r="AE5321" s="5">
        <v>2.1612110670601767</v>
      </c>
      <c r="AF5321">
        <v>1</v>
      </c>
    </row>
    <row r="5322" spans="27:32" x14ac:dyDescent="0.3">
      <c r="AA5322" s="3">
        <v>-6892.99</v>
      </c>
      <c r="AB5322">
        <v>1E-4</v>
      </c>
      <c r="AC5322">
        <v>9</v>
      </c>
      <c r="AD5322" s="5">
        <v>5.0267932596194838</v>
      </c>
      <c r="AE5322" s="5">
        <v>2.3037378639632267</v>
      </c>
      <c r="AF5322">
        <v>1</v>
      </c>
    </row>
    <row r="5323" spans="27:32" x14ac:dyDescent="0.3">
      <c r="AA5323" s="3">
        <v>10439.99</v>
      </c>
      <c r="AB5323">
        <v>1E-4</v>
      </c>
      <c r="AC5323">
        <v>8</v>
      </c>
      <c r="AD5323" s="5">
        <v>5.0379061105716589</v>
      </c>
      <c r="AE5323" s="5">
        <v>2.171999693209421</v>
      </c>
      <c r="AF5323">
        <v>1</v>
      </c>
    </row>
    <row r="5324" spans="27:32" x14ac:dyDescent="0.3">
      <c r="AA5324" s="3">
        <v>15895.31</v>
      </c>
      <c r="AB5324">
        <v>1E-4</v>
      </c>
      <c r="AC5324">
        <v>8</v>
      </c>
      <c r="AD5324" s="5">
        <v>4.9815492635326732</v>
      </c>
      <c r="AE5324" s="5">
        <v>2.229592230482206</v>
      </c>
      <c r="AF5324">
        <v>1</v>
      </c>
    </row>
    <row r="5325" spans="27:32" x14ac:dyDescent="0.3">
      <c r="AA5325" s="3">
        <v>-4937.2</v>
      </c>
      <c r="AB5325">
        <v>1E-4</v>
      </c>
      <c r="AC5325">
        <v>9</v>
      </c>
      <c r="AD5325" s="5">
        <v>4.9895453329541164</v>
      </c>
      <c r="AE5325" s="5">
        <v>2.1887438932836636</v>
      </c>
      <c r="AF5325">
        <v>1</v>
      </c>
    </row>
    <row r="5326" spans="27:32" x14ac:dyDescent="0.3">
      <c r="AA5326" s="3">
        <v>24117.62</v>
      </c>
      <c r="AB5326">
        <v>1E-4</v>
      </c>
      <c r="AC5326">
        <v>8</v>
      </c>
      <c r="AD5326" s="5">
        <v>4.959060908817384</v>
      </c>
      <c r="AE5326" s="5">
        <v>2.2276731249272039</v>
      </c>
      <c r="AF5326">
        <v>1</v>
      </c>
    </row>
    <row r="5327" spans="27:32" x14ac:dyDescent="0.3">
      <c r="AA5327" s="3">
        <v>40101.61</v>
      </c>
      <c r="AB5327">
        <v>1E-4</v>
      </c>
      <c r="AC5327">
        <v>7</v>
      </c>
      <c r="AD5327" s="5">
        <v>5.036539844988285</v>
      </c>
      <c r="AE5327" s="5">
        <v>2.2308542638855995</v>
      </c>
      <c r="AF5327">
        <v>1</v>
      </c>
    </row>
    <row r="5328" spans="27:32" x14ac:dyDescent="0.3">
      <c r="AA5328" s="3">
        <v>11032.93</v>
      </c>
      <c r="AB5328">
        <v>1E-4</v>
      </c>
      <c r="AC5328">
        <v>8</v>
      </c>
      <c r="AD5328" s="5">
        <v>4.8906713837436282</v>
      </c>
      <c r="AE5328" s="5">
        <v>2.212226881153935</v>
      </c>
      <c r="AF5328">
        <v>1</v>
      </c>
    </row>
    <row r="5329" spans="27:32" x14ac:dyDescent="0.3">
      <c r="AA5329" s="3">
        <v>18639.72</v>
      </c>
      <c r="AB5329">
        <v>1E-4</v>
      </c>
      <c r="AC5329">
        <v>8</v>
      </c>
      <c r="AD5329" s="5">
        <v>4.9287362534129322</v>
      </c>
      <c r="AE5329" s="5">
        <v>2.2168555840905859</v>
      </c>
      <c r="AF5329">
        <v>1</v>
      </c>
    </row>
    <row r="5330" spans="27:32" x14ac:dyDescent="0.3">
      <c r="AA5330" s="3">
        <v>126.12</v>
      </c>
      <c r="AB5330">
        <v>1E-4</v>
      </c>
      <c r="AC5330">
        <v>8</v>
      </c>
      <c r="AD5330" s="5">
        <v>5.0220228220609577</v>
      </c>
      <c r="AE5330" s="5">
        <v>2.1723476613522927</v>
      </c>
      <c r="AF5330">
        <v>1</v>
      </c>
    </row>
    <row r="5331" spans="27:32" x14ac:dyDescent="0.3">
      <c r="AA5331" s="3">
        <v>9006.98</v>
      </c>
      <c r="AB5331">
        <v>1E-4</v>
      </c>
      <c r="AC5331">
        <v>8</v>
      </c>
      <c r="AD5331" s="5">
        <v>4.9878758146298638</v>
      </c>
      <c r="AE5331" s="5">
        <v>2.2249860104503774</v>
      </c>
      <c r="AF5331">
        <v>1</v>
      </c>
    </row>
    <row r="5332" spans="27:32" x14ac:dyDescent="0.3">
      <c r="AA5332" s="3">
        <v>37774.75</v>
      </c>
      <c r="AB5332">
        <v>1E-4</v>
      </c>
      <c r="AC5332">
        <v>7</v>
      </c>
      <c r="AD5332" s="5">
        <v>5.0417501466004966</v>
      </c>
      <c r="AE5332" s="5">
        <v>2.1379103415220904</v>
      </c>
      <c r="AF5332">
        <v>1</v>
      </c>
    </row>
    <row r="5333" spans="27:32" x14ac:dyDescent="0.3">
      <c r="AA5333" s="3">
        <v>25521.34</v>
      </c>
      <c r="AB5333">
        <v>1E-4</v>
      </c>
      <c r="AC5333">
        <v>8</v>
      </c>
      <c r="AD5333" s="5">
        <v>5.0412725725501089</v>
      </c>
      <c r="AE5333" s="5">
        <v>2.228867944143059</v>
      </c>
      <c r="AF5333">
        <v>1</v>
      </c>
    </row>
    <row r="5334" spans="27:32" x14ac:dyDescent="0.3">
      <c r="AA5334" s="3">
        <v>256.19</v>
      </c>
      <c r="AB5334">
        <v>1E-4</v>
      </c>
      <c r="AC5334">
        <v>8</v>
      </c>
      <c r="AD5334" s="5">
        <v>5.0573734467069835</v>
      </c>
      <c r="AE5334" s="5">
        <v>2.1848457184924013</v>
      </c>
      <c r="AF5334">
        <v>1</v>
      </c>
    </row>
    <row r="5335" spans="27:32" x14ac:dyDescent="0.3">
      <c r="AA5335" s="3">
        <v>-86.68</v>
      </c>
      <c r="AB5335">
        <v>1E-4</v>
      </c>
      <c r="AC5335">
        <v>9</v>
      </c>
      <c r="AD5335" s="5">
        <v>4.9772967534477894</v>
      </c>
      <c r="AE5335" s="5">
        <v>2.2629280413136148</v>
      </c>
      <c r="AF5335">
        <v>1</v>
      </c>
    </row>
    <row r="5336" spans="27:32" x14ac:dyDescent="0.3">
      <c r="AA5336" s="3">
        <v>484.5</v>
      </c>
      <c r="AB5336">
        <v>1E-4</v>
      </c>
      <c r="AC5336">
        <v>8</v>
      </c>
      <c r="AD5336" s="5">
        <v>4.8489336908255485</v>
      </c>
      <c r="AE5336" s="5">
        <v>2.1380222143503018</v>
      </c>
      <c r="AF5336">
        <v>1</v>
      </c>
    </row>
    <row r="5337" spans="27:32" x14ac:dyDescent="0.3">
      <c r="AA5337" s="3">
        <v>-3757.77</v>
      </c>
      <c r="AB5337">
        <v>1E-4</v>
      </c>
      <c r="AC5337">
        <v>9</v>
      </c>
      <c r="AD5337" s="5">
        <v>4.9688842374371651</v>
      </c>
      <c r="AE5337" s="5">
        <v>2.2785485823001124</v>
      </c>
      <c r="AF5337">
        <v>1</v>
      </c>
    </row>
    <row r="5338" spans="27:32" x14ac:dyDescent="0.3">
      <c r="AA5338" s="3">
        <v>-14069.12</v>
      </c>
      <c r="AB5338">
        <v>1E-4</v>
      </c>
      <c r="AC5338">
        <v>9</v>
      </c>
      <c r="AD5338" s="5">
        <v>4.9061993838118623</v>
      </c>
      <c r="AE5338" s="5">
        <v>2.1928633161981472</v>
      </c>
      <c r="AF5338">
        <v>1</v>
      </c>
    </row>
    <row r="5339" spans="27:32" x14ac:dyDescent="0.3">
      <c r="AA5339" s="3">
        <v>6446.78</v>
      </c>
      <c r="AB5339">
        <v>1E-4</v>
      </c>
      <c r="AC5339">
        <v>8</v>
      </c>
      <c r="AD5339" s="5">
        <v>5.1189158588256891</v>
      </c>
      <c r="AE5339" s="5">
        <v>2.1688257136992797</v>
      </c>
      <c r="AF5339">
        <v>1</v>
      </c>
    </row>
    <row r="5340" spans="27:32" x14ac:dyDescent="0.3">
      <c r="AA5340" s="3">
        <v>35194.01</v>
      </c>
      <c r="AB5340">
        <v>1E-4</v>
      </c>
      <c r="AC5340">
        <v>7</v>
      </c>
      <c r="AD5340" s="5">
        <v>5.0377778872384278</v>
      </c>
      <c r="AE5340" s="5">
        <v>2.2226288607434856</v>
      </c>
      <c r="AF5340">
        <v>1</v>
      </c>
    </row>
    <row r="5341" spans="27:32" x14ac:dyDescent="0.3">
      <c r="AA5341" s="3">
        <v>28834.49</v>
      </c>
      <c r="AB5341">
        <v>1E-4</v>
      </c>
      <c r="AC5341">
        <v>8</v>
      </c>
      <c r="AD5341" s="5">
        <v>5.1341928617093666</v>
      </c>
      <c r="AE5341" s="5">
        <v>2.2551966582689271</v>
      </c>
      <c r="AF5341">
        <v>1</v>
      </c>
    </row>
    <row r="5342" spans="27:32" x14ac:dyDescent="0.3">
      <c r="AA5342" s="3">
        <v>11481.94</v>
      </c>
      <c r="AB5342">
        <v>1E-4</v>
      </c>
      <c r="AC5342">
        <v>8</v>
      </c>
      <c r="AD5342" s="5">
        <v>4.9482450892553089</v>
      </c>
      <c r="AE5342" s="5">
        <v>2.1130523253516484</v>
      </c>
      <c r="AF5342">
        <v>1</v>
      </c>
    </row>
    <row r="5343" spans="27:32" x14ac:dyDescent="0.3">
      <c r="AA5343" s="3">
        <v>26024.99</v>
      </c>
      <c r="AB5343">
        <v>1E-4</v>
      </c>
      <c r="AC5343">
        <v>8</v>
      </c>
      <c r="AD5343" s="5">
        <v>5.1295201435588043</v>
      </c>
      <c r="AE5343" s="5">
        <v>2.1813238400332127</v>
      </c>
      <c r="AF5343">
        <v>1</v>
      </c>
    </row>
    <row r="5344" spans="27:32" x14ac:dyDescent="0.3">
      <c r="AA5344" s="3">
        <v>26014.59</v>
      </c>
      <c r="AB5344">
        <v>1E-4</v>
      </c>
      <c r="AC5344">
        <v>8</v>
      </c>
      <c r="AD5344" s="5">
        <v>5.0825487838251968</v>
      </c>
      <c r="AE5344" s="5">
        <v>2.2163302826594711</v>
      </c>
      <c r="AF5344">
        <v>1</v>
      </c>
    </row>
    <row r="5345" spans="27:32" x14ac:dyDescent="0.3">
      <c r="AA5345" s="3">
        <v>28310.28</v>
      </c>
      <c r="AB5345">
        <v>1E-4</v>
      </c>
      <c r="AC5345">
        <v>7</v>
      </c>
      <c r="AD5345" s="5">
        <v>4.8337542221971068</v>
      </c>
      <c r="AE5345" s="5">
        <v>2.1866324191495856</v>
      </c>
      <c r="AF5345">
        <v>1</v>
      </c>
    </row>
    <row r="5346" spans="27:32" x14ac:dyDescent="0.3">
      <c r="AA5346" s="3">
        <v>40566.82</v>
      </c>
      <c r="AB5346">
        <v>1E-4</v>
      </c>
      <c r="AC5346">
        <v>7</v>
      </c>
      <c r="AD5346" s="5">
        <v>5.116443906690046</v>
      </c>
      <c r="AE5346" s="5">
        <v>2.2399676286299361</v>
      </c>
      <c r="AF5346">
        <v>1</v>
      </c>
    </row>
    <row r="5347" spans="27:32" x14ac:dyDescent="0.3">
      <c r="AA5347" s="3">
        <v>25475.88</v>
      </c>
      <c r="AB5347">
        <v>1E-4</v>
      </c>
      <c r="AC5347">
        <v>8</v>
      </c>
      <c r="AD5347" s="5">
        <v>5.0655823878948851</v>
      </c>
      <c r="AE5347" s="5">
        <v>2.1633107616682143</v>
      </c>
      <c r="AF5347">
        <v>1</v>
      </c>
    </row>
    <row r="5348" spans="27:32" x14ac:dyDescent="0.3">
      <c r="AA5348" s="3">
        <v>15562.69</v>
      </c>
      <c r="AB5348">
        <v>1E-4</v>
      </c>
      <c r="AC5348">
        <v>8</v>
      </c>
      <c r="AD5348" s="5">
        <v>5.0026104133233122</v>
      </c>
      <c r="AE5348" s="5">
        <v>2.2869054743195312</v>
      </c>
      <c r="AF5348">
        <v>1</v>
      </c>
    </row>
    <row r="5349" spans="27:32" x14ac:dyDescent="0.3">
      <c r="AA5349" s="3">
        <v>18734.03</v>
      </c>
      <c r="AB5349">
        <v>1E-4</v>
      </c>
      <c r="AC5349">
        <v>8</v>
      </c>
      <c r="AD5349" s="5">
        <v>5.0481570143392798</v>
      </c>
      <c r="AE5349" s="5">
        <v>2.3730513554432591</v>
      </c>
      <c r="AF5349">
        <v>1</v>
      </c>
    </row>
    <row r="5350" spans="27:32" x14ac:dyDescent="0.3">
      <c r="AA5350" s="3">
        <v>-6496.39</v>
      </c>
      <c r="AB5350">
        <v>1E-4</v>
      </c>
      <c r="AC5350">
        <v>9</v>
      </c>
      <c r="AD5350" s="5">
        <v>4.9528519945670393</v>
      </c>
      <c r="AE5350" s="5">
        <v>2.1265535995365878</v>
      </c>
      <c r="AF5350">
        <v>1</v>
      </c>
    </row>
    <row r="5351" spans="27:32" x14ac:dyDescent="0.3">
      <c r="AA5351" s="3">
        <v>20980.82</v>
      </c>
      <c r="AB5351">
        <v>1E-4</v>
      </c>
      <c r="AC5351">
        <v>8</v>
      </c>
      <c r="AD5351" s="5">
        <v>5.1615542536978625</v>
      </c>
      <c r="AE5351" s="5">
        <v>2.2613844992125172</v>
      </c>
      <c r="AF5351">
        <v>1</v>
      </c>
    </row>
    <row r="5352" spans="27:32" x14ac:dyDescent="0.3">
      <c r="AA5352" s="3">
        <v>15745.54</v>
      </c>
      <c r="AB5352">
        <v>1E-4</v>
      </c>
      <c r="AC5352">
        <v>8</v>
      </c>
      <c r="AD5352" s="5">
        <v>4.911339109914457</v>
      </c>
      <c r="AE5352" s="5">
        <v>2.1814305357357973</v>
      </c>
      <c r="AF5352">
        <v>1</v>
      </c>
    </row>
    <row r="5353" spans="27:32" x14ac:dyDescent="0.3">
      <c r="AA5353" s="3">
        <v>45161.25</v>
      </c>
      <c r="AB5353">
        <v>1E-4</v>
      </c>
      <c r="AC5353">
        <v>7</v>
      </c>
      <c r="AD5353" s="5">
        <v>5.0646558540539353</v>
      </c>
      <c r="AE5353" s="5">
        <v>2.1708610785954381</v>
      </c>
      <c r="AF5353">
        <v>1</v>
      </c>
    </row>
    <row r="5354" spans="27:32" x14ac:dyDescent="0.3">
      <c r="AA5354" s="3">
        <v>3820.55</v>
      </c>
      <c r="AB5354">
        <v>1E-4</v>
      </c>
      <c r="AC5354">
        <v>8</v>
      </c>
      <c r="AD5354" s="5">
        <v>5.0653546671938123</v>
      </c>
      <c r="AE5354" s="5">
        <v>2.2471479246356294</v>
      </c>
      <c r="AF5354">
        <v>1</v>
      </c>
    </row>
    <row r="5355" spans="27:32" x14ac:dyDescent="0.3">
      <c r="AA5355" s="3">
        <v>11455.65</v>
      </c>
      <c r="AB5355">
        <v>1E-4</v>
      </c>
      <c r="AC5355">
        <v>8</v>
      </c>
      <c r="AD5355" s="5">
        <v>5.0565365055274345</v>
      </c>
      <c r="AE5355" s="5">
        <v>2.2128910125192305</v>
      </c>
      <c r="AF5355">
        <v>1</v>
      </c>
    </row>
    <row r="5356" spans="27:32" x14ac:dyDescent="0.3">
      <c r="AA5356" s="3">
        <v>12269.3</v>
      </c>
      <c r="AB5356">
        <v>1E-4</v>
      </c>
      <c r="AC5356">
        <v>8</v>
      </c>
      <c r="AD5356" s="5">
        <v>4.9541568875459099</v>
      </c>
      <c r="AE5356" s="5">
        <v>2.1924534562323874</v>
      </c>
      <c r="AF5356">
        <v>1</v>
      </c>
    </row>
    <row r="5357" spans="27:32" x14ac:dyDescent="0.3">
      <c r="AA5357" s="3">
        <v>-10161.83</v>
      </c>
      <c r="AB5357">
        <v>1E-4</v>
      </c>
      <c r="AC5357">
        <v>9</v>
      </c>
      <c r="AD5357" s="5">
        <v>4.8570855542311921</v>
      </c>
      <c r="AE5357" s="5">
        <v>2.2026295769012036</v>
      </c>
      <c r="AF5357">
        <v>1</v>
      </c>
    </row>
    <row r="5358" spans="27:32" x14ac:dyDescent="0.3">
      <c r="AA5358" s="3">
        <v>28444.18</v>
      </c>
      <c r="AB5358">
        <v>1E-4</v>
      </c>
      <c r="AC5358">
        <v>8</v>
      </c>
      <c r="AD5358" s="5">
        <v>4.8959041610343856</v>
      </c>
      <c r="AE5358" s="5">
        <v>2.1672497300016911</v>
      </c>
      <c r="AF5358">
        <v>1</v>
      </c>
    </row>
    <row r="5359" spans="27:32" x14ac:dyDescent="0.3">
      <c r="AA5359" s="3">
        <v>15287.13</v>
      </c>
      <c r="AB5359">
        <v>1E-4</v>
      </c>
      <c r="AC5359">
        <v>8</v>
      </c>
      <c r="AD5359" s="5">
        <v>5.0690927584619949</v>
      </c>
      <c r="AE5359" s="5">
        <v>2.2149647250062929</v>
      </c>
      <c r="AF5359">
        <v>1</v>
      </c>
    </row>
    <row r="5360" spans="27:32" x14ac:dyDescent="0.3">
      <c r="AA5360" s="3">
        <v>1145.1400000000001</v>
      </c>
      <c r="AB5360">
        <v>1E-4</v>
      </c>
      <c r="AC5360">
        <v>8</v>
      </c>
      <c r="AD5360" s="5">
        <v>4.9153228931168194</v>
      </c>
      <c r="AE5360" s="5">
        <v>2.2941189977823053</v>
      </c>
      <c r="AF5360">
        <v>1</v>
      </c>
    </row>
    <row r="5361" spans="27:32" x14ac:dyDescent="0.3">
      <c r="AA5361" s="3">
        <v>-18768.16</v>
      </c>
      <c r="AB5361">
        <v>1E-4</v>
      </c>
      <c r="AC5361">
        <v>9</v>
      </c>
      <c r="AD5361" s="5">
        <v>4.8971449661982653</v>
      </c>
      <c r="AE5361" s="5">
        <v>2.1834986734414925</v>
      </c>
      <c r="AF5361">
        <v>1</v>
      </c>
    </row>
    <row r="5362" spans="27:32" x14ac:dyDescent="0.3">
      <c r="AA5362" s="3">
        <v>34784.82</v>
      </c>
      <c r="AB5362">
        <v>1E-4</v>
      </c>
      <c r="AC5362">
        <v>7</v>
      </c>
      <c r="AD5362" s="5">
        <v>5.0764834209233882</v>
      </c>
      <c r="AE5362" s="5">
        <v>2.2301588737855407</v>
      </c>
      <c r="AF5362">
        <v>1</v>
      </c>
    </row>
    <row r="5363" spans="27:32" x14ac:dyDescent="0.3">
      <c r="AA5363" s="3">
        <v>-4668.75</v>
      </c>
      <c r="AB5363">
        <v>1E-4</v>
      </c>
      <c r="AC5363">
        <v>9</v>
      </c>
      <c r="AD5363" s="5">
        <v>4.931927672616947</v>
      </c>
      <c r="AE5363" s="5">
        <v>2.1571320022843086</v>
      </c>
      <c r="AF5363">
        <v>1</v>
      </c>
    </row>
    <row r="5364" spans="27:32" x14ac:dyDescent="0.3">
      <c r="AA5364" s="3">
        <v>46590.14</v>
      </c>
      <c r="AB5364">
        <v>1E-4</v>
      </c>
      <c r="AC5364">
        <v>7</v>
      </c>
      <c r="AD5364" s="5">
        <v>5.0289752322120274</v>
      </c>
      <c r="AE5364" s="5">
        <v>2.1752061585144227</v>
      </c>
      <c r="AF5364">
        <v>1</v>
      </c>
    </row>
    <row r="5365" spans="27:32" x14ac:dyDescent="0.3">
      <c r="AA5365" s="3">
        <v>7458.79</v>
      </c>
      <c r="AB5365">
        <v>1E-4</v>
      </c>
      <c r="AC5365">
        <v>8</v>
      </c>
      <c r="AD5365" s="5">
        <v>5.0043524972449633</v>
      </c>
      <c r="AE5365" s="5">
        <v>2.1738177933961786</v>
      </c>
      <c r="AF5365">
        <v>1</v>
      </c>
    </row>
    <row r="5366" spans="27:32" x14ac:dyDescent="0.3">
      <c r="AA5366" s="3">
        <v>887.04</v>
      </c>
      <c r="AB5366">
        <v>1E-4</v>
      </c>
      <c r="AC5366">
        <v>8</v>
      </c>
      <c r="AD5366" s="5">
        <v>5.0429357610497334</v>
      </c>
      <c r="AE5366" s="5">
        <v>2.2192249475547499</v>
      </c>
      <c r="AF5366">
        <v>1</v>
      </c>
    </row>
    <row r="5367" spans="27:32" x14ac:dyDescent="0.3">
      <c r="AA5367" s="3">
        <v>10526.89</v>
      </c>
      <c r="AB5367">
        <v>1E-4</v>
      </c>
      <c r="AC5367">
        <v>8</v>
      </c>
      <c r="AD5367" s="5">
        <v>4.9633264591582815</v>
      </c>
      <c r="AE5367" s="5">
        <v>2.1995279779266368</v>
      </c>
      <c r="AF5367">
        <v>1</v>
      </c>
    </row>
    <row r="5368" spans="27:32" x14ac:dyDescent="0.3">
      <c r="AA5368" s="3">
        <v>16567.16</v>
      </c>
      <c r="AB5368">
        <v>1E-4</v>
      </c>
      <c r="AC5368">
        <v>8</v>
      </c>
      <c r="AD5368" s="5">
        <v>5.0130979241291724</v>
      </c>
      <c r="AE5368" s="5">
        <v>2.1539074966474905</v>
      </c>
      <c r="AF5368">
        <v>1</v>
      </c>
    </row>
    <row r="5369" spans="27:32" x14ac:dyDescent="0.3">
      <c r="AA5369" s="3">
        <v>20513</v>
      </c>
      <c r="AB5369">
        <v>1E-4</v>
      </c>
      <c r="AC5369">
        <v>8</v>
      </c>
      <c r="AD5369" s="5">
        <v>4.9517278698097931</v>
      </c>
      <c r="AE5369" s="5">
        <v>2.1630993820197295</v>
      </c>
      <c r="AF5369">
        <v>1</v>
      </c>
    </row>
    <row r="5370" spans="27:32" x14ac:dyDescent="0.3">
      <c r="AA5370" s="3">
        <v>2697.75</v>
      </c>
      <c r="AB5370">
        <v>1E-4</v>
      </c>
      <c r="AC5370">
        <v>8</v>
      </c>
      <c r="AD5370" s="5">
        <v>4.9613087724665981</v>
      </c>
      <c r="AE5370" s="5">
        <v>2.200835300417384</v>
      </c>
      <c r="AF5370">
        <v>1</v>
      </c>
    </row>
    <row r="5371" spans="27:32" x14ac:dyDescent="0.3">
      <c r="AA5371" s="3">
        <v>23217.05</v>
      </c>
      <c r="AB5371">
        <v>1E-4</v>
      </c>
      <c r="AC5371">
        <v>8</v>
      </c>
      <c r="AD5371" s="5">
        <v>4.9475116465757738</v>
      </c>
      <c r="AE5371" s="5">
        <v>2.1709816573879728</v>
      </c>
      <c r="AF5371">
        <v>1</v>
      </c>
    </row>
    <row r="5372" spans="27:32" x14ac:dyDescent="0.3">
      <c r="AA5372" s="3">
        <v>20240.259999999998</v>
      </c>
      <c r="AB5372">
        <v>1E-4</v>
      </c>
      <c r="AC5372">
        <v>8</v>
      </c>
      <c r="AD5372" s="5">
        <v>5.0301545004619124</v>
      </c>
      <c r="AE5372" s="5">
        <v>2.2001436400339278</v>
      </c>
      <c r="AF5372">
        <v>1</v>
      </c>
    </row>
    <row r="5373" spans="27:32" x14ac:dyDescent="0.3">
      <c r="AA5373" s="3">
        <v>3927.29</v>
      </c>
      <c r="AB5373">
        <v>1E-4</v>
      </c>
      <c r="AC5373">
        <v>8</v>
      </c>
      <c r="AD5373" s="5">
        <v>5.0546133323293088</v>
      </c>
      <c r="AE5373" s="5">
        <v>2.2137025354166404</v>
      </c>
      <c r="AF5373">
        <v>1</v>
      </c>
    </row>
    <row r="5374" spans="27:32" x14ac:dyDescent="0.3">
      <c r="AA5374" s="3">
        <v>63067.21</v>
      </c>
      <c r="AB5374">
        <v>1E-4</v>
      </c>
      <c r="AC5374">
        <v>6</v>
      </c>
      <c r="AD5374" s="5">
        <v>5.1303929198179663</v>
      </c>
      <c r="AE5374" s="5">
        <v>2.0918973726186287</v>
      </c>
      <c r="AF5374">
        <v>1</v>
      </c>
    </row>
    <row r="5375" spans="27:32" x14ac:dyDescent="0.3">
      <c r="AA5375" s="3">
        <v>25274.69</v>
      </c>
      <c r="AB5375">
        <v>1E-4</v>
      </c>
      <c r="AC5375">
        <v>8</v>
      </c>
      <c r="AD5375" s="5">
        <v>4.926533998864703</v>
      </c>
      <c r="AE5375" s="5">
        <v>2.162424211115781</v>
      </c>
      <c r="AF5375">
        <v>1</v>
      </c>
    </row>
    <row r="5376" spans="27:32" x14ac:dyDescent="0.3">
      <c r="AA5376" s="3">
        <v>11998.55</v>
      </c>
      <c r="AB5376">
        <v>1E-4</v>
      </c>
      <c r="AC5376">
        <v>8</v>
      </c>
      <c r="AD5376" s="5">
        <v>4.9757348944899293</v>
      </c>
      <c r="AE5376" s="5">
        <v>2.2813318192746381</v>
      </c>
      <c r="AF5376">
        <v>1</v>
      </c>
    </row>
    <row r="5377" spans="27:32" x14ac:dyDescent="0.3">
      <c r="AA5377" s="3">
        <v>28362.51</v>
      </c>
      <c r="AB5377">
        <v>1E-4</v>
      </c>
      <c r="AC5377">
        <v>8</v>
      </c>
      <c r="AD5377" s="5">
        <v>5.0301650414633841</v>
      </c>
      <c r="AE5377" s="5">
        <v>2.3026702863360309</v>
      </c>
      <c r="AF5377">
        <v>1</v>
      </c>
    </row>
    <row r="5378" spans="27:32" x14ac:dyDescent="0.3">
      <c r="AA5378" s="3">
        <v>15864.41</v>
      </c>
      <c r="AB5378">
        <v>1E-4</v>
      </c>
      <c r="AC5378">
        <v>8</v>
      </c>
      <c r="AD5378" s="5">
        <v>5.113291943208119</v>
      </c>
      <c r="AE5378" s="5">
        <v>2.2302263957014761</v>
      </c>
      <c r="AF5378">
        <v>1</v>
      </c>
    </row>
    <row r="5379" spans="27:32" x14ac:dyDescent="0.3">
      <c r="AA5379" s="3">
        <v>-15439.87</v>
      </c>
      <c r="AB5379">
        <v>1E-4</v>
      </c>
      <c r="AC5379">
        <v>9</v>
      </c>
      <c r="AD5379" s="5">
        <v>4.9561104603379755</v>
      </c>
      <c r="AE5379" s="5">
        <v>2.146775832563379</v>
      </c>
      <c r="AF5379">
        <v>1</v>
      </c>
    </row>
    <row r="5380" spans="27:32" x14ac:dyDescent="0.3">
      <c r="AA5380" s="3">
        <v>1153.28</v>
      </c>
      <c r="AB5380">
        <v>1E-4</v>
      </c>
      <c r="AC5380">
        <v>8</v>
      </c>
      <c r="AD5380" s="5">
        <v>4.8985493153006825</v>
      </c>
      <c r="AE5380" s="5">
        <v>2.2073438557164033</v>
      </c>
      <c r="AF5380">
        <v>1</v>
      </c>
    </row>
    <row r="5381" spans="27:32" x14ac:dyDescent="0.3">
      <c r="AA5381" s="3">
        <v>537.41999999999996</v>
      </c>
      <c r="AB5381">
        <v>1E-4</v>
      </c>
      <c r="AC5381">
        <v>8</v>
      </c>
      <c r="AD5381" s="5">
        <v>4.9842000858885802</v>
      </c>
      <c r="AE5381" s="5">
        <v>2.190797975623338</v>
      </c>
      <c r="AF5381">
        <v>1</v>
      </c>
    </row>
    <row r="5382" spans="27:32" x14ac:dyDescent="0.3">
      <c r="AA5382" s="3">
        <v>18741.88</v>
      </c>
      <c r="AB5382">
        <v>1E-4</v>
      </c>
      <c r="AC5382">
        <v>8</v>
      </c>
      <c r="AD5382" s="5">
        <v>5.0469891460561458</v>
      </c>
      <c r="AE5382" s="5">
        <v>2.1532264563560211</v>
      </c>
      <c r="AF5382">
        <v>1</v>
      </c>
    </row>
    <row r="5383" spans="27:32" x14ac:dyDescent="0.3">
      <c r="AA5383" s="3">
        <v>29191.17</v>
      </c>
      <c r="AB5383">
        <v>1E-4</v>
      </c>
      <c r="AC5383">
        <v>8</v>
      </c>
      <c r="AD5383" s="5">
        <v>5.0670079128066492</v>
      </c>
      <c r="AE5383" s="5">
        <v>2.109555203310344</v>
      </c>
      <c r="AF5383">
        <v>1</v>
      </c>
    </row>
    <row r="5384" spans="27:32" x14ac:dyDescent="0.3">
      <c r="AA5384" s="3">
        <v>2599.61</v>
      </c>
      <c r="AB5384">
        <v>1E-4</v>
      </c>
      <c r="AC5384">
        <v>8</v>
      </c>
      <c r="AD5384" s="5">
        <v>4.9836701318145762</v>
      </c>
      <c r="AE5384" s="5">
        <v>2.2507226702518697</v>
      </c>
      <c r="AF5384">
        <v>1</v>
      </c>
    </row>
    <row r="5385" spans="27:32" x14ac:dyDescent="0.3">
      <c r="AA5385" s="3">
        <v>13196.89</v>
      </c>
      <c r="AB5385">
        <v>1E-4</v>
      </c>
      <c r="AC5385">
        <v>8</v>
      </c>
      <c r="AD5385" s="5">
        <v>4.9985813511673358</v>
      </c>
      <c r="AE5385" s="5">
        <v>2.2116848882643758</v>
      </c>
      <c r="AF5385">
        <v>1</v>
      </c>
    </row>
    <row r="5386" spans="27:32" x14ac:dyDescent="0.3">
      <c r="AA5386" s="3">
        <v>10523.25</v>
      </c>
      <c r="AB5386">
        <v>1E-4</v>
      </c>
      <c r="AC5386">
        <v>8</v>
      </c>
      <c r="AD5386" s="5">
        <v>4.9975953826079857</v>
      </c>
      <c r="AE5386" s="5">
        <v>2.1730282260563571</v>
      </c>
      <c r="AF5386">
        <v>1</v>
      </c>
    </row>
    <row r="5387" spans="27:32" x14ac:dyDescent="0.3">
      <c r="AA5387" s="3">
        <v>18650.36</v>
      </c>
      <c r="AB5387">
        <v>1E-4</v>
      </c>
      <c r="AC5387">
        <v>8</v>
      </c>
      <c r="AD5387" s="5">
        <v>5.1536115942713803</v>
      </c>
      <c r="AE5387" s="5">
        <v>2.150510722442069</v>
      </c>
      <c r="AF5387">
        <v>1</v>
      </c>
    </row>
    <row r="5388" spans="27:32" x14ac:dyDescent="0.3">
      <c r="AA5388" s="3">
        <v>43139.47</v>
      </c>
      <c r="AB5388">
        <v>1E-4</v>
      </c>
      <c r="AC5388">
        <v>7</v>
      </c>
      <c r="AD5388" s="5">
        <v>5.0606064172711616</v>
      </c>
      <c r="AE5388" s="5">
        <v>2.2342348955087976</v>
      </c>
      <c r="AF5388">
        <v>1</v>
      </c>
    </row>
    <row r="5389" spans="27:32" x14ac:dyDescent="0.3">
      <c r="AA5389" s="3">
        <v>50033.54</v>
      </c>
      <c r="AB5389">
        <v>1E-4</v>
      </c>
      <c r="AC5389">
        <v>6</v>
      </c>
      <c r="AD5389" s="5">
        <v>5.1946149497892664</v>
      </c>
      <c r="AE5389" s="5">
        <v>2.2171241127071828</v>
      </c>
      <c r="AF5389">
        <v>1</v>
      </c>
    </row>
    <row r="5390" spans="27:32" x14ac:dyDescent="0.3">
      <c r="AA5390" s="3">
        <v>-793.89</v>
      </c>
      <c r="AB5390">
        <v>1E-4</v>
      </c>
      <c r="AC5390">
        <v>9</v>
      </c>
      <c r="AD5390" s="5">
        <v>4.9907955060055524</v>
      </c>
      <c r="AE5390" s="5">
        <v>2.2066009795086305</v>
      </c>
      <c r="AF5390">
        <v>1</v>
      </c>
    </row>
    <row r="5391" spans="27:32" x14ac:dyDescent="0.3">
      <c r="AA5391" s="3">
        <v>17093.07</v>
      </c>
      <c r="AB5391">
        <v>1E-4</v>
      </c>
      <c r="AC5391">
        <v>8</v>
      </c>
      <c r="AD5391" s="5">
        <v>4.9712271392598382</v>
      </c>
      <c r="AE5391" s="5">
        <v>2.1032468991371194</v>
      </c>
      <c r="AF5391">
        <v>1</v>
      </c>
    </row>
    <row r="5392" spans="27:32" x14ac:dyDescent="0.3">
      <c r="AA5392" s="3">
        <v>52012.27</v>
      </c>
      <c r="AB5392">
        <v>1E-4</v>
      </c>
      <c r="AC5392">
        <v>6</v>
      </c>
      <c r="AD5392" s="5">
        <v>4.9925108346859517</v>
      </c>
      <c r="AE5392" s="5">
        <v>2.2047153603362903</v>
      </c>
      <c r="AF5392">
        <v>1</v>
      </c>
    </row>
    <row r="5393" spans="27:32" x14ac:dyDescent="0.3">
      <c r="AA5393" s="3">
        <v>29172.75</v>
      </c>
      <c r="AB5393">
        <v>1E-4</v>
      </c>
      <c r="AC5393">
        <v>7</v>
      </c>
      <c r="AD5393" s="5">
        <v>4.8454418005116091</v>
      </c>
      <c r="AE5393" s="5">
        <v>2.160412780691793</v>
      </c>
      <c r="AF5393">
        <v>1</v>
      </c>
    </row>
    <row r="5394" spans="27:32" x14ac:dyDescent="0.3">
      <c r="AA5394" s="3">
        <v>4631.7</v>
      </c>
      <c r="AB5394">
        <v>1E-4</v>
      </c>
      <c r="AC5394">
        <v>8</v>
      </c>
      <c r="AD5394" s="5">
        <v>4.9426129766134581</v>
      </c>
      <c r="AE5394" s="5">
        <v>2.1376096340465498</v>
      </c>
      <c r="AF5394">
        <v>1</v>
      </c>
    </row>
    <row r="5395" spans="27:32" x14ac:dyDescent="0.3">
      <c r="AA5395" s="3">
        <v>11951.9</v>
      </c>
      <c r="AB5395">
        <v>1E-4</v>
      </c>
      <c r="AC5395">
        <v>8</v>
      </c>
      <c r="AD5395" s="5">
        <v>5.0970261454851844</v>
      </c>
      <c r="AE5395" s="5">
        <v>2.2000954393752292</v>
      </c>
      <c r="AF5395">
        <v>1</v>
      </c>
    </row>
    <row r="5396" spans="27:32" x14ac:dyDescent="0.3">
      <c r="AA5396" s="3">
        <v>5634</v>
      </c>
      <c r="AB5396">
        <v>1E-4</v>
      </c>
      <c r="AC5396">
        <v>8</v>
      </c>
      <c r="AD5396" s="5">
        <v>5.0101908473249273</v>
      </c>
      <c r="AE5396" s="5">
        <v>2.2262051446565496</v>
      </c>
      <c r="AF5396">
        <v>1</v>
      </c>
    </row>
    <row r="5397" spans="27:32" x14ac:dyDescent="0.3">
      <c r="AA5397" s="3">
        <v>30398.98</v>
      </c>
      <c r="AB5397">
        <v>1E-4</v>
      </c>
      <c r="AC5397">
        <v>7</v>
      </c>
      <c r="AD5397" s="5">
        <v>4.8892032917515857</v>
      </c>
      <c r="AE5397" s="5">
        <v>2.0964334406478984</v>
      </c>
      <c r="AF5397">
        <v>1</v>
      </c>
    </row>
    <row r="5398" spans="27:32" x14ac:dyDescent="0.3">
      <c r="AA5398" s="3">
        <v>12289.68</v>
      </c>
      <c r="AB5398">
        <v>1E-4</v>
      </c>
      <c r="AC5398">
        <v>8</v>
      </c>
      <c r="AD5398" s="5">
        <v>5.1180308609248284</v>
      </c>
      <c r="AE5398" s="5">
        <v>2.1934218834899055</v>
      </c>
      <c r="AF5398">
        <v>1</v>
      </c>
    </row>
    <row r="5399" spans="27:32" x14ac:dyDescent="0.3">
      <c r="AA5399" s="3">
        <v>-23039.349942658519</v>
      </c>
      <c r="AB5399">
        <v>1E-4</v>
      </c>
      <c r="AC5399">
        <v>9</v>
      </c>
      <c r="AD5399" s="5">
        <v>4.9207974789984412</v>
      </c>
      <c r="AE5399" s="5">
        <v>2.1441483619656014</v>
      </c>
      <c r="AF5399">
        <v>0</v>
      </c>
    </row>
    <row r="5400" spans="27:32" x14ac:dyDescent="0.3">
      <c r="AA5400" s="3">
        <v>5241.28</v>
      </c>
      <c r="AB5400">
        <v>1E-4</v>
      </c>
      <c r="AC5400">
        <v>8</v>
      </c>
      <c r="AD5400" s="5">
        <v>5.0597520603702559</v>
      </c>
      <c r="AE5400" s="5">
        <v>2.1728755624194531</v>
      </c>
      <c r="AF5400">
        <v>1</v>
      </c>
    </row>
    <row r="5401" spans="27:32" x14ac:dyDescent="0.3">
      <c r="AA5401" s="3">
        <v>27334.62</v>
      </c>
      <c r="AB5401">
        <v>1E-4</v>
      </c>
      <c r="AC5401">
        <v>8</v>
      </c>
      <c r="AD5401" s="5">
        <v>4.8414678597459933</v>
      </c>
      <c r="AE5401" s="5">
        <v>2.1259325816500629</v>
      </c>
      <c r="AF5401">
        <v>1</v>
      </c>
    </row>
    <row r="5402" spans="27:32" x14ac:dyDescent="0.3">
      <c r="AA5402" s="3">
        <v>-13569.86</v>
      </c>
      <c r="AB5402">
        <v>1E-4</v>
      </c>
      <c r="AC5402">
        <v>9</v>
      </c>
      <c r="AD5402" s="5">
        <v>4.8881756809833963</v>
      </c>
      <c r="AE5402" s="5">
        <v>2.2835436512371761</v>
      </c>
      <c r="AF5402">
        <v>1</v>
      </c>
    </row>
    <row r="5403" spans="27:32" x14ac:dyDescent="0.3">
      <c r="AA5403" s="3">
        <v>-11887.6</v>
      </c>
      <c r="AB5403">
        <v>1E-4</v>
      </c>
      <c r="AC5403">
        <v>9</v>
      </c>
      <c r="AD5403" s="5">
        <v>4.9626379715001709</v>
      </c>
      <c r="AE5403" s="5">
        <v>2.1752577341750028</v>
      </c>
      <c r="AF5403">
        <v>1</v>
      </c>
    </row>
    <row r="5404" spans="27:32" x14ac:dyDescent="0.3">
      <c r="AA5404" s="3">
        <v>9945.77</v>
      </c>
      <c r="AB5404">
        <v>1E-4</v>
      </c>
      <c r="AC5404">
        <v>8</v>
      </c>
      <c r="AD5404" s="5">
        <v>4.9026052647872636</v>
      </c>
      <c r="AE5404" s="5">
        <v>2.2368184004615927</v>
      </c>
      <c r="AF5404">
        <v>1</v>
      </c>
    </row>
    <row r="5405" spans="27:32" x14ac:dyDescent="0.3">
      <c r="AA5405" s="3">
        <v>11999.94</v>
      </c>
      <c r="AB5405">
        <v>1E-4</v>
      </c>
      <c r="AC5405">
        <v>8</v>
      </c>
      <c r="AD5405" s="5">
        <v>5.0854921648608702</v>
      </c>
      <c r="AE5405" s="5">
        <v>2.146197181007055</v>
      </c>
      <c r="AF5405">
        <v>1</v>
      </c>
    </row>
    <row r="5406" spans="27:32" x14ac:dyDescent="0.3">
      <c r="AA5406" s="3">
        <v>32979.199999999997</v>
      </c>
      <c r="AB5406">
        <v>1E-4</v>
      </c>
      <c r="AC5406">
        <v>7</v>
      </c>
      <c r="AD5406" s="5">
        <v>5.0355776923233275</v>
      </c>
      <c r="AE5406" s="5">
        <v>2.2561723223237942</v>
      </c>
      <c r="AF5406">
        <v>1</v>
      </c>
    </row>
    <row r="5407" spans="27:32" x14ac:dyDescent="0.3">
      <c r="AA5407" s="3">
        <v>30951.72</v>
      </c>
      <c r="AB5407">
        <v>1E-4</v>
      </c>
      <c r="AC5407">
        <v>7</v>
      </c>
      <c r="AD5407" s="5">
        <v>4.9396767187337414</v>
      </c>
      <c r="AE5407" s="5">
        <v>2.2400545247018444</v>
      </c>
      <c r="AF5407">
        <v>1</v>
      </c>
    </row>
    <row r="5408" spans="27:32" x14ac:dyDescent="0.3">
      <c r="AA5408" s="3">
        <v>38849.31</v>
      </c>
      <c r="AB5408">
        <v>1E-4</v>
      </c>
      <c r="AC5408">
        <v>7</v>
      </c>
      <c r="AD5408" s="5">
        <v>5.1153507293919676</v>
      </c>
      <c r="AE5408" s="5">
        <v>2.1561501896610378</v>
      </c>
      <c r="AF5408">
        <v>1</v>
      </c>
    </row>
    <row r="5409" spans="27:32" x14ac:dyDescent="0.3">
      <c r="AA5409" s="3">
        <v>-14204.75</v>
      </c>
      <c r="AB5409">
        <v>1E-4</v>
      </c>
      <c r="AC5409">
        <v>9</v>
      </c>
      <c r="AD5409" s="5">
        <v>4.8421728870042129</v>
      </c>
      <c r="AE5409" s="5">
        <v>2.1041474663449828</v>
      </c>
      <c r="AF5409">
        <v>1</v>
      </c>
    </row>
    <row r="5410" spans="27:32" x14ac:dyDescent="0.3">
      <c r="AA5410" s="3">
        <v>50781.14</v>
      </c>
      <c r="AB5410">
        <v>1E-4</v>
      </c>
      <c r="AC5410">
        <v>7</v>
      </c>
      <c r="AD5410" s="5">
        <v>5.0031192735806309</v>
      </c>
      <c r="AE5410" s="5">
        <v>2.1303908792116641</v>
      </c>
      <c r="AF5410">
        <v>1</v>
      </c>
    </row>
    <row r="5411" spans="27:32" x14ac:dyDescent="0.3">
      <c r="AA5411" s="3">
        <v>18335.689999999999</v>
      </c>
      <c r="AB5411">
        <v>1E-4</v>
      </c>
      <c r="AC5411">
        <v>8</v>
      </c>
      <c r="AD5411" s="5">
        <v>5.0023169729009433</v>
      </c>
      <c r="AE5411" s="5">
        <v>2.1571162050921577</v>
      </c>
      <c r="AF5411">
        <v>1</v>
      </c>
    </row>
    <row r="5412" spans="27:32" x14ac:dyDescent="0.3">
      <c r="AA5412" s="3">
        <v>8318.39</v>
      </c>
      <c r="AB5412">
        <v>1E-4</v>
      </c>
      <c r="AC5412">
        <v>8</v>
      </c>
      <c r="AD5412" s="5">
        <v>4.915981805192847</v>
      </c>
      <c r="AE5412" s="5">
        <v>2.2263993514379155</v>
      </c>
      <c r="AF5412">
        <v>1</v>
      </c>
    </row>
    <row r="5413" spans="27:32" x14ac:dyDescent="0.3">
      <c r="AA5413" s="3">
        <v>16226.93</v>
      </c>
      <c r="AB5413">
        <v>1E-4</v>
      </c>
      <c r="AC5413">
        <v>8</v>
      </c>
      <c r="AD5413" s="5">
        <v>4.9154888076455627</v>
      </c>
      <c r="AE5413" s="5">
        <v>2.1824290778241027</v>
      </c>
      <c r="AF5413">
        <v>1</v>
      </c>
    </row>
    <row r="5414" spans="27:32" x14ac:dyDescent="0.3">
      <c r="AA5414" s="3">
        <v>-28161.030453042418</v>
      </c>
      <c r="AB5414">
        <v>1E-4</v>
      </c>
      <c r="AC5414">
        <v>9</v>
      </c>
      <c r="AD5414" s="5">
        <v>4.85617597769392</v>
      </c>
      <c r="AE5414" s="5">
        <v>2.1632225261840632</v>
      </c>
      <c r="AF5414">
        <v>0</v>
      </c>
    </row>
    <row r="5415" spans="27:32" x14ac:dyDescent="0.3">
      <c r="AA5415" s="3">
        <v>32780.129999999997</v>
      </c>
      <c r="AB5415">
        <v>1E-4</v>
      </c>
      <c r="AC5415">
        <v>7</v>
      </c>
      <c r="AD5415" s="5">
        <v>4.9612477581923891</v>
      </c>
      <c r="AE5415" s="5">
        <v>2.1279270901817506</v>
      </c>
      <c r="AF5415">
        <v>1</v>
      </c>
    </row>
    <row r="5416" spans="27:32" x14ac:dyDescent="0.3">
      <c r="AA5416" s="3">
        <v>-7659.13</v>
      </c>
      <c r="AB5416">
        <v>1E-4</v>
      </c>
      <c r="AC5416">
        <v>9</v>
      </c>
      <c r="AD5416" s="5">
        <v>4.9690163144899602</v>
      </c>
      <c r="AE5416" s="5">
        <v>2.2484442320562343</v>
      </c>
      <c r="AF5416">
        <v>1</v>
      </c>
    </row>
    <row r="5417" spans="27:32" x14ac:dyDescent="0.3">
      <c r="AA5417" s="3">
        <v>-5211.12</v>
      </c>
      <c r="AB5417">
        <v>1E-4</v>
      </c>
      <c r="AC5417">
        <v>9</v>
      </c>
      <c r="AD5417" s="5">
        <v>4.8385365961280593</v>
      </c>
      <c r="AE5417" s="5">
        <v>2.1683515527796966</v>
      </c>
      <c r="AF5417">
        <v>1</v>
      </c>
    </row>
    <row r="5418" spans="27:32" x14ac:dyDescent="0.3">
      <c r="AA5418" s="3">
        <v>804.77</v>
      </c>
      <c r="AB5418">
        <v>1E-4</v>
      </c>
      <c r="AC5418">
        <v>8</v>
      </c>
      <c r="AD5418" s="5">
        <v>5.0753426123373826</v>
      </c>
      <c r="AE5418" s="5">
        <v>2.261900238229027</v>
      </c>
      <c r="AF5418">
        <v>1</v>
      </c>
    </row>
    <row r="5419" spans="27:32" x14ac:dyDescent="0.3">
      <c r="AA5419" s="3">
        <v>12147</v>
      </c>
      <c r="AB5419">
        <v>1E-4</v>
      </c>
      <c r="AC5419">
        <v>8</v>
      </c>
      <c r="AD5419" s="5">
        <v>5.0389116310614845</v>
      </c>
      <c r="AE5419" s="5">
        <v>2.2011057932244564</v>
      </c>
      <c r="AF5419">
        <v>1</v>
      </c>
    </row>
    <row r="5420" spans="27:32" x14ac:dyDescent="0.3">
      <c r="AA5420" s="3">
        <v>2798.74</v>
      </c>
      <c r="AB5420">
        <v>1E-4</v>
      </c>
      <c r="AC5420">
        <v>8</v>
      </c>
      <c r="AD5420" s="5">
        <v>4.843390372327157</v>
      </c>
      <c r="AE5420" s="5">
        <v>2.1383892222761189</v>
      </c>
      <c r="AF5420">
        <v>1</v>
      </c>
    </row>
    <row r="5421" spans="27:32" x14ac:dyDescent="0.3">
      <c r="AA5421" s="3">
        <v>2277.3200000000002</v>
      </c>
      <c r="AB5421">
        <v>1E-4</v>
      </c>
      <c r="AC5421">
        <v>8</v>
      </c>
      <c r="AD5421" s="5">
        <v>4.990154607538055</v>
      </c>
      <c r="AE5421" s="5">
        <v>2.2247175422071828</v>
      </c>
      <c r="AF5421">
        <v>1</v>
      </c>
    </row>
    <row r="5422" spans="27:32" x14ac:dyDescent="0.3">
      <c r="AA5422" s="3">
        <v>25618.639999999999</v>
      </c>
      <c r="AB5422">
        <v>1E-4</v>
      </c>
      <c r="AC5422">
        <v>8</v>
      </c>
      <c r="AD5422" s="5">
        <v>5.04797407244462</v>
      </c>
      <c r="AE5422" s="5">
        <v>2.1982535586172092</v>
      </c>
      <c r="AF5422">
        <v>1</v>
      </c>
    </row>
    <row r="5423" spans="27:32" x14ac:dyDescent="0.3">
      <c r="AA5423" s="3">
        <v>18958.419999999998</v>
      </c>
      <c r="AB5423">
        <v>1E-4</v>
      </c>
      <c r="AC5423">
        <v>8</v>
      </c>
      <c r="AD5423" s="5">
        <v>4.890221786474366</v>
      </c>
      <c r="AE5423" s="5">
        <v>2.1921751548886412</v>
      </c>
      <c r="AF5423">
        <v>1</v>
      </c>
    </row>
    <row r="5424" spans="27:32" x14ac:dyDescent="0.3">
      <c r="AA5424" s="3">
        <v>29484.67</v>
      </c>
      <c r="AB5424">
        <v>1E-4</v>
      </c>
      <c r="AC5424">
        <v>7</v>
      </c>
      <c r="AD5424" s="5">
        <v>4.9859080500228732</v>
      </c>
      <c r="AE5424" s="5">
        <v>2.193001550684663</v>
      </c>
      <c r="AF5424">
        <v>1</v>
      </c>
    </row>
    <row r="5425" spans="27:32" x14ac:dyDescent="0.3">
      <c r="AA5425" s="3">
        <v>28528.06</v>
      </c>
      <c r="AB5425">
        <v>1E-4</v>
      </c>
      <c r="AC5425">
        <v>8</v>
      </c>
      <c r="AD5425" s="5">
        <v>4.9093491921529306</v>
      </c>
      <c r="AE5425" s="5">
        <v>2.1400483210406862</v>
      </c>
      <c r="AF5425">
        <v>1</v>
      </c>
    </row>
    <row r="5426" spans="27:32" x14ac:dyDescent="0.3">
      <c r="AA5426" s="3">
        <v>51271.81</v>
      </c>
      <c r="AB5426">
        <v>1E-4</v>
      </c>
      <c r="AC5426">
        <v>6</v>
      </c>
      <c r="AD5426" s="5">
        <v>5.1208108040753908</v>
      </c>
      <c r="AE5426" s="5">
        <v>2.2283378410356534</v>
      </c>
      <c r="AF5426">
        <v>1</v>
      </c>
    </row>
    <row r="5427" spans="27:32" x14ac:dyDescent="0.3">
      <c r="AA5427" s="3">
        <v>17895.82</v>
      </c>
      <c r="AB5427">
        <v>1E-4</v>
      </c>
      <c r="AC5427">
        <v>8</v>
      </c>
      <c r="AD5427" s="5">
        <v>4.9937271794199116</v>
      </c>
      <c r="AE5427" s="5">
        <v>2.203968783783226</v>
      </c>
      <c r="AF5427">
        <v>1</v>
      </c>
    </row>
    <row r="5428" spans="27:32" x14ac:dyDescent="0.3">
      <c r="AA5428" s="3">
        <v>4472.75</v>
      </c>
      <c r="AB5428">
        <v>1E-4</v>
      </c>
      <c r="AC5428">
        <v>8</v>
      </c>
      <c r="AD5428" s="5">
        <v>5.1283530604525076</v>
      </c>
      <c r="AE5428" s="5">
        <v>2.2450568020503616</v>
      </c>
      <c r="AF5428">
        <v>1</v>
      </c>
    </row>
    <row r="5429" spans="27:32" x14ac:dyDescent="0.3">
      <c r="AA5429" s="3">
        <v>35212.480000000003</v>
      </c>
      <c r="AB5429">
        <v>1E-4</v>
      </c>
      <c r="AC5429">
        <v>7</v>
      </c>
      <c r="AD5429" s="5">
        <v>4.9484947178212764</v>
      </c>
      <c r="AE5429" s="5">
        <v>2.1416358041887511</v>
      </c>
      <c r="AF5429">
        <v>1</v>
      </c>
    </row>
    <row r="5430" spans="27:32" x14ac:dyDescent="0.3">
      <c r="AA5430" s="3">
        <v>23039.119999999999</v>
      </c>
      <c r="AB5430">
        <v>1E-4</v>
      </c>
      <c r="AC5430">
        <v>8</v>
      </c>
      <c r="AD5430" s="5">
        <v>4.8963759623943082</v>
      </c>
      <c r="AE5430" s="5">
        <v>2.2567306352883008</v>
      </c>
      <c r="AF5430">
        <v>1</v>
      </c>
    </row>
    <row r="5431" spans="27:32" x14ac:dyDescent="0.3">
      <c r="AA5431" s="3">
        <v>40248.620000000003</v>
      </c>
      <c r="AB5431">
        <v>1E-4</v>
      </c>
      <c r="AC5431">
        <v>7</v>
      </c>
      <c r="AD5431" s="5">
        <v>4.9346277899779638</v>
      </c>
      <c r="AE5431" s="5">
        <v>2.1807731432099522</v>
      </c>
      <c r="AF5431">
        <v>1</v>
      </c>
    </row>
    <row r="5432" spans="27:32" x14ac:dyDescent="0.3">
      <c r="AA5432" s="3">
        <v>11620.36</v>
      </c>
      <c r="AB5432">
        <v>1E-4</v>
      </c>
      <c r="AC5432">
        <v>8</v>
      </c>
      <c r="AD5432" s="5">
        <v>5.0988777556604017</v>
      </c>
      <c r="AE5432" s="5">
        <v>2.2156873540118092</v>
      </c>
      <c r="AF5432">
        <v>1</v>
      </c>
    </row>
    <row r="5433" spans="27:32" x14ac:dyDescent="0.3">
      <c r="AA5433" s="3">
        <v>21104.11</v>
      </c>
      <c r="AB5433">
        <v>1E-4</v>
      </c>
      <c r="AC5433">
        <v>8</v>
      </c>
      <c r="AD5433" s="5">
        <v>5.1481783921798998</v>
      </c>
      <c r="AE5433" s="5">
        <v>2.1875681673136973</v>
      </c>
      <c r="AF5433">
        <v>1</v>
      </c>
    </row>
    <row r="5434" spans="27:32" x14ac:dyDescent="0.3">
      <c r="AA5434" s="3">
        <v>28202.55</v>
      </c>
      <c r="AB5434">
        <v>1E-4</v>
      </c>
      <c r="AC5434">
        <v>8</v>
      </c>
      <c r="AD5434" s="5">
        <v>5.1082178157832541</v>
      </c>
      <c r="AE5434" s="5">
        <v>2.1334120583384224</v>
      </c>
      <c r="AF5434">
        <v>1</v>
      </c>
    </row>
    <row r="5435" spans="27:32" x14ac:dyDescent="0.3">
      <c r="AA5435" s="3">
        <v>25598.58</v>
      </c>
      <c r="AB5435">
        <v>1E-4</v>
      </c>
      <c r="AC5435">
        <v>8</v>
      </c>
      <c r="AD5435" s="5">
        <v>5.1908982771269354</v>
      </c>
      <c r="AE5435" s="5">
        <v>2.191554081652987</v>
      </c>
      <c r="AF5435">
        <v>1</v>
      </c>
    </row>
    <row r="5436" spans="27:32" x14ac:dyDescent="0.3">
      <c r="AA5436" s="3">
        <v>20283.93</v>
      </c>
      <c r="AB5436">
        <v>1E-4</v>
      </c>
      <c r="AC5436">
        <v>8</v>
      </c>
      <c r="AD5436" s="5">
        <v>5.18581815041727</v>
      </c>
      <c r="AE5436" s="5">
        <v>2.2331308961225496</v>
      </c>
      <c r="AF5436">
        <v>1</v>
      </c>
    </row>
    <row r="5437" spans="27:32" x14ac:dyDescent="0.3">
      <c r="AA5437" s="3">
        <v>6917.96</v>
      </c>
      <c r="AB5437">
        <v>1E-4</v>
      </c>
      <c r="AC5437">
        <v>8</v>
      </c>
      <c r="AD5437" s="5">
        <v>5.1298338899603069</v>
      </c>
      <c r="AE5437" s="5">
        <v>2.2185382732104717</v>
      </c>
      <c r="AF5437">
        <v>1</v>
      </c>
    </row>
    <row r="5438" spans="27:32" x14ac:dyDescent="0.3">
      <c r="AA5438" s="3">
        <v>44780.05</v>
      </c>
      <c r="AB5438">
        <v>1E-4</v>
      </c>
      <c r="AC5438">
        <v>7</v>
      </c>
      <c r="AD5438" s="5">
        <v>5.0123156626486711</v>
      </c>
      <c r="AE5438" s="5">
        <v>2.2463233316854101</v>
      </c>
      <c r="AF5438">
        <v>1</v>
      </c>
    </row>
    <row r="5439" spans="27:32" x14ac:dyDescent="0.3">
      <c r="AA5439" s="3">
        <v>35879.68</v>
      </c>
      <c r="AB5439">
        <v>1E-4</v>
      </c>
      <c r="AC5439">
        <v>7</v>
      </c>
      <c r="AD5439" s="5">
        <v>5.0617510009388873</v>
      </c>
      <c r="AE5439" s="5">
        <v>2.1894460112701375</v>
      </c>
      <c r="AF5439">
        <v>1</v>
      </c>
    </row>
    <row r="5440" spans="27:32" x14ac:dyDescent="0.3">
      <c r="AA5440" s="3">
        <v>40966.06</v>
      </c>
      <c r="AB5440">
        <v>1E-4</v>
      </c>
      <c r="AC5440">
        <v>7</v>
      </c>
      <c r="AD5440" s="5">
        <v>4.9161382034029648</v>
      </c>
      <c r="AE5440" s="5">
        <v>2.0144666767092119</v>
      </c>
      <c r="AF5440">
        <v>1</v>
      </c>
    </row>
    <row r="5441" spans="27:32" x14ac:dyDescent="0.3">
      <c r="AA5441" s="3">
        <v>32557.01</v>
      </c>
      <c r="AB5441">
        <v>1E-4</v>
      </c>
      <c r="AC5441">
        <v>7</v>
      </c>
      <c r="AD5441" s="5">
        <v>5.0597746370175667</v>
      </c>
      <c r="AE5441" s="5">
        <v>2.1694214651395232</v>
      </c>
      <c r="AF5441">
        <v>1</v>
      </c>
    </row>
    <row r="5442" spans="27:32" x14ac:dyDescent="0.3">
      <c r="AA5442" s="3">
        <v>-2744.02</v>
      </c>
      <c r="AB5442">
        <v>1E-4</v>
      </c>
      <c r="AC5442">
        <v>9</v>
      </c>
      <c r="AD5442" s="5">
        <v>4.8972345341034611</v>
      </c>
      <c r="AE5442" s="5">
        <v>2.1989255630446864</v>
      </c>
      <c r="AF5442">
        <v>1</v>
      </c>
    </row>
    <row r="5443" spans="27:32" x14ac:dyDescent="0.3">
      <c r="AA5443" s="3">
        <v>-9966.6896833085357</v>
      </c>
      <c r="AB5443">
        <v>1E-4</v>
      </c>
      <c r="AC5443">
        <v>8</v>
      </c>
      <c r="AD5443" s="5">
        <v>5.0125930971925436</v>
      </c>
      <c r="AE5443" s="5">
        <v>2.2655425574909591</v>
      </c>
      <c r="AF5443">
        <v>0</v>
      </c>
    </row>
    <row r="5444" spans="27:32" x14ac:dyDescent="0.3">
      <c r="AA5444" s="3">
        <v>19129.72</v>
      </c>
      <c r="AB5444">
        <v>1E-4</v>
      </c>
      <c r="AC5444">
        <v>8</v>
      </c>
      <c r="AD5444" s="5">
        <v>4.9764530254102377</v>
      </c>
      <c r="AE5444" s="5">
        <v>2.2043101853469897</v>
      </c>
      <c r="AF5444">
        <v>1</v>
      </c>
    </row>
    <row r="5445" spans="27:32" x14ac:dyDescent="0.3">
      <c r="AA5445" s="3">
        <v>36518.04</v>
      </c>
      <c r="AB5445">
        <v>1E-4</v>
      </c>
      <c r="AC5445">
        <v>7</v>
      </c>
      <c r="AD5445" s="5">
        <v>5.0118531252843557</v>
      </c>
      <c r="AE5445" s="5">
        <v>2.23414325613706</v>
      </c>
      <c r="AF5445">
        <v>1</v>
      </c>
    </row>
    <row r="5446" spans="27:32" x14ac:dyDescent="0.3">
      <c r="AA5446" s="3">
        <v>15787.11</v>
      </c>
      <c r="AB5446">
        <v>1E-4</v>
      </c>
      <c r="AC5446">
        <v>8</v>
      </c>
      <c r="AD5446" s="5">
        <v>4.9727810948613378</v>
      </c>
      <c r="AE5446" s="5">
        <v>2.2381993653049981</v>
      </c>
      <c r="AF5446">
        <v>1</v>
      </c>
    </row>
    <row r="5447" spans="27:32" x14ac:dyDescent="0.3">
      <c r="AA5447" s="3">
        <v>29686.799999999999</v>
      </c>
      <c r="AB5447">
        <v>1E-4</v>
      </c>
      <c r="AC5447">
        <v>8</v>
      </c>
      <c r="AD5447" s="5">
        <v>5.1007391553814312</v>
      </c>
      <c r="AE5447" s="5">
        <v>2.1744414170053092</v>
      </c>
      <c r="AF5447">
        <v>1</v>
      </c>
    </row>
    <row r="5448" spans="27:32" x14ac:dyDescent="0.3">
      <c r="AA5448" s="3">
        <v>30751.55</v>
      </c>
      <c r="AB5448">
        <v>1E-4</v>
      </c>
      <c r="AC5448">
        <v>7</v>
      </c>
      <c r="AD5448" s="5">
        <v>5.1839022940051951</v>
      </c>
      <c r="AE5448" s="5">
        <v>2.1918723913728146</v>
      </c>
      <c r="AF5448">
        <v>1</v>
      </c>
    </row>
    <row r="5449" spans="27:32" x14ac:dyDescent="0.3">
      <c r="AA5449" s="3">
        <v>26688.560000000001</v>
      </c>
      <c r="AB5449">
        <v>1E-4</v>
      </c>
      <c r="AC5449">
        <v>8</v>
      </c>
      <c r="AD5449" s="5">
        <v>5.0198218888594344</v>
      </c>
      <c r="AE5449" s="5">
        <v>2.1593802192543499</v>
      </c>
      <c r="AF5449">
        <v>1</v>
      </c>
    </row>
    <row r="5450" spans="27:32" x14ac:dyDescent="0.3">
      <c r="AA5450" s="3">
        <v>3268.17</v>
      </c>
      <c r="AB5450">
        <v>1E-4</v>
      </c>
      <c r="AC5450">
        <v>8</v>
      </c>
      <c r="AD5450" s="5">
        <v>4.9178514894861038</v>
      </c>
      <c r="AE5450" s="5">
        <v>2.1339574623361219</v>
      </c>
      <c r="AF5450">
        <v>1</v>
      </c>
    </row>
    <row r="5451" spans="27:32" x14ac:dyDescent="0.3">
      <c r="AA5451" s="3">
        <v>21095.94</v>
      </c>
      <c r="AB5451">
        <v>1E-4</v>
      </c>
      <c r="AC5451">
        <v>8</v>
      </c>
      <c r="AD5451" s="5">
        <v>5.0410869866362242</v>
      </c>
      <c r="AE5451" s="5">
        <v>2.2572931999293009</v>
      </c>
      <c r="AF5451">
        <v>1</v>
      </c>
    </row>
    <row r="5452" spans="27:32" x14ac:dyDescent="0.3">
      <c r="AA5452" s="3">
        <v>57013.05</v>
      </c>
      <c r="AB5452">
        <v>1E-4</v>
      </c>
      <c r="AC5452">
        <v>6</v>
      </c>
      <c r="AD5452" s="5">
        <v>4.9956765357898796</v>
      </c>
      <c r="AE5452" s="5">
        <v>2.0991665522071821</v>
      </c>
      <c r="AF5452">
        <v>1</v>
      </c>
    </row>
    <row r="5453" spans="27:32" x14ac:dyDescent="0.3">
      <c r="AA5453" s="3">
        <v>-4077.11</v>
      </c>
      <c r="AB5453">
        <v>1E-4</v>
      </c>
      <c r="AC5453">
        <v>9</v>
      </c>
      <c r="AD5453" s="5">
        <v>4.7963672628665908</v>
      </c>
      <c r="AE5453" s="5">
        <v>2.1084458759451019</v>
      </c>
      <c r="AF5453">
        <v>1</v>
      </c>
    </row>
    <row r="5454" spans="27:32" x14ac:dyDescent="0.3">
      <c r="AA5454" s="3">
        <v>22367.05</v>
      </c>
      <c r="AB5454">
        <v>1E-4</v>
      </c>
      <c r="AC5454">
        <v>8</v>
      </c>
      <c r="AD5454" s="5">
        <v>5.1411549064406934</v>
      </c>
      <c r="AE5454" s="5">
        <v>2.1832325655125642</v>
      </c>
      <c r="AF5454">
        <v>1</v>
      </c>
    </row>
    <row r="5455" spans="27:32" x14ac:dyDescent="0.3">
      <c r="AA5455" s="3">
        <v>-11251.75</v>
      </c>
      <c r="AB5455">
        <v>1E-4</v>
      </c>
      <c r="AC5455">
        <v>9</v>
      </c>
      <c r="AD5455" s="5">
        <v>5.0774362362871823</v>
      </c>
      <c r="AE5455" s="5">
        <v>2.2120451746800307</v>
      </c>
      <c r="AF5455">
        <v>1</v>
      </c>
    </row>
    <row r="5456" spans="27:32" x14ac:dyDescent="0.3">
      <c r="AA5456" s="3">
        <v>36759.51</v>
      </c>
      <c r="AB5456">
        <v>1E-4</v>
      </c>
      <c r="AC5456">
        <v>7</v>
      </c>
      <c r="AD5456" s="5">
        <v>4.9387237679084537</v>
      </c>
      <c r="AE5456" s="5">
        <v>2.2219366045569018</v>
      </c>
      <c r="AF5456">
        <v>1</v>
      </c>
    </row>
    <row r="5457" spans="27:32" x14ac:dyDescent="0.3">
      <c r="AA5457" s="3">
        <v>39191.339999999997</v>
      </c>
      <c r="AB5457">
        <v>1E-4</v>
      </c>
      <c r="AC5457">
        <v>7</v>
      </c>
      <c r="AD5457" s="5">
        <v>5.0719279719565167</v>
      </c>
      <c r="AE5457" s="5">
        <v>2.2021542395287272</v>
      </c>
      <c r="AF5457">
        <v>1</v>
      </c>
    </row>
    <row r="5458" spans="27:32" x14ac:dyDescent="0.3">
      <c r="AA5458" s="3">
        <v>8373.61</v>
      </c>
      <c r="AB5458">
        <v>1E-4</v>
      </c>
      <c r="AC5458">
        <v>8</v>
      </c>
      <c r="AD5458" s="5">
        <v>4.9171488422609029</v>
      </c>
      <c r="AE5458" s="5">
        <v>2.1765427487395641</v>
      </c>
      <c r="AF5458">
        <v>1</v>
      </c>
    </row>
    <row r="5459" spans="27:32" x14ac:dyDescent="0.3">
      <c r="AA5459" s="3">
        <v>29281.02</v>
      </c>
      <c r="AB5459">
        <v>1E-4</v>
      </c>
      <c r="AC5459">
        <v>8</v>
      </c>
      <c r="AD5459" s="5">
        <v>4.9590425738881239</v>
      </c>
      <c r="AE5459" s="5">
        <v>2.2054532480451328</v>
      </c>
      <c r="AF5459">
        <v>1</v>
      </c>
    </row>
    <row r="5460" spans="27:32" x14ac:dyDescent="0.3">
      <c r="AA5460" s="3">
        <v>21562.33</v>
      </c>
      <c r="AB5460">
        <v>1E-4</v>
      </c>
      <c r="AC5460">
        <v>8</v>
      </c>
      <c r="AD5460" s="5">
        <v>4.9843481380360863</v>
      </c>
      <c r="AE5460" s="5">
        <v>2.2397817154592348</v>
      </c>
      <c r="AF5460">
        <v>1</v>
      </c>
    </row>
    <row r="5461" spans="27:32" x14ac:dyDescent="0.3">
      <c r="AA5461" s="3">
        <v>7894.07</v>
      </c>
      <c r="AB5461">
        <v>1E-4</v>
      </c>
      <c r="AC5461">
        <v>8</v>
      </c>
      <c r="AD5461" s="5">
        <v>5.0488736845276225</v>
      </c>
      <c r="AE5461" s="5">
        <v>2.1899252557617501</v>
      </c>
      <c r="AF5461">
        <v>1</v>
      </c>
    </row>
    <row r="5462" spans="27:32" x14ac:dyDescent="0.3">
      <c r="AA5462" s="3">
        <v>25928.25</v>
      </c>
      <c r="AB5462">
        <v>1E-4</v>
      </c>
      <c r="AC5462">
        <v>8</v>
      </c>
      <c r="AD5462" s="5">
        <v>4.9370445332228838</v>
      </c>
      <c r="AE5462" s="5">
        <v>2.1144346835589891</v>
      </c>
      <c r="AF5462">
        <v>1</v>
      </c>
    </row>
    <row r="5463" spans="27:32" x14ac:dyDescent="0.3">
      <c r="AA5463" s="3">
        <v>49150.11</v>
      </c>
      <c r="AB5463">
        <v>1E-4</v>
      </c>
      <c r="AC5463">
        <v>7</v>
      </c>
      <c r="AD5463" s="5">
        <v>5.0170967118019458</v>
      </c>
      <c r="AE5463" s="5">
        <v>2.1811978243246486</v>
      </c>
      <c r="AF5463">
        <v>1</v>
      </c>
    </row>
    <row r="5464" spans="27:32" x14ac:dyDescent="0.3">
      <c r="AA5464" s="3">
        <v>16847.939999999999</v>
      </c>
      <c r="AB5464">
        <v>1E-4</v>
      </c>
      <c r="AC5464">
        <v>8</v>
      </c>
      <c r="AD5464" s="5">
        <v>4.9285304981002849</v>
      </c>
      <c r="AE5464" s="5">
        <v>2.1244235135456115</v>
      </c>
      <c r="AF5464">
        <v>1</v>
      </c>
    </row>
    <row r="5465" spans="27:32" x14ac:dyDescent="0.3">
      <c r="AA5465" s="3">
        <v>24457.15</v>
      </c>
      <c r="AB5465">
        <v>1E-4</v>
      </c>
      <c r="AC5465">
        <v>8</v>
      </c>
      <c r="AD5465" s="5">
        <v>4.9228435680241871</v>
      </c>
      <c r="AE5465" s="5">
        <v>2.1621061915467537</v>
      </c>
      <c r="AF5465">
        <v>1</v>
      </c>
    </row>
    <row r="5466" spans="27:32" x14ac:dyDescent="0.3">
      <c r="AA5466" s="3">
        <v>16143.97</v>
      </c>
      <c r="AB5466">
        <v>1E-4</v>
      </c>
      <c r="AC5466">
        <v>8</v>
      </c>
      <c r="AD5466" s="5">
        <v>5.04307678715662</v>
      </c>
      <c r="AE5466" s="5">
        <v>2.2499359405827373</v>
      </c>
      <c r="AF5466">
        <v>1</v>
      </c>
    </row>
    <row r="5467" spans="27:32" x14ac:dyDescent="0.3">
      <c r="AA5467" s="3">
        <v>14084.01</v>
      </c>
      <c r="AB5467">
        <v>1E-4</v>
      </c>
      <c r="AC5467">
        <v>8</v>
      </c>
      <c r="AD5467" s="5">
        <v>5.0698115647165816</v>
      </c>
      <c r="AE5467" s="5">
        <v>2.1737193957849592</v>
      </c>
      <c r="AF5467">
        <v>1</v>
      </c>
    </row>
    <row r="5468" spans="27:32" x14ac:dyDescent="0.3">
      <c r="AA5468" s="3">
        <v>-5634.8</v>
      </c>
      <c r="AB5468">
        <v>1E-4</v>
      </c>
      <c r="AC5468">
        <v>9</v>
      </c>
      <c r="AD5468" s="5">
        <v>5.1694929679093011</v>
      </c>
      <c r="AE5468" s="5">
        <v>2.2149000057733308</v>
      </c>
      <c r="AF5468">
        <v>1</v>
      </c>
    </row>
    <row r="5469" spans="27:32" x14ac:dyDescent="0.3">
      <c r="AA5469" s="3">
        <v>613.07000000000005</v>
      </c>
      <c r="AB5469">
        <v>1E-4</v>
      </c>
      <c r="AC5469">
        <v>8</v>
      </c>
      <c r="AD5469" s="5">
        <v>4.8825473920081901</v>
      </c>
      <c r="AE5469" s="5">
        <v>2.2807956278233541</v>
      </c>
      <c r="AF5469">
        <v>1</v>
      </c>
    </row>
    <row r="5470" spans="27:32" x14ac:dyDescent="0.3">
      <c r="AA5470" s="3">
        <v>26601.78</v>
      </c>
      <c r="AB5470">
        <v>1E-4</v>
      </c>
      <c r="AC5470">
        <v>8</v>
      </c>
      <c r="AD5470" s="5">
        <v>4.9967165730445906</v>
      </c>
      <c r="AE5470" s="5">
        <v>2.1550473924663396</v>
      </c>
      <c r="AF5470">
        <v>1</v>
      </c>
    </row>
    <row r="5471" spans="27:32" x14ac:dyDescent="0.3">
      <c r="AA5471" s="3">
        <v>6416.24</v>
      </c>
      <c r="AB5471">
        <v>1E-4</v>
      </c>
      <c r="AC5471">
        <v>8</v>
      </c>
      <c r="AD5471" s="5">
        <v>4.9535956948624893</v>
      </c>
      <c r="AE5471" s="5">
        <v>2.2744155052703365</v>
      </c>
      <c r="AF5471">
        <v>1</v>
      </c>
    </row>
    <row r="5472" spans="27:32" x14ac:dyDescent="0.3">
      <c r="AA5472" s="3">
        <v>-4295.74</v>
      </c>
      <c r="AB5472">
        <v>1E-4</v>
      </c>
      <c r="AC5472">
        <v>9</v>
      </c>
      <c r="AD5472" s="5">
        <v>4.9238179782323934</v>
      </c>
      <c r="AE5472" s="5">
        <v>2.2083240400199484</v>
      </c>
      <c r="AF5472">
        <v>1</v>
      </c>
    </row>
    <row r="5473" spans="27:32" x14ac:dyDescent="0.3">
      <c r="AA5473" s="3">
        <v>3224.89</v>
      </c>
      <c r="AB5473">
        <v>1E-4</v>
      </c>
      <c r="AC5473">
        <v>8</v>
      </c>
      <c r="AD5473" s="5">
        <v>4.9416099990472073</v>
      </c>
      <c r="AE5473" s="5">
        <v>2.1352060825814454</v>
      </c>
      <c r="AF5473">
        <v>1</v>
      </c>
    </row>
    <row r="5474" spans="27:32" x14ac:dyDescent="0.3">
      <c r="AA5474" s="3">
        <v>6962.92</v>
      </c>
      <c r="AB5474">
        <v>1E-4</v>
      </c>
      <c r="AC5474">
        <v>8</v>
      </c>
      <c r="AD5474" s="5">
        <v>5.016966659595143</v>
      </c>
      <c r="AE5474" s="5">
        <v>2.2489262128299146</v>
      </c>
      <c r="AF5474">
        <v>1</v>
      </c>
    </row>
    <row r="5475" spans="27:32" x14ac:dyDescent="0.3">
      <c r="AA5475" s="3">
        <v>18736.88</v>
      </c>
      <c r="AB5475">
        <v>1E-4</v>
      </c>
      <c r="AC5475">
        <v>8</v>
      </c>
      <c r="AD5475" s="5">
        <v>4.9455284782010631</v>
      </c>
      <c r="AE5475" s="5">
        <v>2.1959151644865043</v>
      </c>
      <c r="AF5475">
        <v>1</v>
      </c>
    </row>
    <row r="5476" spans="27:32" x14ac:dyDescent="0.3">
      <c r="AA5476" s="3">
        <v>27021.78</v>
      </c>
      <c r="AB5476">
        <v>1E-4</v>
      </c>
      <c r="AC5476">
        <v>8</v>
      </c>
      <c r="AD5476" s="5">
        <v>4.9897538828816952</v>
      </c>
      <c r="AE5476" s="5">
        <v>2.1987502255354587</v>
      </c>
      <c r="AF5476">
        <v>1</v>
      </c>
    </row>
    <row r="5477" spans="27:32" x14ac:dyDescent="0.3">
      <c r="AA5477" s="3">
        <v>-30641.027395375684</v>
      </c>
      <c r="AB5477">
        <v>1E-4</v>
      </c>
      <c r="AC5477">
        <v>9</v>
      </c>
      <c r="AD5477" s="5">
        <v>5.0784942774156407</v>
      </c>
      <c r="AE5477" s="5">
        <v>2.2007034085922843</v>
      </c>
      <c r="AF5477">
        <v>0</v>
      </c>
    </row>
    <row r="5478" spans="27:32" x14ac:dyDescent="0.3">
      <c r="AA5478" s="3">
        <v>42897.34</v>
      </c>
      <c r="AB5478">
        <v>1E-4</v>
      </c>
      <c r="AC5478">
        <v>7</v>
      </c>
      <c r="AD5478" s="5">
        <v>5.084554650711687</v>
      </c>
      <c r="AE5478" s="5">
        <v>2.2214716930606997</v>
      </c>
      <c r="AF5478">
        <v>1</v>
      </c>
    </row>
    <row r="5479" spans="27:32" x14ac:dyDescent="0.3">
      <c r="AA5479" s="3">
        <v>-3204.84</v>
      </c>
      <c r="AB5479">
        <v>1E-4</v>
      </c>
      <c r="AC5479">
        <v>9</v>
      </c>
      <c r="AD5479" s="5">
        <v>4.9046485370216031</v>
      </c>
      <c r="AE5479" s="5">
        <v>2.250061115486802</v>
      </c>
      <c r="AF5479">
        <v>1</v>
      </c>
    </row>
    <row r="5480" spans="27:32" x14ac:dyDescent="0.3">
      <c r="AA5480" s="3">
        <v>4103.82</v>
      </c>
      <c r="AB5480">
        <v>1E-4</v>
      </c>
      <c r="AC5480">
        <v>8</v>
      </c>
      <c r="AD5480" s="5">
        <v>4.9340017787538857</v>
      </c>
      <c r="AE5480" s="5">
        <v>2.1923233436290039</v>
      </c>
      <c r="AF5480">
        <v>1</v>
      </c>
    </row>
    <row r="5481" spans="27:32" x14ac:dyDescent="0.3">
      <c r="AA5481" s="3">
        <v>35737.089999999997</v>
      </c>
      <c r="AB5481">
        <v>1E-4</v>
      </c>
      <c r="AC5481">
        <v>7</v>
      </c>
      <c r="AD5481" s="5">
        <v>4.9853142705820979</v>
      </c>
      <c r="AE5481" s="5">
        <v>2.1509164962246596</v>
      </c>
      <c r="AF5481">
        <v>1</v>
      </c>
    </row>
    <row r="5482" spans="27:32" x14ac:dyDescent="0.3">
      <c r="AA5482" s="3">
        <v>31711.93</v>
      </c>
      <c r="AB5482">
        <v>1E-4</v>
      </c>
      <c r="AC5482">
        <v>7</v>
      </c>
      <c r="AD5482" s="5">
        <v>5.0499614072820753</v>
      </c>
      <c r="AE5482" s="5">
        <v>2.127528366386787</v>
      </c>
      <c r="AF5482">
        <v>1</v>
      </c>
    </row>
    <row r="5483" spans="27:32" x14ac:dyDescent="0.3">
      <c r="AA5483" s="3">
        <v>8664.33</v>
      </c>
      <c r="AB5483">
        <v>1E-4</v>
      </c>
      <c r="AC5483">
        <v>8</v>
      </c>
      <c r="AD5483" s="5">
        <v>5.0679695533914595</v>
      </c>
      <c r="AE5483" s="5">
        <v>2.0971664028515238</v>
      </c>
      <c r="AF5483">
        <v>1</v>
      </c>
    </row>
    <row r="5484" spans="27:32" x14ac:dyDescent="0.3">
      <c r="AA5484" s="3">
        <v>33220.65</v>
      </c>
      <c r="AB5484">
        <v>1E-4</v>
      </c>
      <c r="AC5484">
        <v>7</v>
      </c>
      <c r="AD5484" s="5">
        <v>4.9918910615450471</v>
      </c>
      <c r="AE5484" s="5">
        <v>2.1980141561307813</v>
      </c>
      <c r="AF5484">
        <v>1</v>
      </c>
    </row>
    <row r="5485" spans="27:32" x14ac:dyDescent="0.3">
      <c r="AA5485" s="3">
        <v>13229.15</v>
      </c>
      <c r="AB5485">
        <v>1E-4</v>
      </c>
      <c r="AC5485">
        <v>8</v>
      </c>
      <c r="AD5485" s="5">
        <v>4.9014093283415168</v>
      </c>
      <c r="AE5485" s="5">
        <v>2.1220906084414191</v>
      </c>
      <c r="AF5485">
        <v>1</v>
      </c>
    </row>
    <row r="5486" spans="27:32" x14ac:dyDescent="0.3">
      <c r="AA5486" s="3">
        <v>30309.22</v>
      </c>
      <c r="AB5486">
        <v>1E-4</v>
      </c>
      <c r="AC5486">
        <v>8</v>
      </c>
      <c r="AD5486" s="5">
        <v>5.0479268407423312</v>
      </c>
      <c r="AE5486" s="5">
        <v>2.2438742538147576</v>
      </c>
      <c r="AF5486">
        <v>1</v>
      </c>
    </row>
    <row r="5487" spans="27:32" x14ac:dyDescent="0.3">
      <c r="AA5487" s="3">
        <v>8606.6299999999992</v>
      </c>
      <c r="AB5487">
        <v>1E-4</v>
      </c>
      <c r="AC5487">
        <v>8</v>
      </c>
      <c r="AD5487" s="5">
        <v>5.052148916919406</v>
      </c>
      <c r="AE5487" s="5">
        <v>2.2146114808236002</v>
      </c>
      <c r="AF5487">
        <v>1</v>
      </c>
    </row>
    <row r="5488" spans="27:32" x14ac:dyDescent="0.3">
      <c r="AA5488" s="3">
        <v>33299.230000000003</v>
      </c>
      <c r="AB5488">
        <v>1E-4</v>
      </c>
      <c r="AC5488">
        <v>7</v>
      </c>
      <c r="AD5488" s="5">
        <v>4.9410979007392255</v>
      </c>
      <c r="AE5488" s="5">
        <v>2.1866757028996862</v>
      </c>
      <c r="AF5488">
        <v>1</v>
      </c>
    </row>
    <row r="5489" spans="27:32" x14ac:dyDescent="0.3">
      <c r="AA5489" s="3">
        <v>2567.13</v>
      </c>
      <c r="AB5489">
        <v>1E-4</v>
      </c>
      <c r="AC5489">
        <v>8</v>
      </c>
      <c r="AD5489" s="5">
        <v>4.8630861062770379</v>
      </c>
      <c r="AE5489" s="5">
        <v>2.2680008985320907</v>
      </c>
      <c r="AF5489">
        <v>1</v>
      </c>
    </row>
    <row r="5490" spans="27:32" x14ac:dyDescent="0.3">
      <c r="AA5490" s="3">
        <v>34623.160000000003</v>
      </c>
      <c r="AB5490">
        <v>1E-4</v>
      </c>
      <c r="AC5490">
        <v>7</v>
      </c>
      <c r="AD5490" s="5">
        <v>5.1152614962806906</v>
      </c>
      <c r="AE5490" s="5">
        <v>2.1923811077904585</v>
      </c>
      <c r="AF5490">
        <v>1</v>
      </c>
    </row>
    <row r="5491" spans="27:32" x14ac:dyDescent="0.3">
      <c r="AA5491" s="3">
        <v>11573.02</v>
      </c>
      <c r="AB5491">
        <v>1E-4</v>
      </c>
      <c r="AC5491">
        <v>8</v>
      </c>
      <c r="AD5491" s="5">
        <v>4.9677710379493014</v>
      </c>
      <c r="AE5491" s="5">
        <v>2.2235052582020547</v>
      </c>
      <c r="AF5491">
        <v>1</v>
      </c>
    </row>
    <row r="5492" spans="27:32" x14ac:dyDescent="0.3">
      <c r="AA5492" s="3">
        <v>-22724.196425136608</v>
      </c>
      <c r="AB5492">
        <v>1E-4</v>
      </c>
      <c r="AC5492">
        <v>9</v>
      </c>
      <c r="AD5492" s="5">
        <v>4.9332244654756829</v>
      </c>
      <c r="AE5492" s="5">
        <v>2.2105427490261431</v>
      </c>
      <c r="AF5492">
        <v>0</v>
      </c>
    </row>
    <row r="5493" spans="27:32" x14ac:dyDescent="0.3">
      <c r="AA5493" s="3">
        <v>57109.53</v>
      </c>
      <c r="AB5493">
        <v>1E-4</v>
      </c>
      <c r="AC5493">
        <v>6</v>
      </c>
      <c r="AD5493" s="5">
        <v>5.130829984621335</v>
      </c>
      <c r="AE5493" s="5">
        <v>2.1025581860052145</v>
      </c>
      <c r="AF5493">
        <v>1</v>
      </c>
    </row>
    <row r="5494" spans="27:32" x14ac:dyDescent="0.3">
      <c r="AA5494" s="3">
        <v>32692.95</v>
      </c>
      <c r="AB5494">
        <v>1E-4</v>
      </c>
      <c r="AC5494">
        <v>7</v>
      </c>
      <c r="AD5494" s="5">
        <v>5.1092014823728258</v>
      </c>
      <c r="AE5494" s="5">
        <v>2.1960066221229062</v>
      </c>
      <c r="AF5494">
        <v>1</v>
      </c>
    </row>
    <row r="5495" spans="27:32" x14ac:dyDescent="0.3">
      <c r="AA5495" s="3">
        <v>22290.12</v>
      </c>
      <c r="AB5495">
        <v>1E-4</v>
      </c>
      <c r="AC5495">
        <v>8</v>
      </c>
      <c r="AD5495" s="5">
        <v>5.0310092024786464</v>
      </c>
      <c r="AE5495" s="5">
        <v>2.1920581551413947</v>
      </c>
      <c r="AF5495">
        <v>1</v>
      </c>
    </row>
    <row r="5496" spans="27:32" x14ac:dyDescent="0.3">
      <c r="AA5496" s="3">
        <v>2875.34</v>
      </c>
      <c r="AB5496">
        <v>1E-4</v>
      </c>
      <c r="AC5496">
        <v>8</v>
      </c>
      <c r="AD5496" s="5">
        <v>5.1354987902390876</v>
      </c>
      <c r="AE5496" s="5">
        <v>2.1930991312421821</v>
      </c>
      <c r="AF5496">
        <v>1</v>
      </c>
    </row>
    <row r="5497" spans="27:32" x14ac:dyDescent="0.3">
      <c r="AA5497" s="3">
        <v>15732.35</v>
      </c>
      <c r="AB5497">
        <v>1E-4</v>
      </c>
      <c r="AC5497">
        <v>8</v>
      </c>
      <c r="AD5497" s="5">
        <v>5.0974561985591986</v>
      </c>
      <c r="AE5497" s="5">
        <v>2.3101696177627176</v>
      </c>
      <c r="AF5497">
        <v>1</v>
      </c>
    </row>
    <row r="5498" spans="27:32" x14ac:dyDescent="0.3">
      <c r="AA5498" s="3">
        <v>41941.949999999997</v>
      </c>
      <c r="AB5498">
        <v>1E-4</v>
      </c>
      <c r="AC5498">
        <v>7</v>
      </c>
      <c r="AD5498" s="5">
        <v>5.0226672365828504</v>
      </c>
      <c r="AE5498" s="5">
        <v>2.1682886443712239</v>
      </c>
      <c r="AF5498">
        <v>1</v>
      </c>
    </row>
    <row r="5499" spans="27:32" x14ac:dyDescent="0.3">
      <c r="AA5499" s="3">
        <v>4055.71</v>
      </c>
      <c r="AB5499">
        <v>1E-4</v>
      </c>
      <c r="AC5499">
        <v>8</v>
      </c>
      <c r="AD5499" s="5">
        <v>4.8753071596497817</v>
      </c>
      <c r="AE5499" s="5">
        <v>2.127614159167087</v>
      </c>
      <c r="AF5499">
        <v>1</v>
      </c>
    </row>
    <row r="5500" spans="27:32" x14ac:dyDescent="0.3">
      <c r="AA5500" s="3">
        <v>26565.56</v>
      </c>
      <c r="AB5500">
        <v>1E-4</v>
      </c>
      <c r="AC5500">
        <v>8</v>
      </c>
      <c r="AD5500" s="5">
        <v>4.9921107039246424</v>
      </c>
      <c r="AE5500" s="5">
        <v>2.2031207753341784</v>
      </c>
      <c r="AF5500">
        <v>1</v>
      </c>
    </row>
    <row r="5501" spans="27:32" x14ac:dyDescent="0.3">
      <c r="AA5501" s="3">
        <v>26622.98</v>
      </c>
      <c r="AB5501">
        <v>1E-4</v>
      </c>
      <c r="AC5501">
        <v>8</v>
      </c>
      <c r="AD5501" s="5">
        <v>4.9235534138043739</v>
      </c>
      <c r="AE5501" s="5">
        <v>2.2000913973645604</v>
      </c>
      <c r="AF5501">
        <v>1</v>
      </c>
    </row>
    <row r="5502" spans="27:32" x14ac:dyDescent="0.3">
      <c r="AA5502" s="3">
        <v>8125.23</v>
      </c>
      <c r="AB5502">
        <v>1E-4</v>
      </c>
      <c r="AC5502">
        <v>8</v>
      </c>
      <c r="AD5502" s="5">
        <v>5.0571268106843581</v>
      </c>
      <c r="AE5502" s="5">
        <v>2.2642073954989739</v>
      </c>
      <c r="AF5502">
        <v>1</v>
      </c>
    </row>
    <row r="5503" spans="27:32" x14ac:dyDescent="0.3">
      <c r="AA5503" s="3">
        <v>-26101.920542889373</v>
      </c>
      <c r="AB5503">
        <v>1E-4</v>
      </c>
      <c r="AC5503">
        <v>9</v>
      </c>
      <c r="AD5503" s="5">
        <v>4.9373510755196826</v>
      </c>
      <c r="AE5503" s="5">
        <v>2.2719915305154985</v>
      </c>
      <c r="AF5503">
        <v>0</v>
      </c>
    </row>
    <row r="5504" spans="27:32" x14ac:dyDescent="0.3">
      <c r="AA5504" s="3">
        <v>-46945.058302338017</v>
      </c>
      <c r="AB5504">
        <v>1E-4</v>
      </c>
      <c r="AC5504">
        <v>9</v>
      </c>
      <c r="AD5504" s="5">
        <v>4.9787150486570555</v>
      </c>
      <c r="AE5504" s="5">
        <v>2.2064134817099084</v>
      </c>
      <c r="AF5504">
        <v>0</v>
      </c>
    </row>
    <row r="5505" spans="27:32" x14ac:dyDescent="0.3">
      <c r="AA5505" s="3">
        <v>-6218.85</v>
      </c>
      <c r="AB5505">
        <v>1E-4</v>
      </c>
      <c r="AC5505">
        <v>9</v>
      </c>
      <c r="AD5505" s="5">
        <v>5.0780628500078464</v>
      </c>
      <c r="AE5505" s="5">
        <v>2.1505601590526169</v>
      </c>
      <c r="AF5505">
        <v>1</v>
      </c>
    </row>
    <row r="5506" spans="27:32" x14ac:dyDescent="0.3">
      <c r="AA5506" s="3">
        <v>11470.02</v>
      </c>
      <c r="AB5506">
        <v>1E-4</v>
      </c>
      <c r="AC5506">
        <v>8</v>
      </c>
      <c r="AD5506" s="5">
        <v>5.1247136095927264</v>
      </c>
      <c r="AE5506" s="5">
        <v>2.2897211030800246</v>
      </c>
      <c r="AF5506">
        <v>1</v>
      </c>
    </row>
    <row r="5507" spans="27:32" x14ac:dyDescent="0.3">
      <c r="AA5507" s="3">
        <v>24124.55</v>
      </c>
      <c r="AB5507">
        <v>1E-4</v>
      </c>
      <c r="AC5507">
        <v>8</v>
      </c>
      <c r="AD5507" s="5">
        <v>5.1025493091103069</v>
      </c>
      <c r="AE5507" s="5">
        <v>2.2376517433139882</v>
      </c>
      <c r="AF5507">
        <v>1</v>
      </c>
    </row>
    <row r="5508" spans="27:32" x14ac:dyDescent="0.3">
      <c r="AA5508" s="3">
        <v>13302.37</v>
      </c>
      <c r="AB5508">
        <v>1E-4</v>
      </c>
      <c r="AC5508">
        <v>8</v>
      </c>
      <c r="AD5508" s="5">
        <v>4.9025854914256568</v>
      </c>
      <c r="AE5508" s="5">
        <v>2.2656793329651794</v>
      </c>
      <c r="AF5508">
        <v>1</v>
      </c>
    </row>
    <row r="5509" spans="27:32" x14ac:dyDescent="0.3">
      <c r="AA5509" s="3">
        <v>29117.38</v>
      </c>
      <c r="AB5509">
        <v>1E-4</v>
      </c>
      <c r="AC5509">
        <v>8</v>
      </c>
      <c r="AD5509" s="5">
        <v>5.1245369905609435</v>
      </c>
      <c r="AE5509" s="5">
        <v>2.1474727557487872</v>
      </c>
      <c r="AF5509">
        <v>1</v>
      </c>
    </row>
    <row r="5510" spans="27:32" x14ac:dyDescent="0.3">
      <c r="AA5510" s="3">
        <v>11017.24</v>
      </c>
      <c r="AB5510">
        <v>1E-4</v>
      </c>
      <c r="AC5510">
        <v>8</v>
      </c>
      <c r="AD5510" s="5">
        <v>4.924785893081749</v>
      </c>
      <c r="AE5510" s="5">
        <v>2.1819572376651628</v>
      </c>
      <c r="AF5510">
        <v>1</v>
      </c>
    </row>
    <row r="5511" spans="27:32" x14ac:dyDescent="0.3">
      <c r="AA5511" s="3">
        <v>2272.7800000000002</v>
      </c>
      <c r="AB5511">
        <v>1E-4</v>
      </c>
      <c r="AC5511">
        <v>8</v>
      </c>
      <c r="AD5511" s="5">
        <v>4.9418425120191953</v>
      </c>
      <c r="AE5511" s="5">
        <v>2.2045312802783581</v>
      </c>
      <c r="AF5511">
        <v>1</v>
      </c>
    </row>
    <row r="5512" spans="27:32" x14ac:dyDescent="0.3">
      <c r="AA5512" s="3">
        <v>12241.41</v>
      </c>
      <c r="AB5512">
        <v>1E-4</v>
      </c>
      <c r="AC5512">
        <v>8</v>
      </c>
      <c r="AD5512" s="5">
        <v>4.8470060629184655</v>
      </c>
      <c r="AE5512" s="5">
        <v>2.1809445558837877</v>
      </c>
      <c r="AF5512">
        <v>1</v>
      </c>
    </row>
    <row r="5513" spans="27:32" x14ac:dyDescent="0.3">
      <c r="AA5513" s="3">
        <v>7144.04</v>
      </c>
      <c r="AB5513">
        <v>1E-4</v>
      </c>
      <c r="AC5513">
        <v>8</v>
      </c>
      <c r="AD5513" s="5">
        <v>4.9168680252478465</v>
      </c>
      <c r="AE5513" s="5">
        <v>2.2301301436273544</v>
      </c>
      <c r="AF5513">
        <v>1</v>
      </c>
    </row>
    <row r="5514" spans="27:32" x14ac:dyDescent="0.3">
      <c r="AA5514" s="3">
        <v>9982.0400000000009</v>
      </c>
      <c r="AB5514">
        <v>1E-4</v>
      </c>
      <c r="AC5514">
        <v>8</v>
      </c>
      <c r="AD5514" s="5">
        <v>5.0711176065040489</v>
      </c>
      <c r="AE5514" s="5">
        <v>2.2834541660317633</v>
      </c>
      <c r="AF5514">
        <v>1</v>
      </c>
    </row>
    <row r="5515" spans="27:32" x14ac:dyDescent="0.3">
      <c r="AA5515" s="3">
        <v>-23831.119439699163</v>
      </c>
      <c r="AB5515">
        <v>1E-4</v>
      </c>
      <c r="AC5515">
        <v>9</v>
      </c>
      <c r="AD5515" s="5">
        <v>4.9245181282766213</v>
      </c>
      <c r="AE5515" s="5">
        <v>2.2393168314720988</v>
      </c>
      <c r="AF5515">
        <v>0</v>
      </c>
    </row>
    <row r="5516" spans="27:32" x14ac:dyDescent="0.3">
      <c r="AA5516" s="3">
        <v>20607.89</v>
      </c>
      <c r="AB5516">
        <v>1E-4</v>
      </c>
      <c r="AC5516">
        <v>8</v>
      </c>
      <c r="AD5516" s="5">
        <v>5.0067731944105516</v>
      </c>
      <c r="AE5516" s="5">
        <v>2.1037146846254475</v>
      </c>
      <c r="AF5516">
        <v>1</v>
      </c>
    </row>
    <row r="5517" spans="27:32" x14ac:dyDescent="0.3">
      <c r="AA5517" s="3">
        <v>41599.32</v>
      </c>
      <c r="AB5517">
        <v>1E-4</v>
      </c>
      <c r="AC5517">
        <v>7</v>
      </c>
      <c r="AD5517" s="5">
        <v>4.9900613310259496</v>
      </c>
      <c r="AE5517" s="5">
        <v>2.1281145107140529</v>
      </c>
      <c r="AF5517">
        <v>1</v>
      </c>
    </row>
    <row r="5518" spans="27:32" x14ac:dyDescent="0.3">
      <c r="AA5518" s="3">
        <v>13540.96</v>
      </c>
      <c r="AB5518">
        <v>1E-4</v>
      </c>
      <c r="AC5518">
        <v>8</v>
      </c>
      <c r="AD5518" s="5">
        <v>5.0155752016687387</v>
      </c>
      <c r="AE5518" s="5">
        <v>2.2376618382072606</v>
      </c>
      <c r="AF5518">
        <v>1</v>
      </c>
    </row>
    <row r="5519" spans="27:32" x14ac:dyDescent="0.3">
      <c r="AA5519" s="3">
        <v>13541</v>
      </c>
      <c r="AB5519">
        <v>1E-4</v>
      </c>
      <c r="AC5519">
        <v>8</v>
      </c>
      <c r="AD5519" s="5">
        <v>5.0503798980958186</v>
      </c>
      <c r="AE5519" s="5">
        <v>2.1733983659694811</v>
      </c>
      <c r="AF5519">
        <v>1</v>
      </c>
    </row>
    <row r="5520" spans="27:32" x14ac:dyDescent="0.3">
      <c r="AA5520" s="3">
        <v>-2800.63</v>
      </c>
      <c r="AB5520">
        <v>1E-4</v>
      </c>
      <c r="AC5520">
        <v>9</v>
      </c>
      <c r="AD5520" s="5">
        <v>4.8839074628270582</v>
      </c>
      <c r="AE5520" s="5">
        <v>2.1722928698921469</v>
      </c>
      <c r="AF5520">
        <v>1</v>
      </c>
    </row>
    <row r="5521" spans="27:32" x14ac:dyDescent="0.3">
      <c r="AA5521" s="3">
        <v>32839.75</v>
      </c>
      <c r="AB5521">
        <v>1E-4</v>
      </c>
      <c r="AC5521">
        <v>7</v>
      </c>
      <c r="AD5521" s="5">
        <v>5.1179624179173269</v>
      </c>
      <c r="AE5521" s="5">
        <v>2.1550538182624348</v>
      </c>
      <c r="AF5521">
        <v>1</v>
      </c>
    </row>
    <row r="5522" spans="27:32" x14ac:dyDescent="0.3">
      <c r="AA5522" s="3">
        <v>13330.43</v>
      </c>
      <c r="AB5522">
        <v>1E-4</v>
      </c>
      <c r="AC5522">
        <v>8</v>
      </c>
      <c r="AD5522" s="5">
        <v>5.0864177104024613</v>
      </c>
      <c r="AE5522" s="5">
        <v>2.311143973048805</v>
      </c>
      <c r="AF5522">
        <v>1</v>
      </c>
    </row>
    <row r="5523" spans="27:32" x14ac:dyDescent="0.3">
      <c r="AA5523" s="3">
        <v>18865.29</v>
      </c>
      <c r="AB5523">
        <v>1E-4</v>
      </c>
      <c r="AC5523">
        <v>8</v>
      </c>
      <c r="AD5523" s="5">
        <v>4.9392242596106621</v>
      </c>
      <c r="AE5523" s="5">
        <v>2.2012537819727145</v>
      </c>
      <c r="AF5523">
        <v>1</v>
      </c>
    </row>
    <row r="5524" spans="27:32" x14ac:dyDescent="0.3">
      <c r="AA5524" s="3">
        <v>21392.92</v>
      </c>
      <c r="AB5524">
        <v>1E-4</v>
      </c>
      <c r="AC5524">
        <v>8</v>
      </c>
      <c r="AD5524" s="5">
        <v>5.0429794388547915</v>
      </c>
      <c r="AE5524" s="5">
        <v>2.1098045880056491</v>
      </c>
      <c r="AF5524">
        <v>1</v>
      </c>
    </row>
    <row r="5525" spans="27:32" x14ac:dyDescent="0.3">
      <c r="AA5525" s="3">
        <v>4865.97</v>
      </c>
      <c r="AB5525">
        <v>1E-4</v>
      </c>
      <c r="AC5525">
        <v>8</v>
      </c>
      <c r="AD5525" s="5">
        <v>4.8226768264561599</v>
      </c>
      <c r="AE5525" s="5">
        <v>2.1085222842343021</v>
      </c>
      <c r="AF5525">
        <v>1</v>
      </c>
    </row>
    <row r="5526" spans="27:32" x14ac:dyDescent="0.3">
      <c r="AA5526" s="3">
        <v>22361.33</v>
      </c>
      <c r="AB5526">
        <v>1E-4</v>
      </c>
      <c r="AC5526">
        <v>8</v>
      </c>
      <c r="AD5526" s="5">
        <v>5.0420308667557832</v>
      </c>
      <c r="AE5526" s="5">
        <v>2.1620477501041453</v>
      </c>
      <c r="AF5526">
        <v>1</v>
      </c>
    </row>
    <row r="5527" spans="27:32" x14ac:dyDescent="0.3">
      <c r="AA5527" s="3">
        <v>12105.16</v>
      </c>
      <c r="AB5527">
        <v>1E-4</v>
      </c>
      <c r="AC5527">
        <v>8</v>
      </c>
      <c r="AD5527" s="5">
        <v>4.9041887827143258</v>
      </c>
      <c r="AE5527" s="5">
        <v>2.271206165364541</v>
      </c>
      <c r="AF5527">
        <v>1</v>
      </c>
    </row>
    <row r="5528" spans="27:32" x14ac:dyDescent="0.3">
      <c r="AA5528" s="3">
        <v>14220.59</v>
      </c>
      <c r="AB5528">
        <v>1E-4</v>
      </c>
      <c r="AC5528">
        <v>8</v>
      </c>
      <c r="AD5528" s="5">
        <v>4.9370929995232116</v>
      </c>
      <c r="AE5528" s="5">
        <v>2.1832163285659614</v>
      </c>
      <c r="AF5528">
        <v>1</v>
      </c>
    </row>
    <row r="5529" spans="27:32" x14ac:dyDescent="0.3">
      <c r="AA5529" s="3">
        <v>-16759.8</v>
      </c>
      <c r="AB5529">
        <v>1E-4</v>
      </c>
      <c r="AC5529">
        <v>9</v>
      </c>
      <c r="AD5529" s="5">
        <v>4.7756309221910218</v>
      </c>
      <c r="AE5529" s="5">
        <v>2.214720909513308</v>
      </c>
      <c r="AF5529">
        <v>1</v>
      </c>
    </row>
    <row r="5530" spans="27:32" x14ac:dyDescent="0.3">
      <c r="AA5530" s="3">
        <v>-234.11</v>
      </c>
      <c r="AB5530">
        <v>1E-4</v>
      </c>
      <c r="AC5530">
        <v>9</v>
      </c>
      <c r="AD5530" s="5">
        <v>4.8487794419841075</v>
      </c>
      <c r="AE5530" s="5">
        <v>2.2058179386748447</v>
      </c>
      <c r="AF5530">
        <v>1</v>
      </c>
    </row>
    <row r="5531" spans="27:32" x14ac:dyDescent="0.3">
      <c r="AA5531" s="3">
        <v>26308.36</v>
      </c>
      <c r="AB5531">
        <v>1E-4</v>
      </c>
      <c r="AC5531">
        <v>8</v>
      </c>
      <c r="AD5531" s="5">
        <v>5.0565465286974414</v>
      </c>
      <c r="AE5531" s="5">
        <v>2.139240513166647</v>
      </c>
      <c r="AF5531">
        <v>1</v>
      </c>
    </row>
    <row r="5532" spans="27:32" x14ac:dyDescent="0.3">
      <c r="AA5532" s="3">
        <v>22860.87</v>
      </c>
      <c r="AB5532">
        <v>1E-4</v>
      </c>
      <c r="AC5532">
        <v>8</v>
      </c>
      <c r="AD5532" s="5">
        <v>5.022403437491759</v>
      </c>
      <c r="AE5532" s="5">
        <v>2.1455103798122148</v>
      </c>
      <c r="AF5532">
        <v>1</v>
      </c>
    </row>
    <row r="5533" spans="27:32" x14ac:dyDescent="0.3">
      <c r="AA5533" s="3">
        <v>21108.42</v>
      </c>
      <c r="AB5533">
        <v>1E-4</v>
      </c>
      <c r="AC5533">
        <v>8</v>
      </c>
      <c r="AD5533" s="5">
        <v>5.1771787976684731</v>
      </c>
      <c r="AE5533" s="5">
        <v>2.2772856573400233</v>
      </c>
      <c r="AF5533">
        <v>1</v>
      </c>
    </row>
    <row r="5534" spans="27:32" x14ac:dyDescent="0.3">
      <c r="AA5534" s="3">
        <v>28832.04</v>
      </c>
      <c r="AB5534">
        <v>1E-4</v>
      </c>
      <c r="AC5534">
        <v>7</v>
      </c>
      <c r="AD5534" s="5">
        <v>5.0231046060548925</v>
      </c>
      <c r="AE5534" s="5">
        <v>2.1488977740920374</v>
      </c>
      <c r="AF5534">
        <v>1</v>
      </c>
    </row>
    <row r="5535" spans="27:32" x14ac:dyDescent="0.3">
      <c r="AA5535" s="3">
        <v>-23590.316646738596</v>
      </c>
      <c r="AB5535">
        <v>1E-4</v>
      </c>
      <c r="AC5535">
        <v>9</v>
      </c>
      <c r="AD5535" s="5">
        <v>5.012059168345683</v>
      </c>
      <c r="AE5535" s="5">
        <v>2.1530321903881484</v>
      </c>
      <c r="AF5535">
        <v>0</v>
      </c>
    </row>
    <row r="5536" spans="27:32" x14ac:dyDescent="0.3">
      <c r="AA5536" s="3">
        <v>22791.66</v>
      </c>
      <c r="AB5536">
        <v>1E-4</v>
      </c>
      <c r="AC5536">
        <v>8</v>
      </c>
      <c r="AD5536" s="5">
        <v>5.0480712197290778</v>
      </c>
      <c r="AE5536" s="5">
        <v>2.1874764913489555</v>
      </c>
      <c r="AF5536">
        <v>1</v>
      </c>
    </row>
    <row r="5537" spans="27:32" x14ac:dyDescent="0.3">
      <c r="AA5537" s="3">
        <v>42481.32</v>
      </c>
      <c r="AB5537">
        <v>1E-4</v>
      </c>
      <c r="AC5537">
        <v>7</v>
      </c>
      <c r="AD5537" s="5">
        <v>5.0835506455583133</v>
      </c>
      <c r="AE5537" s="5">
        <v>2.1344508603594825</v>
      </c>
      <c r="AF5537">
        <v>1</v>
      </c>
    </row>
    <row r="5538" spans="27:32" x14ac:dyDescent="0.3">
      <c r="AA5538" s="3">
        <v>37555.440000000002</v>
      </c>
      <c r="AB5538">
        <v>1E-4</v>
      </c>
      <c r="AC5538">
        <v>7</v>
      </c>
      <c r="AD5538" s="5">
        <v>5.0249630374557368</v>
      </c>
      <c r="AE5538" s="5">
        <v>2.1905987835141274</v>
      </c>
      <c r="AF5538">
        <v>1</v>
      </c>
    </row>
    <row r="5539" spans="27:32" x14ac:dyDescent="0.3">
      <c r="AA5539" s="3">
        <v>12711.47</v>
      </c>
      <c r="AB5539">
        <v>1E-4</v>
      </c>
      <c r="AC5539">
        <v>8</v>
      </c>
      <c r="AD5539" s="5">
        <v>5.1108052999188951</v>
      </c>
      <c r="AE5539" s="5">
        <v>2.2515872957630356</v>
      </c>
      <c r="AF5539">
        <v>1</v>
      </c>
    </row>
    <row r="5540" spans="27:32" x14ac:dyDescent="0.3">
      <c r="AA5540" s="3">
        <v>1940.59</v>
      </c>
      <c r="AB5540">
        <v>1E-4</v>
      </c>
      <c r="AC5540">
        <v>8</v>
      </c>
      <c r="AD5540" s="5">
        <v>5.0259031750267971</v>
      </c>
      <c r="AE5540" s="5">
        <v>2.1324360084759402</v>
      </c>
      <c r="AF5540">
        <v>1</v>
      </c>
    </row>
    <row r="5541" spans="27:32" x14ac:dyDescent="0.3">
      <c r="AA5541" s="3">
        <v>-34995.600495611841</v>
      </c>
      <c r="AB5541">
        <v>1E-4</v>
      </c>
      <c r="AC5541">
        <v>9</v>
      </c>
      <c r="AD5541" s="5">
        <v>4.9970197686636419</v>
      </c>
      <c r="AE5541" s="5">
        <v>2.2608677832603319</v>
      </c>
      <c r="AF5541">
        <v>0</v>
      </c>
    </row>
    <row r="5542" spans="27:32" x14ac:dyDescent="0.3">
      <c r="AA5542" s="3">
        <v>9286.1299999999992</v>
      </c>
      <c r="AB5542">
        <v>1E-4</v>
      </c>
      <c r="AC5542">
        <v>8</v>
      </c>
      <c r="AD5542" s="5">
        <v>5.1101606850574868</v>
      </c>
      <c r="AE5542" s="5">
        <v>2.1655750770656348</v>
      </c>
      <c r="AF5542">
        <v>1</v>
      </c>
    </row>
    <row r="5543" spans="27:32" x14ac:dyDescent="0.3">
      <c r="AA5543" s="3">
        <v>17270.080000000002</v>
      </c>
      <c r="AB5543">
        <v>1E-4</v>
      </c>
      <c r="AC5543">
        <v>8</v>
      </c>
      <c r="AD5543" s="5">
        <v>4.9810836650640278</v>
      </c>
      <c r="AE5543" s="5">
        <v>2.2768112888087098</v>
      </c>
      <c r="AF5543">
        <v>1</v>
      </c>
    </row>
    <row r="5544" spans="27:32" x14ac:dyDescent="0.3">
      <c r="AA5544" s="3">
        <v>-10907.29</v>
      </c>
      <c r="AB5544">
        <v>1E-4</v>
      </c>
      <c r="AC5544">
        <v>9</v>
      </c>
      <c r="AD5544" s="5">
        <v>4.868164198650077</v>
      </c>
      <c r="AE5544" s="5">
        <v>2.1870934437034912</v>
      </c>
      <c r="AF5544">
        <v>1</v>
      </c>
    </row>
    <row r="5545" spans="27:32" x14ac:dyDescent="0.3">
      <c r="AA5545" s="3">
        <v>-10190.15</v>
      </c>
      <c r="AB5545">
        <v>1E-4</v>
      </c>
      <c r="AC5545">
        <v>9</v>
      </c>
      <c r="AD5545" s="5">
        <v>4.9453542534936856</v>
      </c>
      <c r="AE5545" s="5">
        <v>2.2319812116074695</v>
      </c>
      <c r="AF5545">
        <v>1</v>
      </c>
    </row>
    <row r="5546" spans="27:32" x14ac:dyDescent="0.3">
      <c r="AA5546" s="3">
        <v>19716.330000000002</v>
      </c>
      <c r="AB5546">
        <v>1E-4</v>
      </c>
      <c r="AC5546">
        <v>8</v>
      </c>
      <c r="AD5546" s="5">
        <v>5.0747972620743518</v>
      </c>
      <c r="AE5546" s="5">
        <v>2.2085754939070186</v>
      </c>
      <c r="AF5546">
        <v>1</v>
      </c>
    </row>
    <row r="5547" spans="27:32" x14ac:dyDescent="0.3">
      <c r="AA5547" s="3">
        <v>32074.58</v>
      </c>
      <c r="AB5547">
        <v>1E-4</v>
      </c>
      <c r="AC5547">
        <v>7</v>
      </c>
      <c r="AD5547" s="5">
        <v>5.0394541443710548</v>
      </c>
      <c r="AE5547" s="5">
        <v>2.1540911695877192</v>
      </c>
      <c r="AF5547">
        <v>1</v>
      </c>
    </row>
    <row r="5548" spans="27:32" x14ac:dyDescent="0.3">
      <c r="AA5548" s="3">
        <v>28056.959999999999</v>
      </c>
      <c r="AB5548">
        <v>1E-4</v>
      </c>
      <c r="AC5548">
        <v>8</v>
      </c>
      <c r="AD5548" s="5">
        <v>5.0989240291274633</v>
      </c>
      <c r="AE5548" s="5">
        <v>2.3083360328602374</v>
      </c>
      <c r="AF5548">
        <v>1</v>
      </c>
    </row>
    <row r="5549" spans="27:32" x14ac:dyDescent="0.3">
      <c r="AA5549" s="3">
        <v>-4423.87</v>
      </c>
      <c r="AB5549">
        <v>1E-4</v>
      </c>
      <c r="AC5549">
        <v>9</v>
      </c>
      <c r="AD5549" s="5">
        <v>4.8535868415039944</v>
      </c>
      <c r="AE5549" s="5">
        <v>2.2290994344385293</v>
      </c>
      <c r="AF5549">
        <v>1</v>
      </c>
    </row>
    <row r="5550" spans="27:32" x14ac:dyDescent="0.3">
      <c r="AA5550" s="3">
        <v>19782.61</v>
      </c>
      <c r="AB5550">
        <v>1E-4</v>
      </c>
      <c r="AC5550">
        <v>8</v>
      </c>
      <c r="AD5550" s="5">
        <v>5.0177824246039462</v>
      </c>
      <c r="AE5550" s="5">
        <v>2.0523774298255959</v>
      </c>
      <c r="AF5550">
        <v>1</v>
      </c>
    </row>
    <row r="5551" spans="27:32" x14ac:dyDescent="0.3">
      <c r="AA5551" s="3">
        <v>7630.22</v>
      </c>
      <c r="AB5551">
        <v>1E-4</v>
      </c>
      <c r="AC5551">
        <v>8</v>
      </c>
      <c r="AD5551" s="5">
        <v>5.0212474238776243</v>
      </c>
      <c r="AE5551" s="5">
        <v>2.1539719238682595</v>
      </c>
      <c r="AF5551">
        <v>1</v>
      </c>
    </row>
    <row r="5552" spans="27:32" x14ac:dyDescent="0.3">
      <c r="AA5552" s="3">
        <v>22375.33</v>
      </c>
      <c r="AB5552">
        <v>1E-4</v>
      </c>
      <c r="AC5552">
        <v>8</v>
      </c>
      <c r="AD5552" s="5">
        <v>5.1731153998832102</v>
      </c>
      <c r="AE5552" s="5">
        <v>2.2122554478376912</v>
      </c>
      <c r="AF5552">
        <v>1</v>
      </c>
    </row>
    <row r="5553" spans="27:32" x14ac:dyDescent="0.3">
      <c r="AA5553" s="3">
        <v>-3442.2</v>
      </c>
      <c r="AB5553">
        <v>1E-4</v>
      </c>
      <c r="AC5553">
        <v>9</v>
      </c>
      <c r="AD5553" s="5">
        <v>4.9531379877040358</v>
      </c>
      <c r="AE5553" s="5">
        <v>2.2456586510559959</v>
      </c>
      <c r="AF5553">
        <v>1</v>
      </c>
    </row>
    <row r="5554" spans="27:32" x14ac:dyDescent="0.3">
      <c r="AA5554" s="3">
        <v>7307.59</v>
      </c>
      <c r="AB5554">
        <v>1E-4</v>
      </c>
      <c r="AC5554">
        <v>8</v>
      </c>
      <c r="AD5554" s="5">
        <v>4.7627070458027143</v>
      </c>
      <c r="AE5554" s="5">
        <v>2.2181072199530893</v>
      </c>
      <c r="AF5554">
        <v>1</v>
      </c>
    </row>
    <row r="5555" spans="27:32" x14ac:dyDescent="0.3">
      <c r="AA5555" s="3">
        <v>19571.27</v>
      </c>
      <c r="AB5555">
        <v>1E-4</v>
      </c>
      <c r="AC5555">
        <v>8</v>
      </c>
      <c r="AD5555" s="5">
        <v>5.1035162887058325</v>
      </c>
      <c r="AE5555" s="5">
        <v>2.2790928651891695</v>
      </c>
      <c r="AF5555">
        <v>1</v>
      </c>
    </row>
    <row r="5556" spans="27:32" x14ac:dyDescent="0.3">
      <c r="AA5556" s="3">
        <v>-5119.33</v>
      </c>
      <c r="AB5556">
        <v>1E-4</v>
      </c>
      <c r="AC5556">
        <v>9</v>
      </c>
      <c r="AD5556" s="5">
        <v>4.970124263058092</v>
      </c>
      <c r="AE5556" s="5">
        <v>2.2444905917534612</v>
      </c>
      <c r="AF5556">
        <v>1</v>
      </c>
    </row>
    <row r="5557" spans="27:32" x14ac:dyDescent="0.3">
      <c r="AA5557" s="3">
        <v>26947.9</v>
      </c>
      <c r="AB5557">
        <v>1E-4</v>
      </c>
      <c r="AC5557">
        <v>8</v>
      </c>
      <c r="AD5557" s="5">
        <v>5.0424031060045005</v>
      </c>
      <c r="AE5557" s="5">
        <v>2.16303692175374</v>
      </c>
      <c r="AF5557">
        <v>1</v>
      </c>
    </row>
    <row r="5558" spans="27:32" x14ac:dyDescent="0.3">
      <c r="AA5558" s="3">
        <v>-7738.07</v>
      </c>
      <c r="AB5558">
        <v>1E-4</v>
      </c>
      <c r="AC5558">
        <v>9</v>
      </c>
      <c r="AD5558" s="5">
        <v>5.0415388749717698</v>
      </c>
      <c r="AE5558" s="5">
        <v>2.21597864248068</v>
      </c>
      <c r="AF5558">
        <v>1</v>
      </c>
    </row>
    <row r="5559" spans="27:32" x14ac:dyDescent="0.3">
      <c r="AA5559" s="3">
        <v>15834.21</v>
      </c>
      <c r="AB5559">
        <v>1E-4</v>
      </c>
      <c r="AC5559">
        <v>8</v>
      </c>
      <c r="AD5559" s="5">
        <v>4.8464094946941145</v>
      </c>
      <c r="AE5559" s="5">
        <v>2.151704268426573</v>
      </c>
      <c r="AF5559">
        <v>1</v>
      </c>
    </row>
    <row r="5560" spans="27:32" x14ac:dyDescent="0.3">
      <c r="AA5560" s="3">
        <v>4434.62</v>
      </c>
      <c r="AB5560">
        <v>1E-4</v>
      </c>
      <c r="AC5560">
        <v>8</v>
      </c>
      <c r="AD5560" s="5">
        <v>5.1154484655005765</v>
      </c>
      <c r="AE5560" s="5">
        <v>2.2282458413235844</v>
      </c>
      <c r="AF5560">
        <v>1</v>
      </c>
    </row>
    <row r="5561" spans="27:32" x14ac:dyDescent="0.3">
      <c r="AA5561" s="3">
        <v>21520.25</v>
      </c>
      <c r="AB5561">
        <v>1E-4</v>
      </c>
      <c r="AC5561">
        <v>8</v>
      </c>
      <c r="AD5561" s="5">
        <v>4.9860156512825009</v>
      </c>
      <c r="AE5561" s="5">
        <v>2.2202522211380469</v>
      </c>
      <c r="AF5561">
        <v>1</v>
      </c>
    </row>
    <row r="5562" spans="27:32" x14ac:dyDescent="0.3">
      <c r="AA5562" s="3">
        <v>27008.240000000002</v>
      </c>
      <c r="AB5562">
        <v>1E-4</v>
      </c>
      <c r="AC5562">
        <v>8</v>
      </c>
      <c r="AD5562" s="5">
        <v>4.9865221818259267</v>
      </c>
      <c r="AE5562" s="5">
        <v>2.2234639403201095</v>
      </c>
      <c r="AF5562">
        <v>1</v>
      </c>
    </row>
    <row r="5563" spans="27:32" x14ac:dyDescent="0.3">
      <c r="AA5563" s="3">
        <v>2725.59</v>
      </c>
      <c r="AB5563">
        <v>1E-4</v>
      </c>
      <c r="AC5563">
        <v>8</v>
      </c>
      <c r="AD5563" s="5">
        <v>5.1561648314910826</v>
      </c>
      <c r="AE5563" s="5">
        <v>2.2347825143405906</v>
      </c>
      <c r="AF5563">
        <v>1</v>
      </c>
    </row>
    <row r="5564" spans="27:32" x14ac:dyDescent="0.3">
      <c r="AA5564" s="3">
        <v>29519.759999999998</v>
      </c>
      <c r="AB5564">
        <v>1E-4</v>
      </c>
      <c r="AC5564">
        <v>8</v>
      </c>
      <c r="AD5564" s="5">
        <v>5.0236376403326739</v>
      </c>
      <c r="AE5564" s="5">
        <v>2.1940641332352837</v>
      </c>
      <c r="AF5564">
        <v>1</v>
      </c>
    </row>
    <row r="5565" spans="27:32" x14ac:dyDescent="0.3">
      <c r="AA5565" s="3">
        <v>-18769.21</v>
      </c>
      <c r="AB5565">
        <v>1E-4</v>
      </c>
      <c r="AC5565">
        <v>9</v>
      </c>
      <c r="AD5565" s="5">
        <v>5.0612284945199644</v>
      </c>
      <c r="AE5565" s="5">
        <v>2.2392173555741142</v>
      </c>
      <c r="AF5565">
        <v>1</v>
      </c>
    </row>
    <row r="5566" spans="27:32" x14ac:dyDescent="0.3">
      <c r="AA5566" s="3">
        <v>24646.31</v>
      </c>
      <c r="AB5566">
        <v>1E-4</v>
      </c>
      <c r="AC5566">
        <v>8</v>
      </c>
      <c r="AD5566" s="5">
        <v>5.0128541719115018</v>
      </c>
      <c r="AE5566" s="5">
        <v>2.2091658701416401</v>
      </c>
      <c r="AF5566">
        <v>1</v>
      </c>
    </row>
    <row r="5567" spans="27:32" x14ac:dyDescent="0.3">
      <c r="AA5567" s="3">
        <v>26882.77</v>
      </c>
      <c r="AB5567">
        <v>1E-4</v>
      </c>
      <c r="AC5567">
        <v>8</v>
      </c>
      <c r="AD5567" s="5">
        <v>5.02098641353333</v>
      </c>
      <c r="AE5567" s="5">
        <v>2.140862816514614</v>
      </c>
      <c r="AF5567">
        <v>1</v>
      </c>
    </row>
    <row r="5568" spans="27:32" x14ac:dyDescent="0.3">
      <c r="AA5568" s="3">
        <v>19814.52</v>
      </c>
      <c r="AB5568">
        <v>1E-4</v>
      </c>
      <c r="AC5568">
        <v>8</v>
      </c>
      <c r="AD5568" s="5">
        <v>4.9204570832369052</v>
      </c>
      <c r="AE5568" s="5">
        <v>2.1780540341824466</v>
      </c>
      <c r="AF5568">
        <v>1</v>
      </c>
    </row>
    <row r="5569" spans="27:32" x14ac:dyDescent="0.3">
      <c r="AA5569" s="3">
        <v>-3556.92</v>
      </c>
      <c r="AB5569">
        <v>1E-4</v>
      </c>
      <c r="AC5569">
        <v>9</v>
      </c>
      <c r="AD5569" s="5">
        <v>4.9419012758324357</v>
      </c>
      <c r="AE5569" s="5">
        <v>2.1895899936953853</v>
      </c>
      <c r="AF5569">
        <v>1</v>
      </c>
    </row>
    <row r="5570" spans="27:32" x14ac:dyDescent="0.3">
      <c r="AA5570" s="3">
        <v>13338.38</v>
      </c>
      <c r="AB5570">
        <v>1E-4</v>
      </c>
      <c r="AC5570">
        <v>8</v>
      </c>
      <c r="AD5570" s="5">
        <v>4.9723592373167245</v>
      </c>
      <c r="AE5570" s="5">
        <v>2.1532360554838261</v>
      </c>
      <c r="AF5570">
        <v>1</v>
      </c>
    </row>
    <row r="5571" spans="27:32" x14ac:dyDescent="0.3">
      <c r="AA5571" s="3">
        <v>-90.09</v>
      </c>
      <c r="AB5571">
        <v>1E-4</v>
      </c>
      <c r="AC5571">
        <v>9</v>
      </c>
      <c r="AD5571" s="5">
        <v>4.8973639632747661</v>
      </c>
      <c r="AE5571" s="5">
        <v>2.1976280027314248</v>
      </c>
      <c r="AF5571">
        <v>1</v>
      </c>
    </row>
    <row r="5572" spans="27:32" x14ac:dyDescent="0.3">
      <c r="AA5572" s="3">
        <v>11540.99</v>
      </c>
      <c r="AB5572">
        <v>1E-4</v>
      </c>
      <c r="AC5572">
        <v>8</v>
      </c>
      <c r="AD5572" s="5">
        <v>5.1003823527427494</v>
      </c>
      <c r="AE5572" s="5">
        <v>2.2284369429766921</v>
      </c>
      <c r="AF5572">
        <v>1</v>
      </c>
    </row>
    <row r="5573" spans="27:32" x14ac:dyDescent="0.3">
      <c r="AA5573" s="3">
        <v>19933.419999999998</v>
      </c>
      <c r="AB5573">
        <v>1E-4</v>
      </c>
      <c r="AC5573">
        <v>8</v>
      </c>
      <c r="AD5573" s="5">
        <v>4.9039210776626954</v>
      </c>
      <c r="AE5573" s="5">
        <v>2.2020940002843665</v>
      </c>
      <c r="AF5573">
        <v>1</v>
      </c>
    </row>
    <row r="5574" spans="27:32" x14ac:dyDescent="0.3">
      <c r="AA5574" s="3">
        <v>-35706.621033802032</v>
      </c>
      <c r="AB5574">
        <v>1E-4</v>
      </c>
      <c r="AC5574">
        <v>9</v>
      </c>
      <c r="AD5574" s="5">
        <v>4.9949920245729436</v>
      </c>
      <c r="AE5574" s="5">
        <v>2.2135863962219284</v>
      </c>
      <c r="AF5574">
        <v>0</v>
      </c>
    </row>
    <row r="5575" spans="27:32" x14ac:dyDescent="0.3">
      <c r="AA5575" s="3">
        <v>30658.6</v>
      </c>
      <c r="AB5575">
        <v>1E-4</v>
      </c>
      <c r="AC5575">
        <v>7</v>
      </c>
      <c r="AD5575" s="5">
        <v>5.0241689077752616</v>
      </c>
      <c r="AE5575" s="5">
        <v>2.2010243961685765</v>
      </c>
      <c r="AF5575">
        <v>1</v>
      </c>
    </row>
    <row r="5576" spans="27:32" x14ac:dyDescent="0.3">
      <c r="AA5576" s="3">
        <v>24970.41</v>
      </c>
      <c r="AB5576">
        <v>1E-4</v>
      </c>
      <c r="AC5576">
        <v>8</v>
      </c>
      <c r="AD5576" s="5">
        <v>5.0674423449206465</v>
      </c>
      <c r="AE5576" s="5">
        <v>2.1842660656080262</v>
      </c>
      <c r="AF5576">
        <v>1</v>
      </c>
    </row>
    <row r="5577" spans="27:32" x14ac:dyDescent="0.3">
      <c r="AA5577" s="3">
        <v>-11068.46</v>
      </c>
      <c r="AB5577">
        <v>1E-4</v>
      </c>
      <c r="AC5577">
        <v>9</v>
      </c>
      <c r="AD5577" s="5">
        <v>4.8896014685003415</v>
      </c>
      <c r="AE5577" s="5">
        <v>2.2758660826564148</v>
      </c>
      <c r="AF5577">
        <v>1</v>
      </c>
    </row>
    <row r="5578" spans="27:32" x14ac:dyDescent="0.3">
      <c r="AA5578" s="3">
        <v>10213.23</v>
      </c>
      <c r="AB5578">
        <v>1E-4</v>
      </c>
      <c r="AC5578">
        <v>8</v>
      </c>
      <c r="AD5578" s="5">
        <v>5.0649888886346677</v>
      </c>
      <c r="AE5578" s="5">
        <v>2.1810363843597771</v>
      </c>
      <c r="AF5578">
        <v>1</v>
      </c>
    </row>
    <row r="5579" spans="27:32" x14ac:dyDescent="0.3">
      <c r="AA5579" s="3">
        <v>13878.05</v>
      </c>
      <c r="AB5579">
        <v>1E-4</v>
      </c>
      <c r="AC5579">
        <v>8</v>
      </c>
      <c r="AD5579" s="5">
        <v>4.8897431391940165</v>
      </c>
      <c r="AE5579" s="5">
        <v>2.2009048329964034</v>
      </c>
      <c r="AF5579">
        <v>1</v>
      </c>
    </row>
    <row r="5580" spans="27:32" x14ac:dyDescent="0.3">
      <c r="AA5580" s="3">
        <v>-2633.36</v>
      </c>
      <c r="AB5580">
        <v>1E-4</v>
      </c>
      <c r="AC5580">
        <v>9</v>
      </c>
      <c r="AD5580" s="5">
        <v>4.9506293615287547</v>
      </c>
      <c r="AE5580" s="5">
        <v>2.1940413341718252</v>
      </c>
      <c r="AF5580">
        <v>1</v>
      </c>
    </row>
    <row r="5581" spans="27:32" x14ac:dyDescent="0.3">
      <c r="AA5581" s="3">
        <v>7855.87</v>
      </c>
      <c r="AB5581">
        <v>1E-4</v>
      </c>
      <c r="AC5581">
        <v>8</v>
      </c>
      <c r="AD5581" s="5">
        <v>4.951949081045889</v>
      </c>
      <c r="AE5581" s="5">
        <v>2.2175136519430638</v>
      </c>
      <c r="AF5581">
        <v>1</v>
      </c>
    </row>
    <row r="5582" spans="27:32" x14ac:dyDescent="0.3">
      <c r="AA5582" s="3">
        <v>24375.87</v>
      </c>
      <c r="AB5582">
        <v>1E-4</v>
      </c>
      <c r="AC5582">
        <v>8</v>
      </c>
      <c r="AD5582" s="5">
        <v>5.204835400214483</v>
      </c>
      <c r="AE5582" s="5">
        <v>2.2176821087154397</v>
      </c>
      <c r="AF5582">
        <v>1</v>
      </c>
    </row>
    <row r="5583" spans="27:32" x14ac:dyDescent="0.3">
      <c r="AA5583" s="3">
        <v>56353.22</v>
      </c>
      <c r="AB5583">
        <v>1E-4</v>
      </c>
      <c r="AC5583">
        <v>6</v>
      </c>
      <c r="AD5583" s="5">
        <v>5.0385334572483433</v>
      </c>
      <c r="AE5583" s="5">
        <v>2.1016984035370387</v>
      </c>
      <c r="AF5583">
        <v>1</v>
      </c>
    </row>
    <row r="5584" spans="27:32" x14ac:dyDescent="0.3">
      <c r="AA5584" s="3">
        <v>2233.7027335868625</v>
      </c>
      <c r="AB5584">
        <v>1E-4</v>
      </c>
      <c r="AC5584">
        <v>8</v>
      </c>
      <c r="AD5584" s="5">
        <v>4.9869172147787806</v>
      </c>
      <c r="AE5584" s="5">
        <v>2.1889691948809293</v>
      </c>
      <c r="AF5584">
        <v>0</v>
      </c>
    </row>
    <row r="5585" spans="27:32" x14ac:dyDescent="0.3">
      <c r="AA5585" s="3">
        <v>40202.25</v>
      </c>
      <c r="AB5585">
        <v>1E-4</v>
      </c>
      <c r="AC5585">
        <v>7</v>
      </c>
      <c r="AD5585" s="5">
        <v>5.0279793176124059</v>
      </c>
      <c r="AE5585" s="5">
        <v>2.2358308599094845</v>
      </c>
      <c r="AF5585">
        <v>1</v>
      </c>
    </row>
    <row r="5586" spans="27:32" x14ac:dyDescent="0.3">
      <c r="AA5586" s="3">
        <v>10742.182232538744</v>
      </c>
      <c r="AB5586">
        <v>1E-4</v>
      </c>
      <c r="AC5586">
        <v>8</v>
      </c>
      <c r="AD5586" s="5">
        <v>5.1950567892397181</v>
      </c>
      <c r="AE5586" s="5">
        <v>2.2247190926401816</v>
      </c>
      <c r="AF5586">
        <v>0</v>
      </c>
    </row>
    <row r="5587" spans="27:32" x14ac:dyDescent="0.3">
      <c r="AA5587" s="3">
        <v>12456.94</v>
      </c>
      <c r="AB5587">
        <v>1E-4</v>
      </c>
      <c r="AC5587">
        <v>8</v>
      </c>
      <c r="AD5587" s="5">
        <v>4.8040340264335457</v>
      </c>
      <c r="AE5587" s="5">
        <v>2.2267570976983415</v>
      </c>
      <c r="AF5587">
        <v>1</v>
      </c>
    </row>
    <row r="5588" spans="27:32" x14ac:dyDescent="0.3">
      <c r="AA5588" s="3">
        <v>24651.68</v>
      </c>
      <c r="AB5588">
        <v>1E-4</v>
      </c>
      <c r="AC5588">
        <v>8</v>
      </c>
      <c r="AD5588" s="5">
        <v>5.0745764369632482</v>
      </c>
      <c r="AE5588" s="5">
        <v>2.1641594326916147</v>
      </c>
      <c r="AF5588">
        <v>1</v>
      </c>
    </row>
    <row r="5589" spans="27:32" x14ac:dyDescent="0.3">
      <c r="AA5589" s="3">
        <v>5613.11</v>
      </c>
      <c r="AB5589">
        <v>1E-4</v>
      </c>
      <c r="AC5589">
        <v>8</v>
      </c>
      <c r="AD5589" s="5">
        <v>4.9433291524514225</v>
      </c>
      <c r="AE5589" s="5">
        <v>2.1199176804925326</v>
      </c>
      <c r="AF5589">
        <v>1</v>
      </c>
    </row>
    <row r="5590" spans="27:32" x14ac:dyDescent="0.3">
      <c r="AA5590" s="3">
        <v>18387.97</v>
      </c>
      <c r="AB5590">
        <v>1E-4</v>
      </c>
      <c r="AC5590">
        <v>8</v>
      </c>
      <c r="AD5590" s="5">
        <v>5.0826017774756718</v>
      </c>
      <c r="AE5590" s="5">
        <v>2.127955384603732</v>
      </c>
      <c r="AF5590">
        <v>1</v>
      </c>
    </row>
    <row r="5591" spans="27:32" x14ac:dyDescent="0.3">
      <c r="AA5591" s="3">
        <v>26282.66</v>
      </c>
      <c r="AB5591">
        <v>1E-4</v>
      </c>
      <c r="AC5591">
        <v>8</v>
      </c>
      <c r="AD5591" s="5">
        <v>5.0012090640140814</v>
      </c>
      <c r="AE5591" s="5">
        <v>2.1585759941743383</v>
      </c>
      <c r="AF5591">
        <v>1</v>
      </c>
    </row>
    <row r="5592" spans="27:32" x14ac:dyDescent="0.3">
      <c r="AA5592" s="3">
        <v>-1756.54</v>
      </c>
      <c r="AB5592">
        <v>1E-4</v>
      </c>
      <c r="AC5592">
        <v>9</v>
      </c>
      <c r="AD5592" s="5">
        <v>5.0658167172405246</v>
      </c>
      <c r="AE5592" s="5">
        <v>2.2435239851973789</v>
      </c>
      <c r="AF5592">
        <v>1</v>
      </c>
    </row>
    <row r="5593" spans="27:32" x14ac:dyDescent="0.3">
      <c r="AA5593" s="3">
        <v>7435.08</v>
      </c>
      <c r="AB5593">
        <v>1E-4</v>
      </c>
      <c r="AC5593">
        <v>8</v>
      </c>
      <c r="AD5593" s="5">
        <v>5.0277105301730263</v>
      </c>
      <c r="AE5593" s="5">
        <v>2.3027931916206121</v>
      </c>
      <c r="AF5593">
        <v>1</v>
      </c>
    </row>
    <row r="5594" spans="27:32" x14ac:dyDescent="0.3">
      <c r="AA5594" s="3">
        <v>11921.07</v>
      </c>
      <c r="AB5594">
        <v>1E-4</v>
      </c>
      <c r="AC5594">
        <v>8</v>
      </c>
      <c r="AD5594" s="5">
        <v>5.0767338486920517</v>
      </c>
      <c r="AE5594" s="5">
        <v>2.198315716765773</v>
      </c>
      <c r="AF5594">
        <v>1</v>
      </c>
    </row>
    <row r="5595" spans="27:32" x14ac:dyDescent="0.3">
      <c r="AA5595" s="3">
        <v>15027.29</v>
      </c>
      <c r="AB5595">
        <v>1E-4</v>
      </c>
      <c r="AC5595">
        <v>8</v>
      </c>
      <c r="AD5595" s="5">
        <v>5.0160888480899617</v>
      </c>
      <c r="AE5595" s="5">
        <v>2.2858667736048144</v>
      </c>
      <c r="AF5595">
        <v>1</v>
      </c>
    </row>
    <row r="5596" spans="27:32" x14ac:dyDescent="0.3">
      <c r="AA5596" s="3">
        <v>13455.01</v>
      </c>
      <c r="AB5596">
        <v>1E-4</v>
      </c>
      <c r="AC5596">
        <v>8</v>
      </c>
      <c r="AD5596" s="5">
        <v>5.1075611694048169</v>
      </c>
      <c r="AE5596" s="5">
        <v>2.2279289380802672</v>
      </c>
      <c r="AF5596">
        <v>1</v>
      </c>
    </row>
    <row r="5597" spans="27:32" x14ac:dyDescent="0.3">
      <c r="AA5597" s="3">
        <v>-28802.2</v>
      </c>
      <c r="AB5597">
        <v>1E-4</v>
      </c>
      <c r="AC5597">
        <v>9</v>
      </c>
      <c r="AD5597" s="5">
        <v>4.8626153319917123</v>
      </c>
      <c r="AE5597" s="5">
        <v>2.2007764254465565</v>
      </c>
      <c r="AF5597">
        <v>1</v>
      </c>
    </row>
    <row r="5598" spans="27:32" x14ac:dyDescent="0.3">
      <c r="AA5598" s="3">
        <v>14908.43</v>
      </c>
      <c r="AB5598">
        <v>1E-4</v>
      </c>
      <c r="AC5598">
        <v>8</v>
      </c>
      <c r="AD5598" s="5">
        <v>4.9513183447664151</v>
      </c>
      <c r="AE5598" s="5">
        <v>2.271360535331409</v>
      </c>
      <c r="AF5598">
        <v>1</v>
      </c>
    </row>
    <row r="5599" spans="27:32" x14ac:dyDescent="0.3">
      <c r="AA5599" s="3">
        <v>35636.78</v>
      </c>
      <c r="AB5599">
        <v>1E-4</v>
      </c>
      <c r="AC5599">
        <v>7</v>
      </c>
      <c r="AD5599" s="5">
        <v>4.9880114080218139</v>
      </c>
      <c r="AE5599" s="5">
        <v>2.2192534364109315</v>
      </c>
      <c r="AF5599">
        <v>1</v>
      </c>
    </row>
    <row r="5600" spans="27:32" x14ac:dyDescent="0.3">
      <c r="AA5600" s="3">
        <v>-8858.74</v>
      </c>
      <c r="AB5600">
        <v>1E-4</v>
      </c>
      <c r="AC5600">
        <v>9</v>
      </c>
      <c r="AD5600" s="5">
        <v>5.0459055187938384</v>
      </c>
      <c r="AE5600" s="5">
        <v>2.2456211978090144</v>
      </c>
      <c r="AF5600">
        <v>1</v>
      </c>
    </row>
    <row r="5601" spans="27:32" x14ac:dyDescent="0.3">
      <c r="AA5601" s="3">
        <v>53731.02</v>
      </c>
      <c r="AB5601">
        <v>1E-4</v>
      </c>
      <c r="AC5601">
        <v>6</v>
      </c>
      <c r="AD5601" s="5">
        <v>5.1043784069933125</v>
      </c>
      <c r="AE5601" s="5">
        <v>2.321307046758585</v>
      </c>
      <c r="AF5601">
        <v>1</v>
      </c>
    </row>
    <row r="5602" spans="27:32" x14ac:dyDescent="0.3">
      <c r="AA5602" s="3">
        <v>10817.15</v>
      </c>
      <c r="AB5602">
        <v>1E-4</v>
      </c>
      <c r="AC5602">
        <v>8</v>
      </c>
      <c r="AD5602" s="5">
        <v>4.9261857921057626</v>
      </c>
      <c r="AE5602" s="5">
        <v>2.2806449131020083</v>
      </c>
      <c r="AF5602">
        <v>1</v>
      </c>
    </row>
    <row r="5603" spans="27:32" x14ac:dyDescent="0.3">
      <c r="AA5603" s="3">
        <v>11748.19</v>
      </c>
      <c r="AB5603">
        <v>1E-4</v>
      </c>
      <c r="AC5603">
        <v>8</v>
      </c>
      <c r="AD5603" s="5">
        <v>5.072011337519867</v>
      </c>
      <c r="AE5603" s="5">
        <v>2.1566661475648297</v>
      </c>
      <c r="AF5603">
        <v>1</v>
      </c>
    </row>
    <row r="5604" spans="27:32" x14ac:dyDescent="0.3">
      <c r="AA5604" s="3">
        <v>16127.96</v>
      </c>
      <c r="AB5604">
        <v>1E-4</v>
      </c>
      <c r="AC5604">
        <v>8</v>
      </c>
      <c r="AD5604" s="5">
        <v>4.912279958358357</v>
      </c>
      <c r="AE5604" s="5">
        <v>2.238187456777041</v>
      </c>
      <c r="AF5604">
        <v>1</v>
      </c>
    </row>
    <row r="5605" spans="27:32" x14ac:dyDescent="0.3">
      <c r="AA5605" s="3">
        <v>6628.16</v>
      </c>
      <c r="AB5605">
        <v>1E-4</v>
      </c>
      <c r="AC5605">
        <v>8</v>
      </c>
      <c r="AD5605" s="5">
        <v>5.0290483643062585</v>
      </c>
      <c r="AE5605" s="5">
        <v>2.2925917808966529</v>
      </c>
      <c r="AF5605">
        <v>1</v>
      </c>
    </row>
    <row r="5606" spans="27:32" x14ac:dyDescent="0.3">
      <c r="AA5606" s="3">
        <v>24869.61</v>
      </c>
      <c r="AB5606">
        <v>1E-4</v>
      </c>
      <c r="AC5606">
        <v>8</v>
      </c>
      <c r="AD5606" s="5">
        <v>5.0616647594990773</v>
      </c>
      <c r="AE5606" s="5">
        <v>2.1717783130719845</v>
      </c>
      <c r="AF5606">
        <v>1</v>
      </c>
    </row>
    <row r="5607" spans="27:32" x14ac:dyDescent="0.3">
      <c r="AA5607" s="3">
        <v>10648.21</v>
      </c>
      <c r="AB5607">
        <v>1E-4</v>
      </c>
      <c r="AC5607">
        <v>8</v>
      </c>
      <c r="AD5607" s="5">
        <v>4.9427021081457188</v>
      </c>
      <c r="AE5607" s="5">
        <v>2.2455967257120117</v>
      </c>
      <c r="AF5607">
        <v>1</v>
      </c>
    </row>
    <row r="5608" spans="27:32" x14ac:dyDescent="0.3">
      <c r="AA5608" s="3">
        <v>28303.7</v>
      </c>
      <c r="AB5608">
        <v>1E-4</v>
      </c>
      <c r="AC5608">
        <v>8</v>
      </c>
      <c r="AD5608" s="5">
        <v>4.8601588825981565</v>
      </c>
      <c r="AE5608" s="5">
        <v>2.1813844387445713</v>
      </c>
      <c r="AF5608">
        <v>1</v>
      </c>
    </row>
    <row r="5609" spans="27:32" x14ac:dyDescent="0.3">
      <c r="AA5609" s="3">
        <v>-2506.04</v>
      </c>
      <c r="AB5609">
        <v>1E-4</v>
      </c>
      <c r="AC5609">
        <v>9</v>
      </c>
      <c r="AD5609" s="5">
        <v>4.9382663224785839</v>
      </c>
      <c r="AE5609" s="5">
        <v>2.2530347204046319</v>
      </c>
      <c r="AF5609">
        <v>1</v>
      </c>
    </row>
    <row r="5610" spans="27:32" x14ac:dyDescent="0.3">
      <c r="AA5610" s="3">
        <v>18540.46</v>
      </c>
      <c r="AB5610">
        <v>1E-4</v>
      </c>
      <c r="AC5610">
        <v>8</v>
      </c>
      <c r="AD5610" s="5">
        <v>5.048726944736182</v>
      </c>
      <c r="AE5610" s="5">
        <v>2.2275798468516435</v>
      </c>
      <c r="AF5610">
        <v>1</v>
      </c>
    </row>
    <row r="5611" spans="27:32" x14ac:dyDescent="0.3">
      <c r="AA5611" s="3">
        <v>53716.28</v>
      </c>
      <c r="AB5611">
        <v>1E-4</v>
      </c>
      <c r="AC5611">
        <v>6</v>
      </c>
      <c r="AD5611" s="5">
        <v>5.1026602821882454</v>
      </c>
      <c r="AE5611" s="5">
        <v>2.0590149585551853</v>
      </c>
      <c r="AF5611">
        <v>1</v>
      </c>
    </row>
    <row r="5612" spans="27:32" x14ac:dyDescent="0.3">
      <c r="AA5612" s="3">
        <v>38628.29</v>
      </c>
      <c r="AB5612">
        <v>1E-4</v>
      </c>
      <c r="AC5612">
        <v>7</v>
      </c>
      <c r="AD5612" s="5">
        <v>5.0834143874743205</v>
      </c>
      <c r="AE5612" s="5">
        <v>2.0919661783856878</v>
      </c>
      <c r="AF5612">
        <v>1</v>
      </c>
    </row>
    <row r="5613" spans="27:32" x14ac:dyDescent="0.3">
      <c r="AA5613" s="3">
        <v>3556.23</v>
      </c>
      <c r="AB5613">
        <v>1E-4</v>
      </c>
      <c r="AC5613">
        <v>8</v>
      </c>
      <c r="AD5613" s="5">
        <v>4.9318443568895933</v>
      </c>
      <c r="AE5613" s="5">
        <v>2.2488605455808059</v>
      </c>
      <c r="AF5613">
        <v>1</v>
      </c>
    </row>
    <row r="5614" spans="27:32" x14ac:dyDescent="0.3">
      <c r="AA5614" s="3">
        <v>2792.73</v>
      </c>
      <c r="AB5614">
        <v>1E-4</v>
      </c>
      <c r="AC5614">
        <v>8</v>
      </c>
      <c r="AD5614" s="5">
        <v>4.8940089823271684</v>
      </c>
      <c r="AE5614" s="5">
        <v>2.2208701523156664</v>
      </c>
      <c r="AF5614">
        <v>1</v>
      </c>
    </row>
    <row r="5615" spans="27:32" x14ac:dyDescent="0.3">
      <c r="AA5615" s="3">
        <v>5430.6</v>
      </c>
      <c r="AB5615">
        <v>1E-4</v>
      </c>
      <c r="AC5615">
        <v>8</v>
      </c>
      <c r="AD5615" s="5">
        <v>4.9411440858572737</v>
      </c>
      <c r="AE5615" s="5">
        <v>2.2163043148305217</v>
      </c>
      <c r="AF5615">
        <v>1</v>
      </c>
    </row>
    <row r="5616" spans="27:32" x14ac:dyDescent="0.3">
      <c r="AA5616" s="3">
        <v>11864.42</v>
      </c>
      <c r="AB5616">
        <v>1E-4</v>
      </c>
      <c r="AC5616">
        <v>8</v>
      </c>
      <c r="AD5616" s="5">
        <v>5.0464520380782609</v>
      </c>
      <c r="AE5616" s="5">
        <v>2.2278124913722994</v>
      </c>
      <c r="AF5616">
        <v>1</v>
      </c>
    </row>
    <row r="5617" spans="27:32" x14ac:dyDescent="0.3">
      <c r="AA5617" s="3">
        <v>-3262.5</v>
      </c>
      <c r="AB5617">
        <v>1E-4</v>
      </c>
      <c r="AC5617">
        <v>9</v>
      </c>
      <c r="AD5617" s="5">
        <v>5.0677982458208559</v>
      </c>
      <c r="AE5617" s="5">
        <v>2.1655523769324319</v>
      </c>
      <c r="AF5617">
        <v>1</v>
      </c>
    </row>
    <row r="5618" spans="27:32" x14ac:dyDescent="0.3">
      <c r="AA5618" s="3">
        <v>-34235.07588778952</v>
      </c>
      <c r="AB5618">
        <v>1E-4</v>
      </c>
      <c r="AC5618">
        <v>9</v>
      </c>
      <c r="AD5618" s="5">
        <v>5.010136120876008</v>
      </c>
      <c r="AE5618" s="5">
        <v>2.1793927664207877</v>
      </c>
      <c r="AF5618">
        <v>0</v>
      </c>
    </row>
    <row r="5619" spans="27:32" x14ac:dyDescent="0.3">
      <c r="AA5619" s="3">
        <v>11397.24</v>
      </c>
      <c r="AB5619">
        <v>1E-4</v>
      </c>
      <c r="AC5619">
        <v>8</v>
      </c>
      <c r="AD5619" s="5">
        <v>4.8593298465697456</v>
      </c>
      <c r="AE5619" s="5">
        <v>2.1874317665434222</v>
      </c>
      <c r="AF5619">
        <v>1</v>
      </c>
    </row>
    <row r="5620" spans="27:32" x14ac:dyDescent="0.3">
      <c r="AA5620" s="3">
        <v>-11420.62</v>
      </c>
      <c r="AB5620">
        <v>1E-4</v>
      </c>
      <c r="AC5620">
        <v>9</v>
      </c>
      <c r="AD5620" s="5">
        <v>5.0328759110697963</v>
      </c>
      <c r="AE5620" s="5">
        <v>2.158272830957789</v>
      </c>
      <c r="AF5620">
        <v>1</v>
      </c>
    </row>
    <row r="5621" spans="27:32" x14ac:dyDescent="0.3">
      <c r="AA5621" s="3">
        <v>8555.41</v>
      </c>
      <c r="AB5621">
        <v>1E-4</v>
      </c>
      <c r="AC5621">
        <v>8</v>
      </c>
      <c r="AD5621" s="5">
        <v>4.9366347609888841</v>
      </c>
      <c r="AE5621" s="5">
        <v>2.292733996331648</v>
      </c>
      <c r="AF5621">
        <v>1</v>
      </c>
    </row>
    <row r="5622" spans="27:32" x14ac:dyDescent="0.3">
      <c r="AA5622" s="3">
        <v>20223.830000000002</v>
      </c>
      <c r="AB5622">
        <v>1E-4</v>
      </c>
      <c r="AC5622">
        <v>8</v>
      </c>
      <c r="AD5622" s="5">
        <v>4.9309221534737198</v>
      </c>
      <c r="AE5622" s="5">
        <v>2.1124436974615737</v>
      </c>
      <c r="AF5622">
        <v>1</v>
      </c>
    </row>
    <row r="5623" spans="27:32" x14ac:dyDescent="0.3">
      <c r="AA5623" s="3">
        <v>33972.33</v>
      </c>
      <c r="AB5623">
        <v>1E-4</v>
      </c>
      <c r="AC5623">
        <v>7</v>
      </c>
      <c r="AD5623" s="5">
        <v>5.130702824521487</v>
      </c>
      <c r="AE5623" s="5">
        <v>2.2471665604587296</v>
      </c>
      <c r="AF5623">
        <v>1</v>
      </c>
    </row>
    <row r="5624" spans="27:32" x14ac:dyDescent="0.3">
      <c r="AA5624" s="3">
        <v>18358.27</v>
      </c>
      <c r="AB5624">
        <v>1E-4</v>
      </c>
      <c r="AC5624">
        <v>8</v>
      </c>
      <c r="AD5624" s="5">
        <v>5.0308735587357454</v>
      </c>
      <c r="AE5624" s="5">
        <v>2.198947002661054</v>
      </c>
      <c r="AF5624">
        <v>1</v>
      </c>
    </row>
    <row r="5625" spans="27:32" x14ac:dyDescent="0.3">
      <c r="AA5625" s="3">
        <v>10322.299999999999</v>
      </c>
      <c r="AB5625">
        <v>1E-4</v>
      </c>
      <c r="AC5625">
        <v>8</v>
      </c>
      <c r="AD5625" s="5">
        <v>5.0898415080464421</v>
      </c>
      <c r="AE5625" s="5">
        <v>2.1565056256303281</v>
      </c>
      <c r="AF5625">
        <v>1</v>
      </c>
    </row>
    <row r="5626" spans="27:32" x14ac:dyDescent="0.3">
      <c r="AA5626" s="3">
        <v>-10486.33</v>
      </c>
      <c r="AB5626">
        <v>1E-4</v>
      </c>
      <c r="AC5626">
        <v>9</v>
      </c>
      <c r="AD5626" s="5">
        <v>5.2134051175104377</v>
      </c>
      <c r="AE5626" s="5">
        <v>2.2599237963972607</v>
      </c>
      <c r="AF5626">
        <v>1</v>
      </c>
    </row>
    <row r="5627" spans="27:32" x14ac:dyDescent="0.3">
      <c r="AA5627" s="3">
        <v>41544.39</v>
      </c>
      <c r="AB5627">
        <v>1E-4</v>
      </c>
      <c r="AC5627">
        <v>7</v>
      </c>
      <c r="AD5627" s="5">
        <v>4.9090620575705195</v>
      </c>
      <c r="AE5627" s="5">
        <v>2.1152548228213721</v>
      </c>
      <c r="AF5627">
        <v>1</v>
      </c>
    </row>
    <row r="5628" spans="27:32" x14ac:dyDescent="0.3">
      <c r="AA5628" s="3">
        <v>26271.71</v>
      </c>
      <c r="AB5628">
        <v>1E-4</v>
      </c>
      <c r="AC5628">
        <v>8</v>
      </c>
      <c r="AD5628" s="5">
        <v>4.9362915184452607</v>
      </c>
      <c r="AE5628" s="5">
        <v>2.2042694006284704</v>
      </c>
      <c r="AF5628">
        <v>1</v>
      </c>
    </row>
    <row r="5629" spans="27:32" x14ac:dyDescent="0.3">
      <c r="AA5629" s="3">
        <v>20277.98</v>
      </c>
      <c r="AB5629">
        <v>1E-4</v>
      </c>
      <c r="AC5629">
        <v>8</v>
      </c>
      <c r="AD5629" s="5">
        <v>5.0230491061658533</v>
      </c>
      <c r="AE5629" s="5">
        <v>2.1549050540477928</v>
      </c>
      <c r="AF5629">
        <v>1</v>
      </c>
    </row>
    <row r="5630" spans="27:32" x14ac:dyDescent="0.3">
      <c r="AA5630" s="3">
        <v>2412.14</v>
      </c>
      <c r="AB5630">
        <v>1E-4</v>
      </c>
      <c r="AC5630">
        <v>8</v>
      </c>
      <c r="AD5630" s="5">
        <v>5.0742940584780802</v>
      </c>
      <c r="AE5630" s="5">
        <v>2.2151285216519692</v>
      </c>
      <c r="AF5630">
        <v>1</v>
      </c>
    </row>
    <row r="5631" spans="27:32" x14ac:dyDescent="0.3">
      <c r="AA5631" s="3">
        <v>7049.36</v>
      </c>
      <c r="AB5631">
        <v>1E-4</v>
      </c>
      <c r="AC5631">
        <v>8</v>
      </c>
      <c r="AD5631" s="5">
        <v>4.9095867773927466</v>
      </c>
      <c r="AE5631" s="5">
        <v>2.190518288944574</v>
      </c>
      <c r="AF5631">
        <v>1</v>
      </c>
    </row>
    <row r="5632" spans="27:32" x14ac:dyDescent="0.3">
      <c r="AA5632" s="3">
        <v>13096.97</v>
      </c>
      <c r="AB5632">
        <v>1E-4</v>
      </c>
      <c r="AC5632">
        <v>8</v>
      </c>
      <c r="AD5632" s="5">
        <v>4.9712176551642964</v>
      </c>
      <c r="AE5632" s="5">
        <v>2.1308647428034919</v>
      </c>
      <c r="AF5632">
        <v>1</v>
      </c>
    </row>
    <row r="5633" spans="27:32" x14ac:dyDescent="0.3">
      <c r="AA5633" s="3">
        <v>13656.53</v>
      </c>
      <c r="AB5633">
        <v>1E-4</v>
      </c>
      <c r="AC5633">
        <v>8</v>
      </c>
      <c r="AD5633" s="5">
        <v>5.12206571364983</v>
      </c>
      <c r="AE5633" s="5">
        <v>2.1632753032138772</v>
      </c>
      <c r="AF5633">
        <v>1</v>
      </c>
    </row>
    <row r="5634" spans="27:32" x14ac:dyDescent="0.3">
      <c r="AA5634" s="3">
        <v>-6031.87</v>
      </c>
      <c r="AB5634">
        <v>1E-4</v>
      </c>
      <c r="AC5634">
        <v>9</v>
      </c>
      <c r="AD5634" s="5">
        <v>4.8583754900198386</v>
      </c>
      <c r="AE5634" s="5">
        <v>2.1393037909664971</v>
      </c>
      <c r="AF5634">
        <v>1</v>
      </c>
    </row>
    <row r="5635" spans="27:32" x14ac:dyDescent="0.3">
      <c r="AA5635" s="3">
        <v>9444.69</v>
      </c>
      <c r="AB5635">
        <v>1E-4</v>
      </c>
      <c r="AC5635">
        <v>8</v>
      </c>
      <c r="AD5635" s="5">
        <v>4.9515287493500972</v>
      </c>
      <c r="AE5635" s="5">
        <v>2.1289422378066312</v>
      </c>
      <c r="AF5635">
        <v>1</v>
      </c>
    </row>
    <row r="5636" spans="27:32" x14ac:dyDescent="0.3">
      <c r="AA5636" s="3">
        <v>37038.17</v>
      </c>
      <c r="AB5636">
        <v>1E-4</v>
      </c>
      <c r="AC5636">
        <v>7</v>
      </c>
      <c r="AD5636" s="5">
        <v>5.2345309819618313</v>
      </c>
      <c r="AE5636" s="5">
        <v>2.1907670238633248</v>
      </c>
      <c r="AF5636">
        <v>1</v>
      </c>
    </row>
    <row r="5637" spans="27:32" x14ac:dyDescent="0.3">
      <c r="AA5637" s="3">
        <v>44775.08</v>
      </c>
      <c r="AB5637">
        <v>1E-4</v>
      </c>
      <c r="AC5637">
        <v>7</v>
      </c>
      <c r="AD5637" s="5">
        <v>5.1565995464319263</v>
      </c>
      <c r="AE5637" s="5">
        <v>2.2087231493959627</v>
      </c>
      <c r="AF5637">
        <v>1</v>
      </c>
    </row>
    <row r="5638" spans="27:32" x14ac:dyDescent="0.3">
      <c r="AA5638" s="3">
        <v>8224.2099999999991</v>
      </c>
      <c r="AB5638">
        <v>1E-4</v>
      </c>
      <c r="AC5638">
        <v>8</v>
      </c>
      <c r="AD5638" s="5">
        <v>5.025954761818336</v>
      </c>
      <c r="AE5638" s="5">
        <v>2.1822263092246859</v>
      </c>
      <c r="AF5638">
        <v>1</v>
      </c>
    </row>
    <row r="5639" spans="27:32" x14ac:dyDescent="0.3">
      <c r="AA5639" s="3">
        <v>18711.28</v>
      </c>
      <c r="AB5639">
        <v>1E-4</v>
      </c>
      <c r="AC5639">
        <v>8</v>
      </c>
      <c r="AD5639" s="5">
        <v>5.0657898753225705</v>
      </c>
      <c r="AE5639" s="5">
        <v>2.2257698211206813</v>
      </c>
      <c r="AF5639">
        <v>1</v>
      </c>
    </row>
    <row r="5640" spans="27:32" x14ac:dyDescent="0.3">
      <c r="AA5640" s="3">
        <v>24870.28</v>
      </c>
      <c r="AB5640">
        <v>1E-4</v>
      </c>
      <c r="AC5640">
        <v>8</v>
      </c>
      <c r="AD5640" s="5">
        <v>5.1137848618947421</v>
      </c>
      <c r="AE5640" s="5">
        <v>2.1889560123336529</v>
      </c>
      <c r="AF5640">
        <v>1</v>
      </c>
    </row>
    <row r="5641" spans="27:32" x14ac:dyDescent="0.3">
      <c r="AA5641" s="3">
        <v>24754.54</v>
      </c>
      <c r="AB5641">
        <v>1E-4</v>
      </c>
      <c r="AC5641">
        <v>8</v>
      </c>
      <c r="AD5641" s="5">
        <v>5.1106960236671402</v>
      </c>
      <c r="AE5641" s="5">
        <v>2.1664152714204756</v>
      </c>
      <c r="AF5641">
        <v>1</v>
      </c>
    </row>
    <row r="5642" spans="27:32" x14ac:dyDescent="0.3">
      <c r="AA5642" s="3">
        <v>-2947.88</v>
      </c>
      <c r="AB5642">
        <v>1E-4</v>
      </c>
      <c r="AC5642">
        <v>9</v>
      </c>
      <c r="AD5642" s="5">
        <v>4.9686171609386447</v>
      </c>
      <c r="AE5642" s="5">
        <v>2.2431671571754186</v>
      </c>
      <c r="AF5642">
        <v>1</v>
      </c>
    </row>
    <row r="5643" spans="27:32" x14ac:dyDescent="0.3">
      <c r="AA5643" s="3">
        <v>51548.92</v>
      </c>
      <c r="AB5643">
        <v>1E-4</v>
      </c>
      <c r="AC5643">
        <v>6</v>
      </c>
      <c r="AD5643" s="5">
        <v>5.1193507699220495</v>
      </c>
      <c r="AE5643" s="5">
        <v>2.2509468670441581</v>
      </c>
      <c r="AF5643">
        <v>1</v>
      </c>
    </row>
    <row r="5644" spans="27:32" x14ac:dyDescent="0.3">
      <c r="AA5644" s="3">
        <v>34246.03</v>
      </c>
      <c r="AB5644">
        <v>1E-4</v>
      </c>
      <c r="AC5644">
        <v>7</v>
      </c>
      <c r="AD5644" s="5">
        <v>5.0053608937509724</v>
      </c>
      <c r="AE5644" s="5">
        <v>2.260669016953202</v>
      </c>
      <c r="AF5644">
        <v>1</v>
      </c>
    </row>
    <row r="5645" spans="27:32" x14ac:dyDescent="0.3">
      <c r="AA5645" s="3">
        <v>-5634.59</v>
      </c>
      <c r="AB5645">
        <v>1E-4</v>
      </c>
      <c r="AC5645">
        <v>9</v>
      </c>
      <c r="AD5645" s="5">
        <v>4.9729384291574146</v>
      </c>
      <c r="AE5645" s="5">
        <v>2.176023712047114</v>
      </c>
      <c r="AF5645">
        <v>1</v>
      </c>
    </row>
    <row r="5646" spans="27:32" x14ac:dyDescent="0.3">
      <c r="AA5646" s="3">
        <v>22945.25</v>
      </c>
      <c r="AB5646">
        <v>1E-4</v>
      </c>
      <c r="AC5646">
        <v>8</v>
      </c>
      <c r="AD5646" s="5">
        <v>5.0604530376381396</v>
      </c>
      <c r="AE5646" s="5">
        <v>2.1418376927639269</v>
      </c>
      <c r="AF5646">
        <v>1</v>
      </c>
    </row>
    <row r="5647" spans="27:32" x14ac:dyDescent="0.3">
      <c r="AA5647" s="3">
        <v>-20739.53</v>
      </c>
      <c r="AB5647">
        <v>1E-4</v>
      </c>
      <c r="AC5647">
        <v>9</v>
      </c>
      <c r="AD5647" s="5">
        <v>4.950262469403123</v>
      </c>
      <c r="AE5647" s="5">
        <v>2.1914765441021209</v>
      </c>
      <c r="AF5647">
        <v>1</v>
      </c>
    </row>
    <row r="5648" spans="27:32" x14ac:dyDescent="0.3">
      <c r="AA5648" s="3">
        <v>-8101.19</v>
      </c>
      <c r="AB5648">
        <v>1E-4</v>
      </c>
      <c r="AC5648">
        <v>9</v>
      </c>
      <c r="AD5648" s="5">
        <v>4.8373593579021241</v>
      </c>
      <c r="AE5648" s="5">
        <v>2.2288575017014467</v>
      </c>
      <c r="AF5648">
        <v>1</v>
      </c>
    </row>
    <row r="5649" spans="27:32" x14ac:dyDescent="0.3">
      <c r="AA5649" s="3">
        <v>14584.76</v>
      </c>
      <c r="AB5649">
        <v>1E-4</v>
      </c>
      <c r="AC5649">
        <v>8</v>
      </c>
      <c r="AD5649" s="5">
        <v>4.9659411934120161</v>
      </c>
      <c r="AE5649" s="5">
        <v>2.1494108151350098</v>
      </c>
      <c r="AF5649">
        <v>1</v>
      </c>
    </row>
    <row r="5650" spans="27:32" x14ac:dyDescent="0.3">
      <c r="AA5650" s="3">
        <v>9938.65</v>
      </c>
      <c r="AB5650">
        <v>1E-4</v>
      </c>
      <c r="AC5650">
        <v>8</v>
      </c>
      <c r="AD5650" s="5">
        <v>5.0501005765979858</v>
      </c>
      <c r="AE5650" s="5">
        <v>2.1462808984339445</v>
      </c>
      <c r="AF5650">
        <v>1</v>
      </c>
    </row>
    <row r="5651" spans="27:32" x14ac:dyDescent="0.3">
      <c r="AA5651" s="3">
        <v>13234.19</v>
      </c>
      <c r="AB5651">
        <v>1E-4</v>
      </c>
      <c r="AC5651">
        <v>8</v>
      </c>
      <c r="AD5651" s="5">
        <v>5.0250501932766012</v>
      </c>
      <c r="AE5651" s="5">
        <v>2.194648637059867</v>
      </c>
      <c r="AF5651">
        <v>1</v>
      </c>
    </row>
    <row r="5652" spans="27:32" x14ac:dyDescent="0.3">
      <c r="AA5652" s="3">
        <v>15613.69</v>
      </c>
      <c r="AB5652">
        <v>1E-4</v>
      </c>
      <c r="AC5652">
        <v>8</v>
      </c>
      <c r="AD5652" s="5">
        <v>4.9724935759131039</v>
      </c>
      <c r="AE5652" s="5">
        <v>2.2301826361324069</v>
      </c>
      <c r="AF5652">
        <v>1</v>
      </c>
    </row>
    <row r="5653" spans="27:32" x14ac:dyDescent="0.3">
      <c r="AA5653" s="3">
        <v>30734.83</v>
      </c>
      <c r="AB5653">
        <v>1E-4</v>
      </c>
      <c r="AC5653">
        <v>7</v>
      </c>
      <c r="AD5653" s="5">
        <v>5.0274322349521983</v>
      </c>
      <c r="AE5653" s="5">
        <v>2.1091828872066856</v>
      </c>
      <c r="AF5653">
        <v>1</v>
      </c>
    </row>
    <row r="5654" spans="27:32" x14ac:dyDescent="0.3">
      <c r="AA5654" s="3">
        <v>6731.75</v>
      </c>
      <c r="AB5654">
        <v>1E-4</v>
      </c>
      <c r="AC5654">
        <v>8</v>
      </c>
      <c r="AD5654" s="5">
        <v>5.0784845232290019</v>
      </c>
      <c r="AE5654" s="5">
        <v>2.1875635454099274</v>
      </c>
      <c r="AF5654">
        <v>1</v>
      </c>
    </row>
    <row r="5655" spans="27:32" x14ac:dyDescent="0.3">
      <c r="AA5655" s="3">
        <v>4808.92</v>
      </c>
      <c r="AB5655">
        <v>1E-4</v>
      </c>
      <c r="AC5655">
        <v>8</v>
      </c>
      <c r="AD5655" s="5">
        <v>4.8328143034270221</v>
      </c>
      <c r="AE5655" s="5">
        <v>2.1739886385407052</v>
      </c>
      <c r="AF5655">
        <v>1</v>
      </c>
    </row>
    <row r="5656" spans="27:32" x14ac:dyDescent="0.3">
      <c r="AA5656" s="3">
        <v>-15896.88</v>
      </c>
      <c r="AB5656">
        <v>1E-4</v>
      </c>
      <c r="AC5656">
        <v>9</v>
      </c>
      <c r="AD5656" s="5">
        <v>4.8721728676213685</v>
      </c>
      <c r="AE5656" s="5">
        <v>2.2694908121900017</v>
      </c>
      <c r="AF5656">
        <v>1</v>
      </c>
    </row>
    <row r="5657" spans="27:32" x14ac:dyDescent="0.3">
      <c r="AA5657" s="3">
        <v>24592.45</v>
      </c>
      <c r="AB5657">
        <v>1E-4</v>
      </c>
      <c r="AC5657">
        <v>7</v>
      </c>
      <c r="AD5657" s="5">
        <v>4.9873331888889965</v>
      </c>
      <c r="AE5657" s="5">
        <v>2.2062030155640846</v>
      </c>
      <c r="AF5657">
        <v>1</v>
      </c>
    </row>
    <row r="5658" spans="27:32" x14ac:dyDescent="0.3">
      <c r="AA5658" s="3">
        <v>11691.47</v>
      </c>
      <c r="AB5658">
        <v>1E-4</v>
      </c>
      <c r="AC5658">
        <v>8</v>
      </c>
      <c r="AD5658" s="5">
        <v>5.1003569479989945</v>
      </c>
      <c r="AE5658" s="5">
        <v>2.1814773614543652</v>
      </c>
      <c r="AF5658">
        <v>1</v>
      </c>
    </row>
    <row r="5659" spans="27:32" x14ac:dyDescent="0.3">
      <c r="AA5659" s="3">
        <v>2140.69</v>
      </c>
      <c r="AB5659">
        <v>1E-4</v>
      </c>
      <c r="AC5659">
        <v>8</v>
      </c>
      <c r="AD5659" s="5">
        <v>4.883829138344697</v>
      </c>
      <c r="AE5659" s="5">
        <v>2.1344902694516987</v>
      </c>
      <c r="AF5659">
        <v>1</v>
      </c>
    </row>
    <row r="5660" spans="27:32" x14ac:dyDescent="0.3">
      <c r="AA5660" s="3">
        <v>-5690.96</v>
      </c>
      <c r="AB5660">
        <v>1E-4</v>
      </c>
      <c r="AC5660">
        <v>9</v>
      </c>
      <c r="AD5660" s="5">
        <v>4.8576166284570945</v>
      </c>
      <c r="AE5660" s="5">
        <v>2.1835841918477756</v>
      </c>
      <c r="AF5660">
        <v>1</v>
      </c>
    </row>
    <row r="5661" spans="27:32" x14ac:dyDescent="0.3">
      <c r="AA5661" s="3">
        <v>25524.07</v>
      </c>
      <c r="AB5661">
        <v>1E-4</v>
      </c>
      <c r="AC5661">
        <v>8</v>
      </c>
      <c r="AD5661" s="5">
        <v>5.1086421376498086</v>
      </c>
      <c r="AE5661" s="5">
        <v>2.2023143611568479</v>
      </c>
      <c r="AF5661">
        <v>1</v>
      </c>
    </row>
    <row r="5662" spans="27:32" x14ac:dyDescent="0.3">
      <c r="AA5662" s="3">
        <v>-16305.97</v>
      </c>
      <c r="AB5662">
        <v>1E-4</v>
      </c>
      <c r="AC5662">
        <v>9</v>
      </c>
      <c r="AD5662" s="5">
        <v>4.9024500324674261</v>
      </c>
      <c r="AE5662" s="5">
        <v>2.2186408564274016</v>
      </c>
      <c r="AF5662">
        <v>1</v>
      </c>
    </row>
    <row r="5663" spans="27:32" x14ac:dyDescent="0.3">
      <c r="AA5663" s="3">
        <v>24907.99</v>
      </c>
      <c r="AB5663">
        <v>1E-4</v>
      </c>
      <c r="AC5663">
        <v>8</v>
      </c>
      <c r="AD5663" s="5">
        <v>5.0831434954727328</v>
      </c>
      <c r="AE5663" s="5">
        <v>2.1432037145391694</v>
      </c>
      <c r="AF5663">
        <v>1</v>
      </c>
    </row>
    <row r="5664" spans="27:32" x14ac:dyDescent="0.3">
      <c r="AA5664" s="3">
        <v>20996.51</v>
      </c>
      <c r="AB5664">
        <v>1E-4</v>
      </c>
      <c r="AC5664">
        <v>8</v>
      </c>
      <c r="AD5664" s="5">
        <v>4.9547626510117926</v>
      </c>
      <c r="AE5664" s="5">
        <v>2.1860855273993489</v>
      </c>
      <c r="AF5664">
        <v>1</v>
      </c>
    </row>
    <row r="5665" spans="27:32" x14ac:dyDescent="0.3">
      <c r="AA5665" s="3">
        <v>17499.900000000001</v>
      </c>
      <c r="AB5665">
        <v>1E-4</v>
      </c>
      <c r="AC5665">
        <v>8</v>
      </c>
      <c r="AD5665" s="5">
        <v>5.0141124965710047</v>
      </c>
      <c r="AE5665" s="5">
        <v>2.0964591353895483</v>
      </c>
      <c r="AF5665">
        <v>1</v>
      </c>
    </row>
    <row r="5666" spans="27:32" x14ac:dyDescent="0.3">
      <c r="AA5666" s="3">
        <v>2053.89</v>
      </c>
      <c r="AB5666">
        <v>1E-4</v>
      </c>
      <c r="AC5666">
        <v>8</v>
      </c>
      <c r="AD5666" s="5">
        <v>4.942374083000896</v>
      </c>
      <c r="AE5666" s="5">
        <v>2.2679449710674269</v>
      </c>
      <c r="AF5666">
        <v>1</v>
      </c>
    </row>
    <row r="5667" spans="27:32" x14ac:dyDescent="0.3">
      <c r="AA5667" s="3">
        <v>39142.5</v>
      </c>
      <c r="AB5667">
        <v>1E-4</v>
      </c>
      <c r="AC5667">
        <v>7</v>
      </c>
      <c r="AD5667" s="5">
        <v>5.0351129675074828</v>
      </c>
      <c r="AE5667" s="5">
        <v>2.1403254753623093</v>
      </c>
      <c r="AF5667">
        <v>1</v>
      </c>
    </row>
    <row r="5668" spans="27:32" x14ac:dyDescent="0.3">
      <c r="AA5668" s="3">
        <v>3044.42</v>
      </c>
      <c r="AB5668">
        <v>1E-4</v>
      </c>
      <c r="AC5668">
        <v>8</v>
      </c>
      <c r="AD5668" s="5">
        <v>4.9556275625877193</v>
      </c>
      <c r="AE5668" s="5">
        <v>2.2123864985131463</v>
      </c>
      <c r="AF5668">
        <v>1</v>
      </c>
    </row>
    <row r="5669" spans="27:32" x14ac:dyDescent="0.3">
      <c r="AA5669" s="3">
        <v>13433.05</v>
      </c>
      <c r="AB5669">
        <v>1E-4</v>
      </c>
      <c r="AC5669">
        <v>8</v>
      </c>
      <c r="AD5669" s="5">
        <v>4.9804296856204084</v>
      </c>
      <c r="AE5669" s="5">
        <v>2.1671380644528648</v>
      </c>
      <c r="AF5669">
        <v>1</v>
      </c>
    </row>
    <row r="5670" spans="27:32" x14ac:dyDescent="0.3">
      <c r="AA5670" s="3">
        <v>-10671.85</v>
      </c>
      <c r="AB5670">
        <v>1E-4</v>
      </c>
      <c r="AC5670">
        <v>9</v>
      </c>
      <c r="AD5670" s="5">
        <v>4.8475425212411274</v>
      </c>
      <c r="AE5670" s="5">
        <v>2.2160073343493818</v>
      </c>
      <c r="AF5670">
        <v>1</v>
      </c>
    </row>
    <row r="5671" spans="27:32" x14ac:dyDescent="0.3">
      <c r="AA5671" s="3">
        <v>5557.77</v>
      </c>
      <c r="AB5671">
        <v>1E-4</v>
      </c>
      <c r="AC5671">
        <v>8</v>
      </c>
      <c r="AD5671" s="5">
        <v>4.9609592249893186</v>
      </c>
      <c r="AE5671" s="5">
        <v>2.2247069606256265</v>
      </c>
      <c r="AF5671">
        <v>1</v>
      </c>
    </row>
    <row r="5672" spans="27:32" x14ac:dyDescent="0.3">
      <c r="AA5672" s="3">
        <v>19232.849999999999</v>
      </c>
      <c r="AB5672">
        <v>1E-4</v>
      </c>
      <c r="AC5672">
        <v>8</v>
      </c>
      <c r="AD5672" s="5">
        <v>5.127883048777508</v>
      </c>
      <c r="AE5672" s="5">
        <v>2.2292933359507745</v>
      </c>
      <c r="AF5672">
        <v>1</v>
      </c>
    </row>
    <row r="5673" spans="27:32" x14ac:dyDescent="0.3">
      <c r="AA5673" s="3">
        <v>10594.75</v>
      </c>
      <c r="AB5673">
        <v>1E-4</v>
      </c>
      <c r="AC5673">
        <v>8</v>
      </c>
      <c r="AD5673" s="5">
        <v>4.9685673445828469</v>
      </c>
      <c r="AE5673" s="5">
        <v>2.1682524853138294</v>
      </c>
      <c r="AF5673">
        <v>1</v>
      </c>
    </row>
    <row r="5674" spans="27:32" x14ac:dyDescent="0.3">
      <c r="AA5674" s="3">
        <v>9247.0898993073788</v>
      </c>
      <c r="AB5674">
        <v>1E-4</v>
      </c>
      <c r="AC5674">
        <v>8</v>
      </c>
      <c r="AD5674" s="5">
        <v>5.0310051151016477</v>
      </c>
      <c r="AE5674" s="5">
        <v>2.2403817952277789</v>
      </c>
      <c r="AF5674">
        <v>0</v>
      </c>
    </row>
    <row r="5675" spans="27:32" x14ac:dyDescent="0.3">
      <c r="AA5675" s="3">
        <v>17724.990000000002</v>
      </c>
      <c r="AB5675">
        <v>1E-4</v>
      </c>
      <c r="AC5675">
        <v>8</v>
      </c>
      <c r="AD5675" s="5">
        <v>4.9519508208640737</v>
      </c>
      <c r="AE5675" s="5">
        <v>2.2609683421386451</v>
      </c>
      <c r="AF5675">
        <v>1</v>
      </c>
    </row>
    <row r="5676" spans="27:32" x14ac:dyDescent="0.3">
      <c r="AA5676" s="3">
        <v>-1705.49</v>
      </c>
      <c r="AB5676">
        <v>1E-4</v>
      </c>
      <c r="AC5676">
        <v>9</v>
      </c>
      <c r="AD5676" s="5">
        <v>4.9027175567985815</v>
      </c>
      <c r="AE5676" s="5">
        <v>2.1747226638371817</v>
      </c>
      <c r="AF5676">
        <v>1</v>
      </c>
    </row>
    <row r="5677" spans="27:32" x14ac:dyDescent="0.3">
      <c r="AA5677" s="3">
        <v>12623.21</v>
      </c>
      <c r="AB5677">
        <v>1E-4</v>
      </c>
      <c r="AC5677">
        <v>8</v>
      </c>
      <c r="AD5677" s="5">
        <v>4.9487894772797842</v>
      </c>
      <c r="AE5677" s="5">
        <v>2.2397901908716085</v>
      </c>
      <c r="AF5677">
        <v>1</v>
      </c>
    </row>
    <row r="5678" spans="27:32" x14ac:dyDescent="0.3">
      <c r="AA5678" s="3">
        <v>20032.689999999999</v>
      </c>
      <c r="AB5678">
        <v>1E-4</v>
      </c>
      <c r="AC5678">
        <v>8</v>
      </c>
      <c r="AD5678" s="5">
        <v>4.9180807003287654</v>
      </c>
      <c r="AE5678" s="5">
        <v>2.1866851345505092</v>
      </c>
      <c r="AF5678">
        <v>1</v>
      </c>
    </row>
    <row r="5679" spans="27:32" x14ac:dyDescent="0.3">
      <c r="AA5679" s="3">
        <v>40637.980000000003</v>
      </c>
      <c r="AB5679">
        <v>1E-4</v>
      </c>
      <c r="AC5679">
        <v>7</v>
      </c>
      <c r="AD5679" s="5">
        <v>5.0986646032261289</v>
      </c>
      <c r="AE5679" s="5">
        <v>2.2010930769171062</v>
      </c>
      <c r="AF5679">
        <v>1</v>
      </c>
    </row>
    <row r="5680" spans="27:32" x14ac:dyDescent="0.3">
      <c r="AA5680" s="3">
        <v>6319.06</v>
      </c>
      <c r="AB5680">
        <v>1E-4</v>
      </c>
      <c r="AC5680">
        <v>8</v>
      </c>
      <c r="AD5680" s="5">
        <v>4.9980118003410956</v>
      </c>
      <c r="AE5680" s="5">
        <v>2.1519394698775054</v>
      </c>
      <c r="AF5680">
        <v>1</v>
      </c>
    </row>
    <row r="5681" spans="27:32" x14ac:dyDescent="0.3">
      <c r="AA5681" s="3">
        <v>53937.81</v>
      </c>
      <c r="AB5681">
        <v>1E-4</v>
      </c>
      <c r="AC5681">
        <v>6</v>
      </c>
      <c r="AD5681" s="5">
        <v>5.0973361471612382</v>
      </c>
      <c r="AE5681" s="5">
        <v>2.1673837782244192</v>
      </c>
      <c r="AF5681">
        <v>1</v>
      </c>
    </row>
    <row r="5682" spans="27:32" x14ac:dyDescent="0.3">
      <c r="AA5682" s="3">
        <v>29002.16</v>
      </c>
      <c r="AB5682">
        <v>1E-4</v>
      </c>
      <c r="AC5682">
        <v>7</v>
      </c>
      <c r="AD5682" s="5">
        <v>5.0003008910861775</v>
      </c>
      <c r="AE5682" s="5">
        <v>2.272210152996132</v>
      </c>
      <c r="AF5682">
        <v>1</v>
      </c>
    </row>
    <row r="5683" spans="27:32" x14ac:dyDescent="0.3">
      <c r="AA5683" s="3">
        <v>5809.78</v>
      </c>
      <c r="AB5683">
        <v>1E-4</v>
      </c>
      <c r="AC5683">
        <v>8</v>
      </c>
      <c r="AD5683" s="5">
        <v>5.0789966918777187</v>
      </c>
      <c r="AE5683" s="5">
        <v>2.2003693587171989</v>
      </c>
      <c r="AF5683">
        <v>1</v>
      </c>
    </row>
    <row r="5684" spans="27:32" x14ac:dyDescent="0.3">
      <c r="AA5684" s="3">
        <v>-19977.740000000002</v>
      </c>
      <c r="AB5684">
        <v>1E-4</v>
      </c>
      <c r="AC5684">
        <v>9</v>
      </c>
      <c r="AD5684" s="5">
        <v>4.9207856814549888</v>
      </c>
      <c r="AE5684" s="5">
        <v>2.2467100177710386</v>
      </c>
      <c r="AF5684">
        <v>1</v>
      </c>
    </row>
    <row r="5685" spans="27:32" x14ac:dyDescent="0.3">
      <c r="AA5685" s="3">
        <v>30096.05</v>
      </c>
      <c r="AB5685">
        <v>1E-4</v>
      </c>
      <c r="AC5685">
        <v>7</v>
      </c>
      <c r="AD5685" s="5">
        <v>5.0202370919989407</v>
      </c>
      <c r="AE5685" s="5">
        <v>2.2238596402105371</v>
      </c>
      <c r="AF5685">
        <v>1</v>
      </c>
    </row>
    <row r="5686" spans="27:32" x14ac:dyDescent="0.3">
      <c r="AA5686" s="3">
        <v>4166.29</v>
      </c>
      <c r="AB5686">
        <v>1E-4</v>
      </c>
      <c r="AC5686">
        <v>8</v>
      </c>
      <c r="AD5686" s="5">
        <v>4.9161941745906921</v>
      </c>
      <c r="AE5686" s="5">
        <v>2.2686232086240761</v>
      </c>
      <c r="AF5686">
        <v>1</v>
      </c>
    </row>
    <row r="5687" spans="27:32" x14ac:dyDescent="0.3">
      <c r="AA5687" s="3">
        <v>12080.06</v>
      </c>
      <c r="AB5687">
        <v>1E-4</v>
      </c>
      <c r="AC5687">
        <v>8</v>
      </c>
      <c r="AD5687" s="5">
        <v>5.097941161686494</v>
      </c>
      <c r="AE5687" s="5">
        <v>2.2061572046591751</v>
      </c>
      <c r="AF5687">
        <v>1</v>
      </c>
    </row>
    <row r="5688" spans="27:32" x14ac:dyDescent="0.3">
      <c r="AA5688" s="3">
        <v>-620.91</v>
      </c>
      <c r="AB5688">
        <v>1E-4</v>
      </c>
      <c r="AC5688">
        <v>9</v>
      </c>
      <c r="AD5688" s="5">
        <v>4.9815722606738539</v>
      </c>
      <c r="AE5688" s="5">
        <v>2.2478649661669241</v>
      </c>
      <c r="AF5688">
        <v>1</v>
      </c>
    </row>
    <row r="5689" spans="27:32" x14ac:dyDescent="0.3">
      <c r="AA5689" s="3">
        <v>10708.41</v>
      </c>
      <c r="AB5689">
        <v>1E-4</v>
      </c>
      <c r="AC5689">
        <v>8</v>
      </c>
      <c r="AD5689" s="5">
        <v>4.955228485748842</v>
      </c>
      <c r="AE5689" s="5">
        <v>2.1634314130488188</v>
      </c>
      <c r="AF5689">
        <v>1</v>
      </c>
    </row>
    <row r="5690" spans="27:32" x14ac:dyDescent="0.3">
      <c r="AA5690" s="3">
        <v>22973.97</v>
      </c>
      <c r="AB5690">
        <v>1E-4</v>
      </c>
      <c r="AC5690">
        <v>8</v>
      </c>
      <c r="AD5690" s="5">
        <v>5.0256722556454774</v>
      </c>
      <c r="AE5690" s="5">
        <v>2.1548925975677533</v>
      </c>
      <c r="AF5690">
        <v>1</v>
      </c>
    </row>
    <row r="5691" spans="27:32" x14ac:dyDescent="0.3">
      <c r="AA5691" s="3">
        <v>-2174.1799999999998</v>
      </c>
      <c r="AB5691">
        <v>1E-4</v>
      </c>
      <c r="AC5691">
        <v>9</v>
      </c>
      <c r="AD5691" s="5">
        <v>4.8971291207306828</v>
      </c>
      <c r="AE5691" s="5">
        <v>2.1943690459598257</v>
      </c>
      <c r="AF5691">
        <v>1</v>
      </c>
    </row>
    <row r="5692" spans="27:32" x14ac:dyDescent="0.3">
      <c r="AA5692" s="3">
        <v>29281.84</v>
      </c>
      <c r="AB5692">
        <v>1E-4</v>
      </c>
      <c r="AC5692">
        <v>8</v>
      </c>
      <c r="AD5692" s="5">
        <v>4.9678536254870931</v>
      </c>
      <c r="AE5692" s="5">
        <v>2.1495475331132745</v>
      </c>
      <c r="AF5692">
        <v>1</v>
      </c>
    </row>
    <row r="5693" spans="27:32" x14ac:dyDescent="0.3">
      <c r="AA5693" s="3">
        <v>29498.560000000001</v>
      </c>
      <c r="AB5693">
        <v>1E-4</v>
      </c>
      <c r="AC5693">
        <v>8</v>
      </c>
      <c r="AD5693" s="5">
        <v>4.9338891094345021</v>
      </c>
      <c r="AE5693" s="5">
        <v>2.1308469510291395</v>
      </c>
      <c r="AF5693">
        <v>1</v>
      </c>
    </row>
    <row r="5694" spans="27:32" x14ac:dyDescent="0.3">
      <c r="AA5694" s="3">
        <v>7550.21</v>
      </c>
      <c r="AB5694">
        <v>1E-4</v>
      </c>
      <c r="AC5694">
        <v>8</v>
      </c>
      <c r="AD5694" s="5">
        <v>4.9560152569652569</v>
      </c>
      <c r="AE5694" s="5">
        <v>2.188513354902184</v>
      </c>
      <c r="AF5694">
        <v>1</v>
      </c>
    </row>
    <row r="5695" spans="27:32" x14ac:dyDescent="0.3">
      <c r="AA5695" s="3">
        <v>-9527.2099999999991</v>
      </c>
      <c r="AB5695">
        <v>1E-4</v>
      </c>
      <c r="AC5695">
        <v>9</v>
      </c>
      <c r="AD5695" s="5">
        <v>4.8396194300442774</v>
      </c>
      <c r="AE5695" s="5">
        <v>2.2030497298513225</v>
      </c>
      <c r="AF5695">
        <v>1</v>
      </c>
    </row>
    <row r="5696" spans="27:32" x14ac:dyDescent="0.3">
      <c r="AA5696" s="3">
        <v>24554.03</v>
      </c>
      <c r="AB5696">
        <v>1E-4</v>
      </c>
      <c r="AC5696">
        <v>8</v>
      </c>
      <c r="AD5696" s="5">
        <v>5.0049174599344273</v>
      </c>
      <c r="AE5696" s="5">
        <v>2.2154086476184731</v>
      </c>
      <c r="AF5696">
        <v>1</v>
      </c>
    </row>
    <row r="5697" spans="27:32" x14ac:dyDescent="0.3">
      <c r="AA5697" s="3">
        <v>41051.769999999997</v>
      </c>
      <c r="AB5697">
        <v>1E-4</v>
      </c>
      <c r="AC5697">
        <v>7</v>
      </c>
      <c r="AD5697" s="5">
        <v>5.0845691830547759</v>
      </c>
      <c r="AE5697" s="5">
        <v>2.2236158514130677</v>
      </c>
      <c r="AF5697">
        <v>1</v>
      </c>
    </row>
    <row r="5698" spans="27:32" x14ac:dyDescent="0.3">
      <c r="AA5698" s="3">
        <v>31479.49</v>
      </c>
      <c r="AB5698">
        <v>1E-4</v>
      </c>
      <c r="AC5698">
        <v>7</v>
      </c>
      <c r="AD5698" s="5">
        <v>5.0120509140866893</v>
      </c>
      <c r="AE5698" s="5">
        <v>2.1385539289391167</v>
      </c>
      <c r="AF5698">
        <v>1</v>
      </c>
    </row>
    <row r="5699" spans="27:32" x14ac:dyDescent="0.3">
      <c r="AA5699" s="3">
        <v>21257.439999999999</v>
      </c>
      <c r="AB5699">
        <v>1E-4</v>
      </c>
      <c r="AC5699">
        <v>8</v>
      </c>
      <c r="AD5699" s="5">
        <v>5.1624867335886417</v>
      </c>
      <c r="AE5699" s="5">
        <v>2.2187724659084034</v>
      </c>
      <c r="AF5699">
        <v>1</v>
      </c>
    </row>
    <row r="5700" spans="27:32" x14ac:dyDescent="0.3">
      <c r="AA5700" s="3">
        <v>11670.16</v>
      </c>
      <c r="AB5700">
        <v>1E-4</v>
      </c>
      <c r="AC5700">
        <v>8</v>
      </c>
      <c r="AD5700" s="5">
        <v>4.870717030874224</v>
      </c>
      <c r="AE5700" s="5">
        <v>2.1498190621330231</v>
      </c>
      <c r="AF5700">
        <v>1</v>
      </c>
    </row>
    <row r="5701" spans="27:32" x14ac:dyDescent="0.3">
      <c r="AA5701" s="3">
        <v>8762.02</v>
      </c>
      <c r="AB5701">
        <v>1E-4</v>
      </c>
      <c r="AC5701">
        <v>8</v>
      </c>
      <c r="AD5701" s="5">
        <v>5.0674879632559025</v>
      </c>
      <c r="AE5701" s="5">
        <v>2.2281890179606414</v>
      </c>
      <c r="AF5701">
        <v>1</v>
      </c>
    </row>
    <row r="5702" spans="27:32" x14ac:dyDescent="0.3">
      <c r="AA5702" s="3">
        <v>-6070.5</v>
      </c>
      <c r="AB5702">
        <v>1E-4</v>
      </c>
      <c r="AC5702">
        <v>9</v>
      </c>
      <c r="AD5702" s="5">
        <v>5.1060318644430192</v>
      </c>
      <c r="AE5702" s="5">
        <v>2.2193752216625668</v>
      </c>
      <c r="AF5702">
        <v>1</v>
      </c>
    </row>
    <row r="5703" spans="27:32" x14ac:dyDescent="0.3">
      <c r="AA5703" s="3">
        <v>27729.46</v>
      </c>
      <c r="AB5703">
        <v>1E-4</v>
      </c>
      <c r="AC5703">
        <v>8</v>
      </c>
      <c r="AD5703" s="5">
        <v>5.1155775532391852</v>
      </c>
      <c r="AE5703" s="5">
        <v>2.2289406788570219</v>
      </c>
      <c r="AF5703">
        <v>1</v>
      </c>
    </row>
    <row r="5704" spans="27:32" x14ac:dyDescent="0.3">
      <c r="AA5704" s="3">
        <v>7725.19</v>
      </c>
      <c r="AB5704">
        <v>1E-4</v>
      </c>
      <c r="AC5704">
        <v>8</v>
      </c>
      <c r="AD5704" s="5">
        <v>4.8436677191614983</v>
      </c>
      <c r="AE5704" s="5">
        <v>2.153200611597907</v>
      </c>
      <c r="AF5704">
        <v>1</v>
      </c>
    </row>
    <row r="5705" spans="27:32" x14ac:dyDescent="0.3">
      <c r="AA5705" s="3">
        <v>15026.17</v>
      </c>
      <c r="AB5705">
        <v>1E-4</v>
      </c>
      <c r="AC5705">
        <v>8</v>
      </c>
      <c r="AD5705" s="5">
        <v>5.0823610502994363</v>
      </c>
      <c r="AE5705" s="5">
        <v>2.2429830266183735</v>
      </c>
      <c r="AF5705">
        <v>1</v>
      </c>
    </row>
    <row r="5706" spans="27:32" x14ac:dyDescent="0.3">
      <c r="AA5706" s="3">
        <v>-2407.5300000000002</v>
      </c>
      <c r="AB5706">
        <v>1E-4</v>
      </c>
      <c r="AC5706">
        <v>9</v>
      </c>
      <c r="AD5706" s="5">
        <v>4.881590351477251</v>
      </c>
      <c r="AE5706" s="5">
        <v>2.2560833346629439</v>
      </c>
      <c r="AF5706">
        <v>1</v>
      </c>
    </row>
    <row r="5707" spans="27:32" x14ac:dyDescent="0.3">
      <c r="AA5707" s="3">
        <v>3270.22</v>
      </c>
      <c r="AB5707">
        <v>1E-4</v>
      </c>
      <c r="AC5707">
        <v>8</v>
      </c>
      <c r="AD5707" s="5">
        <v>5.0155606029932187</v>
      </c>
      <c r="AE5707" s="5">
        <v>2.1763617434037372</v>
      </c>
      <c r="AF5707">
        <v>1</v>
      </c>
    </row>
    <row r="5708" spans="27:32" x14ac:dyDescent="0.3">
      <c r="AA5708" s="3">
        <v>17592.23</v>
      </c>
      <c r="AB5708">
        <v>1E-4</v>
      </c>
      <c r="AC5708">
        <v>8</v>
      </c>
      <c r="AD5708" s="5">
        <v>4.9678345150223286</v>
      </c>
      <c r="AE5708" s="5">
        <v>2.2519903819301521</v>
      </c>
      <c r="AF5708">
        <v>1</v>
      </c>
    </row>
    <row r="5709" spans="27:32" x14ac:dyDescent="0.3">
      <c r="AA5709" s="3">
        <v>9900.07</v>
      </c>
      <c r="AB5709">
        <v>1E-4</v>
      </c>
      <c r="AC5709">
        <v>8</v>
      </c>
      <c r="AD5709" s="5">
        <v>5.0008921416361156</v>
      </c>
      <c r="AE5709" s="5">
        <v>2.2241996042816994</v>
      </c>
      <c r="AF5709">
        <v>1</v>
      </c>
    </row>
    <row r="5710" spans="27:32" x14ac:dyDescent="0.3">
      <c r="AA5710" s="3">
        <v>4084.79</v>
      </c>
      <c r="AB5710">
        <v>1E-4</v>
      </c>
      <c r="AC5710">
        <v>8</v>
      </c>
      <c r="AD5710" s="5">
        <v>4.9107469444794729</v>
      </c>
      <c r="AE5710" s="5">
        <v>2.2496032619075765</v>
      </c>
      <c r="AF5710">
        <v>1</v>
      </c>
    </row>
    <row r="5711" spans="27:32" x14ac:dyDescent="0.3">
      <c r="AA5711" s="3">
        <v>11329.65</v>
      </c>
      <c r="AB5711">
        <v>1E-4</v>
      </c>
      <c r="AC5711">
        <v>8</v>
      </c>
      <c r="AD5711" s="5">
        <v>5.134655119646454</v>
      </c>
      <c r="AE5711" s="5">
        <v>2.2417430212563629</v>
      </c>
      <c r="AF5711">
        <v>1</v>
      </c>
    </row>
    <row r="5712" spans="27:32" x14ac:dyDescent="0.3">
      <c r="AA5712" s="3">
        <v>61930.42</v>
      </c>
      <c r="AB5712">
        <v>1E-4</v>
      </c>
      <c r="AC5712">
        <v>6</v>
      </c>
      <c r="AD5712" s="5">
        <v>4.9722052728340111</v>
      </c>
      <c r="AE5712" s="5">
        <v>2.2416808397117793</v>
      </c>
      <c r="AF5712">
        <v>1</v>
      </c>
    </row>
    <row r="5713" spans="27:32" x14ac:dyDescent="0.3">
      <c r="AA5713" s="3">
        <v>20320.53</v>
      </c>
      <c r="AB5713">
        <v>1E-4</v>
      </c>
      <c r="AC5713">
        <v>8</v>
      </c>
      <c r="AD5713" s="5">
        <v>5.0008681033817961</v>
      </c>
      <c r="AE5713" s="5">
        <v>2.2329295390658346</v>
      </c>
      <c r="AF5713">
        <v>1</v>
      </c>
    </row>
    <row r="5714" spans="27:32" x14ac:dyDescent="0.3">
      <c r="AA5714" s="3">
        <v>19989.96</v>
      </c>
      <c r="AB5714">
        <v>1E-4</v>
      </c>
      <c r="AC5714">
        <v>8</v>
      </c>
      <c r="AD5714" s="5">
        <v>5.0370840845454836</v>
      </c>
      <c r="AE5714" s="5">
        <v>2.2274760094775141</v>
      </c>
      <c r="AF5714">
        <v>1</v>
      </c>
    </row>
    <row r="5715" spans="27:32" x14ac:dyDescent="0.3">
      <c r="AA5715" s="3">
        <v>821.03</v>
      </c>
      <c r="AB5715">
        <v>1E-4</v>
      </c>
      <c r="AC5715">
        <v>8</v>
      </c>
      <c r="AD5715" s="5">
        <v>4.9535545112933006</v>
      </c>
      <c r="AE5715" s="5">
        <v>2.1493861869944046</v>
      </c>
      <c r="AF5715">
        <v>1</v>
      </c>
    </row>
    <row r="5716" spans="27:32" x14ac:dyDescent="0.3">
      <c r="AA5716" s="3">
        <v>18209.13</v>
      </c>
      <c r="AB5716">
        <v>1E-4</v>
      </c>
      <c r="AC5716">
        <v>8</v>
      </c>
      <c r="AD5716" s="5">
        <v>5.0194954644866945</v>
      </c>
      <c r="AE5716" s="5">
        <v>2.1648258735585495</v>
      </c>
      <c r="AF5716">
        <v>1</v>
      </c>
    </row>
    <row r="5717" spans="27:32" x14ac:dyDescent="0.3">
      <c r="AA5717" s="3">
        <v>14283.59</v>
      </c>
      <c r="AB5717">
        <v>1E-4</v>
      </c>
      <c r="AC5717">
        <v>8</v>
      </c>
      <c r="AD5717" s="5">
        <v>5.1222850172656944</v>
      </c>
      <c r="AE5717" s="5">
        <v>2.2603725251479263</v>
      </c>
      <c r="AF5717">
        <v>1</v>
      </c>
    </row>
    <row r="5718" spans="27:32" x14ac:dyDescent="0.3">
      <c r="AA5718" s="3">
        <v>27541.22</v>
      </c>
      <c r="AB5718">
        <v>1E-4</v>
      </c>
      <c r="AC5718">
        <v>8</v>
      </c>
      <c r="AD5718" s="5">
        <v>4.8397562200894884</v>
      </c>
      <c r="AE5718" s="5">
        <v>2.1139519306680894</v>
      </c>
      <c r="AF5718">
        <v>1</v>
      </c>
    </row>
    <row r="5719" spans="27:32" x14ac:dyDescent="0.3">
      <c r="AA5719" s="3">
        <v>22608.92</v>
      </c>
      <c r="AB5719">
        <v>1E-4</v>
      </c>
      <c r="AC5719">
        <v>8</v>
      </c>
      <c r="AD5719" s="5">
        <v>4.8627608006821887</v>
      </c>
      <c r="AE5719" s="5">
        <v>2.2233748171940118</v>
      </c>
      <c r="AF5719">
        <v>1</v>
      </c>
    </row>
    <row r="5720" spans="27:32" x14ac:dyDescent="0.3">
      <c r="AA5720" s="3">
        <v>4855.95</v>
      </c>
      <c r="AB5720">
        <v>1E-4</v>
      </c>
      <c r="AC5720">
        <v>8</v>
      </c>
      <c r="AD5720" s="5">
        <v>5.086256173790737</v>
      </c>
      <c r="AE5720" s="5">
        <v>2.2127947787556552</v>
      </c>
      <c r="AF5720">
        <v>1</v>
      </c>
    </row>
    <row r="5721" spans="27:32" x14ac:dyDescent="0.3">
      <c r="AA5721" s="3">
        <v>28241.38</v>
      </c>
      <c r="AB5721">
        <v>1E-4</v>
      </c>
      <c r="AC5721">
        <v>8</v>
      </c>
      <c r="AD5721" s="5">
        <v>4.9999513730923386</v>
      </c>
      <c r="AE5721" s="5">
        <v>2.124134789676436</v>
      </c>
      <c r="AF5721">
        <v>1</v>
      </c>
    </row>
    <row r="5722" spans="27:32" x14ac:dyDescent="0.3">
      <c r="AA5722" s="3">
        <v>26680.47</v>
      </c>
      <c r="AB5722">
        <v>1E-4</v>
      </c>
      <c r="AC5722">
        <v>8</v>
      </c>
      <c r="AD5722" s="5">
        <v>4.9988665706944122</v>
      </c>
      <c r="AE5722" s="5">
        <v>2.1987555171816888</v>
      </c>
      <c r="AF5722">
        <v>1</v>
      </c>
    </row>
    <row r="5723" spans="27:32" x14ac:dyDescent="0.3">
      <c r="AA5723" s="3">
        <v>8451.4500000000007</v>
      </c>
      <c r="AB5723">
        <v>1E-4</v>
      </c>
      <c r="AC5723">
        <v>8</v>
      </c>
      <c r="AD5723" s="5">
        <v>4.8976783404822308</v>
      </c>
      <c r="AE5723" s="5">
        <v>2.2571281983023201</v>
      </c>
      <c r="AF5723">
        <v>1</v>
      </c>
    </row>
    <row r="5724" spans="27:32" x14ac:dyDescent="0.3">
      <c r="AA5724" s="3">
        <v>21919.25</v>
      </c>
      <c r="AB5724">
        <v>1E-4</v>
      </c>
      <c r="AC5724">
        <v>8</v>
      </c>
      <c r="AD5724" s="5">
        <v>5.0347257334122641</v>
      </c>
      <c r="AE5724" s="5">
        <v>2.1869338357228387</v>
      </c>
      <c r="AF5724">
        <v>1</v>
      </c>
    </row>
    <row r="5725" spans="27:32" x14ac:dyDescent="0.3">
      <c r="AA5725" s="3">
        <v>18168.150000000001</v>
      </c>
      <c r="AB5725">
        <v>1E-4</v>
      </c>
      <c r="AC5725">
        <v>8</v>
      </c>
      <c r="AD5725" s="5">
        <v>5.0268230687711402</v>
      </c>
      <c r="AE5725" s="5">
        <v>2.207761608737604</v>
      </c>
      <c r="AF5725">
        <v>1</v>
      </c>
    </row>
    <row r="5726" spans="27:32" x14ac:dyDescent="0.3">
      <c r="AA5726" s="3">
        <v>20630.509999999998</v>
      </c>
      <c r="AB5726">
        <v>1E-4</v>
      </c>
      <c r="AC5726">
        <v>8</v>
      </c>
      <c r="AD5726" s="5">
        <v>4.977705547232584</v>
      </c>
      <c r="AE5726" s="5">
        <v>2.251968114455289</v>
      </c>
      <c r="AF5726">
        <v>1</v>
      </c>
    </row>
    <row r="5727" spans="27:32" x14ac:dyDescent="0.3">
      <c r="AA5727" s="3">
        <v>35240.25</v>
      </c>
      <c r="AB5727">
        <v>1E-4</v>
      </c>
      <c r="AC5727">
        <v>7</v>
      </c>
      <c r="AD5727" s="5">
        <v>4.9465662640287782</v>
      </c>
      <c r="AE5727" s="5">
        <v>2.1694156401857541</v>
      </c>
      <c r="AF5727">
        <v>1</v>
      </c>
    </row>
    <row r="5728" spans="27:32" x14ac:dyDescent="0.3">
      <c r="AA5728" s="3">
        <v>-1166.9125056103367</v>
      </c>
      <c r="AB5728">
        <v>1E-4</v>
      </c>
      <c r="AC5728">
        <v>8</v>
      </c>
      <c r="AD5728" s="5">
        <v>4.9089562640433915</v>
      </c>
      <c r="AE5728" s="5">
        <v>2.1714851457899491</v>
      </c>
      <c r="AF5728">
        <v>0</v>
      </c>
    </row>
    <row r="5729" spans="27:32" x14ac:dyDescent="0.3">
      <c r="AA5729" s="3">
        <v>16276.15</v>
      </c>
      <c r="AB5729">
        <v>1E-4</v>
      </c>
      <c r="AC5729">
        <v>8</v>
      </c>
      <c r="AD5729" s="5">
        <v>5.0672334096875637</v>
      </c>
      <c r="AE5729" s="5">
        <v>2.2294582125933804</v>
      </c>
      <c r="AF5729">
        <v>1</v>
      </c>
    </row>
    <row r="5730" spans="27:32" x14ac:dyDescent="0.3">
      <c r="AA5730" s="3">
        <v>32203.78</v>
      </c>
      <c r="AB5730">
        <v>1E-4</v>
      </c>
      <c r="AC5730">
        <v>7</v>
      </c>
      <c r="AD5730" s="5">
        <v>4.8940871450127306</v>
      </c>
      <c r="AE5730" s="5">
        <v>2.2608192594146317</v>
      </c>
      <c r="AF5730">
        <v>1</v>
      </c>
    </row>
    <row r="5731" spans="27:32" x14ac:dyDescent="0.3">
      <c r="AA5731" s="3">
        <v>1956.82</v>
      </c>
      <c r="AB5731">
        <v>1E-4</v>
      </c>
      <c r="AC5731">
        <v>8</v>
      </c>
      <c r="AD5731" s="5">
        <v>5.0977360179311253</v>
      </c>
      <c r="AE5731" s="5">
        <v>2.2079429374099959</v>
      </c>
      <c r="AF5731">
        <v>1</v>
      </c>
    </row>
    <row r="5732" spans="27:32" x14ac:dyDescent="0.3">
      <c r="AA5732" s="3">
        <v>5800.29</v>
      </c>
      <c r="AB5732">
        <v>1E-4</v>
      </c>
      <c r="AC5732">
        <v>8</v>
      </c>
      <c r="AD5732" s="5">
        <v>4.9796279026328376</v>
      </c>
      <c r="AE5732" s="5">
        <v>2.2209582805613888</v>
      </c>
      <c r="AF5732">
        <v>1</v>
      </c>
    </row>
    <row r="5733" spans="27:32" x14ac:dyDescent="0.3">
      <c r="AA5733" s="3">
        <v>10212.51</v>
      </c>
      <c r="AB5733">
        <v>1E-4</v>
      </c>
      <c r="AC5733">
        <v>8</v>
      </c>
      <c r="AD5733" s="5">
        <v>5.0153200878212782</v>
      </c>
      <c r="AE5733" s="5">
        <v>2.2046808064659227</v>
      </c>
      <c r="AF5733">
        <v>1</v>
      </c>
    </row>
    <row r="5734" spans="27:32" x14ac:dyDescent="0.3">
      <c r="AA5734" s="3">
        <v>25901.65</v>
      </c>
      <c r="AB5734">
        <v>1E-4</v>
      </c>
      <c r="AC5734">
        <v>8</v>
      </c>
      <c r="AD5734" s="5">
        <v>5.0362198733120156</v>
      </c>
      <c r="AE5734" s="5">
        <v>2.2163821055595276</v>
      </c>
      <c r="AF5734">
        <v>1</v>
      </c>
    </row>
    <row r="5735" spans="27:32" x14ac:dyDescent="0.3">
      <c r="AA5735" s="3">
        <v>-7017.42</v>
      </c>
      <c r="AB5735">
        <v>1E-4</v>
      </c>
      <c r="AC5735">
        <v>9</v>
      </c>
      <c r="AD5735" s="5">
        <v>5.0304215301781383</v>
      </c>
      <c r="AE5735" s="5">
        <v>2.2340148604103125</v>
      </c>
      <c r="AF5735">
        <v>1</v>
      </c>
    </row>
    <row r="5736" spans="27:32" x14ac:dyDescent="0.3">
      <c r="AA5736" s="3">
        <v>29851.200000000001</v>
      </c>
      <c r="AB5736">
        <v>1E-4</v>
      </c>
      <c r="AC5736">
        <v>7</v>
      </c>
      <c r="AD5736" s="5">
        <v>4.8750297267313334</v>
      </c>
      <c r="AE5736" s="5">
        <v>2.1839441980486063</v>
      </c>
      <c r="AF5736">
        <v>1</v>
      </c>
    </row>
    <row r="5737" spans="27:32" x14ac:dyDescent="0.3">
      <c r="AA5737" s="3">
        <v>1252.68</v>
      </c>
      <c r="AB5737">
        <v>1E-4</v>
      </c>
      <c r="AC5737">
        <v>8</v>
      </c>
      <c r="AD5737" s="5">
        <v>5.0185054682373345</v>
      </c>
      <c r="AE5737" s="5">
        <v>2.2491842896472716</v>
      </c>
      <c r="AF5737">
        <v>1</v>
      </c>
    </row>
    <row r="5738" spans="27:32" x14ac:dyDescent="0.3">
      <c r="AA5738" s="3">
        <v>-23344.442022734089</v>
      </c>
      <c r="AB5738">
        <v>1E-4</v>
      </c>
      <c r="AC5738">
        <v>9</v>
      </c>
      <c r="AD5738" s="5">
        <v>4.8739288540870183</v>
      </c>
      <c r="AE5738" s="5">
        <v>2.0842933403323727</v>
      </c>
      <c r="AF5738">
        <v>0</v>
      </c>
    </row>
    <row r="5739" spans="27:32" x14ac:dyDescent="0.3">
      <c r="AA5739" s="3">
        <v>-8588.6</v>
      </c>
      <c r="AB5739">
        <v>1E-4</v>
      </c>
      <c r="AC5739">
        <v>9</v>
      </c>
      <c r="AD5739" s="5">
        <v>4.9428479931019789</v>
      </c>
      <c r="AE5739" s="5">
        <v>2.1419493093890103</v>
      </c>
      <c r="AF5739">
        <v>1</v>
      </c>
    </row>
    <row r="5740" spans="27:32" x14ac:dyDescent="0.3">
      <c r="AA5740" s="3">
        <v>48291.53</v>
      </c>
      <c r="AB5740">
        <v>1E-4</v>
      </c>
      <c r="AC5740">
        <v>7</v>
      </c>
      <c r="AD5740" s="5">
        <v>5.1544679828670938</v>
      </c>
      <c r="AE5740" s="5">
        <v>2.1923284932541405</v>
      </c>
      <c r="AF5740">
        <v>1</v>
      </c>
    </row>
    <row r="5741" spans="27:32" x14ac:dyDescent="0.3">
      <c r="AA5741" s="3">
        <v>14529.62</v>
      </c>
      <c r="AB5741">
        <v>1E-4</v>
      </c>
      <c r="AC5741">
        <v>8</v>
      </c>
      <c r="AD5741" s="5">
        <v>4.9560360795645568</v>
      </c>
      <c r="AE5741" s="5">
        <v>2.2100647064879664</v>
      </c>
      <c r="AF5741">
        <v>1</v>
      </c>
    </row>
    <row r="5742" spans="27:32" x14ac:dyDescent="0.3">
      <c r="AA5742" s="3">
        <v>17838.95</v>
      </c>
      <c r="AB5742">
        <v>1E-4</v>
      </c>
      <c r="AC5742">
        <v>8</v>
      </c>
      <c r="AD5742" s="5">
        <v>5.0664489587118204</v>
      </c>
      <c r="AE5742" s="5">
        <v>2.1764819982934203</v>
      </c>
      <c r="AF5742">
        <v>1</v>
      </c>
    </row>
    <row r="5743" spans="27:32" x14ac:dyDescent="0.3">
      <c r="AA5743" s="3">
        <v>189.88</v>
      </c>
      <c r="AB5743">
        <v>1E-4</v>
      </c>
      <c r="AC5743">
        <v>8</v>
      </c>
      <c r="AD5743" s="5">
        <v>4.8001467790931596</v>
      </c>
      <c r="AE5743" s="5">
        <v>2.1744778153671982</v>
      </c>
      <c r="AF5743">
        <v>1</v>
      </c>
    </row>
    <row r="5744" spans="27:32" x14ac:dyDescent="0.3">
      <c r="AA5744" s="3">
        <v>28158.5</v>
      </c>
      <c r="AB5744">
        <v>1E-4</v>
      </c>
      <c r="AC5744">
        <v>8</v>
      </c>
      <c r="AD5744" s="5">
        <v>5.076246434733787</v>
      </c>
      <c r="AE5744" s="5">
        <v>2.1534856945010898</v>
      </c>
      <c r="AF5744">
        <v>1</v>
      </c>
    </row>
    <row r="5745" spans="27:32" x14ac:dyDescent="0.3">
      <c r="AA5745" s="3">
        <v>20483.580000000002</v>
      </c>
      <c r="AB5745">
        <v>1E-4</v>
      </c>
      <c r="AC5745">
        <v>8</v>
      </c>
      <c r="AD5745" s="5">
        <v>5.0595518785492777</v>
      </c>
      <c r="AE5745" s="5">
        <v>2.2580333368435297</v>
      </c>
      <c r="AF5745">
        <v>1</v>
      </c>
    </row>
    <row r="5746" spans="27:32" x14ac:dyDescent="0.3">
      <c r="AA5746" s="3">
        <v>-14584.49</v>
      </c>
      <c r="AB5746">
        <v>1E-4</v>
      </c>
      <c r="AC5746">
        <v>9</v>
      </c>
      <c r="AD5746" s="5">
        <v>4.9990076510475872</v>
      </c>
      <c r="AE5746" s="5">
        <v>2.2982495213433332</v>
      </c>
      <c r="AF5746">
        <v>1</v>
      </c>
    </row>
    <row r="5747" spans="27:32" x14ac:dyDescent="0.3">
      <c r="AA5747" s="3">
        <v>29447.94</v>
      </c>
      <c r="AB5747">
        <v>1E-4</v>
      </c>
      <c r="AC5747">
        <v>8</v>
      </c>
      <c r="AD5747" s="5">
        <v>5.1510694971903002</v>
      </c>
      <c r="AE5747" s="5">
        <v>2.3008066176237998</v>
      </c>
      <c r="AF5747">
        <v>1</v>
      </c>
    </row>
    <row r="5748" spans="27:32" x14ac:dyDescent="0.3">
      <c r="AA5748" s="3">
        <v>-11264.93</v>
      </c>
      <c r="AB5748">
        <v>1E-4</v>
      </c>
      <c r="AC5748">
        <v>9</v>
      </c>
      <c r="AD5748" s="5">
        <v>4.9561532268597963</v>
      </c>
      <c r="AE5748" s="5">
        <v>2.2456439566878035</v>
      </c>
      <c r="AF5748">
        <v>1</v>
      </c>
    </row>
    <row r="5749" spans="27:32" x14ac:dyDescent="0.3">
      <c r="AA5749" s="3">
        <v>46444.57</v>
      </c>
      <c r="AB5749">
        <v>1E-4</v>
      </c>
      <c r="AC5749">
        <v>6</v>
      </c>
      <c r="AD5749" s="5">
        <v>5.0589390738349707</v>
      </c>
      <c r="AE5749" s="5">
        <v>2.197238519563339</v>
      </c>
      <c r="AF5749">
        <v>1</v>
      </c>
    </row>
    <row r="5750" spans="27:32" x14ac:dyDescent="0.3">
      <c r="AA5750" s="3">
        <v>8236.7900000000009</v>
      </c>
      <c r="AB5750">
        <v>1E-4</v>
      </c>
      <c r="AC5750">
        <v>8</v>
      </c>
      <c r="AD5750" s="5">
        <v>5.1066287032474706</v>
      </c>
      <c r="AE5750" s="5">
        <v>2.2646277931008751</v>
      </c>
      <c r="AF5750">
        <v>1</v>
      </c>
    </row>
    <row r="5751" spans="27:32" x14ac:dyDescent="0.3">
      <c r="AA5751" s="3">
        <v>24140.55</v>
      </c>
      <c r="AB5751">
        <v>1E-4</v>
      </c>
      <c r="AC5751">
        <v>8</v>
      </c>
      <c r="AD5751" s="5">
        <v>4.9957508645811783</v>
      </c>
      <c r="AE5751" s="5">
        <v>2.2220344234121061</v>
      </c>
      <c r="AF5751">
        <v>1</v>
      </c>
    </row>
    <row r="5752" spans="27:32" x14ac:dyDescent="0.3">
      <c r="AA5752" s="3">
        <v>7314.64</v>
      </c>
      <c r="AB5752">
        <v>1E-4</v>
      </c>
      <c r="AC5752">
        <v>8</v>
      </c>
      <c r="AD5752" s="5">
        <v>4.9262057996096269</v>
      </c>
      <c r="AE5752" s="5">
        <v>2.241095805395684</v>
      </c>
      <c r="AF5752">
        <v>1</v>
      </c>
    </row>
    <row r="5753" spans="27:32" x14ac:dyDescent="0.3">
      <c r="AA5753" s="3">
        <v>15727.65</v>
      </c>
      <c r="AB5753">
        <v>1E-4</v>
      </c>
      <c r="AC5753">
        <v>8</v>
      </c>
      <c r="AD5753" s="5">
        <v>5.0425568200456938</v>
      </c>
      <c r="AE5753" s="5">
        <v>2.1597297140044751</v>
      </c>
      <c r="AF5753">
        <v>1</v>
      </c>
    </row>
    <row r="5754" spans="27:32" x14ac:dyDescent="0.3">
      <c r="AA5754" s="3">
        <v>26190.43</v>
      </c>
      <c r="AB5754">
        <v>1E-4</v>
      </c>
      <c r="AC5754">
        <v>7</v>
      </c>
      <c r="AD5754" s="5">
        <v>5.0839454375495423</v>
      </c>
      <c r="AE5754" s="5">
        <v>2.2058502136586253</v>
      </c>
      <c r="AF5754">
        <v>1</v>
      </c>
    </row>
    <row r="5755" spans="27:32" x14ac:dyDescent="0.3">
      <c r="AA5755" s="3">
        <v>11222.82</v>
      </c>
      <c r="AB5755">
        <v>1E-4</v>
      </c>
      <c r="AC5755">
        <v>8</v>
      </c>
      <c r="AD5755" s="5">
        <v>4.9426713846331038</v>
      </c>
      <c r="AE5755" s="5">
        <v>2.2134829589614089</v>
      </c>
      <c r="AF5755">
        <v>1</v>
      </c>
    </row>
    <row r="5756" spans="27:32" x14ac:dyDescent="0.3">
      <c r="AA5756" s="3">
        <v>34214.15</v>
      </c>
      <c r="AB5756">
        <v>1E-4</v>
      </c>
      <c r="AC5756">
        <v>7</v>
      </c>
      <c r="AD5756" s="5">
        <v>4.8638422834278927</v>
      </c>
      <c r="AE5756" s="5">
        <v>2.0707269202483261</v>
      </c>
      <c r="AF5756">
        <v>1</v>
      </c>
    </row>
    <row r="5757" spans="27:32" x14ac:dyDescent="0.3">
      <c r="AA5757" s="3">
        <v>39751.800000000003</v>
      </c>
      <c r="AB5757">
        <v>1E-4</v>
      </c>
      <c r="AC5757">
        <v>7</v>
      </c>
      <c r="AD5757" s="5">
        <v>4.881306870292895</v>
      </c>
      <c r="AE5757" s="5">
        <v>2.1915925300453649</v>
      </c>
      <c r="AF5757">
        <v>1</v>
      </c>
    </row>
    <row r="5758" spans="27:32" x14ac:dyDescent="0.3">
      <c r="AA5758" s="3">
        <v>-49.95</v>
      </c>
      <c r="AB5758">
        <v>1E-4</v>
      </c>
      <c r="AC5758">
        <v>9</v>
      </c>
      <c r="AD5758" s="5">
        <v>4.817893496817109</v>
      </c>
      <c r="AE5758" s="5">
        <v>2.2018743873982403</v>
      </c>
      <c r="AF5758">
        <v>1</v>
      </c>
    </row>
    <row r="5759" spans="27:32" x14ac:dyDescent="0.3">
      <c r="AA5759" s="3">
        <v>13481.99</v>
      </c>
      <c r="AB5759">
        <v>1E-4</v>
      </c>
      <c r="AC5759">
        <v>8</v>
      </c>
      <c r="AD5759" s="5">
        <v>4.9126766627063754</v>
      </c>
      <c r="AE5759" s="5">
        <v>2.2906090495618341</v>
      </c>
      <c r="AF5759">
        <v>1</v>
      </c>
    </row>
    <row r="5760" spans="27:32" x14ac:dyDescent="0.3">
      <c r="AA5760" s="3">
        <v>-2647.61</v>
      </c>
      <c r="AB5760">
        <v>1E-4</v>
      </c>
      <c r="AC5760">
        <v>9</v>
      </c>
      <c r="AD5760" s="5">
        <v>4.8220909708507014</v>
      </c>
      <c r="AE5760" s="5">
        <v>2.170574532990432</v>
      </c>
      <c r="AF5760">
        <v>1</v>
      </c>
    </row>
    <row r="5761" spans="27:32" x14ac:dyDescent="0.3">
      <c r="AA5761" s="3">
        <v>19173.310000000001</v>
      </c>
      <c r="AB5761">
        <v>1E-4</v>
      </c>
      <c r="AC5761">
        <v>8</v>
      </c>
      <c r="AD5761" s="5">
        <v>5.0333426757421247</v>
      </c>
      <c r="AE5761" s="5">
        <v>2.2253712739496048</v>
      </c>
      <c r="AF5761">
        <v>1</v>
      </c>
    </row>
    <row r="5762" spans="27:32" x14ac:dyDescent="0.3">
      <c r="AA5762" s="3">
        <v>-15422.61</v>
      </c>
      <c r="AB5762">
        <v>1E-4</v>
      </c>
      <c r="AC5762">
        <v>9</v>
      </c>
      <c r="AD5762" s="5">
        <v>5.1350373728815528</v>
      </c>
      <c r="AE5762" s="5">
        <v>2.2278650134032763</v>
      </c>
      <c r="AF5762">
        <v>1</v>
      </c>
    </row>
    <row r="5763" spans="27:32" x14ac:dyDescent="0.3">
      <c r="AA5763" s="3">
        <v>19537.54</v>
      </c>
      <c r="AB5763">
        <v>1E-4</v>
      </c>
      <c r="AC5763">
        <v>8</v>
      </c>
      <c r="AD5763" s="5">
        <v>5.0473667822696138</v>
      </c>
      <c r="AE5763" s="5">
        <v>2.1643629042478945</v>
      </c>
      <c r="AF5763">
        <v>1</v>
      </c>
    </row>
    <row r="5764" spans="27:32" x14ac:dyDescent="0.3">
      <c r="AA5764" s="3">
        <v>-36008.169615012179</v>
      </c>
      <c r="AB5764">
        <v>1E-4</v>
      </c>
      <c r="AC5764">
        <v>9</v>
      </c>
      <c r="AD5764" s="5">
        <v>4.912149354885667</v>
      </c>
      <c r="AE5764" s="5">
        <v>2.2272392690083187</v>
      </c>
      <c r="AF5764">
        <v>0</v>
      </c>
    </row>
    <row r="5765" spans="27:32" x14ac:dyDescent="0.3">
      <c r="AA5765" s="3">
        <v>11590.13</v>
      </c>
      <c r="AB5765">
        <v>1E-4</v>
      </c>
      <c r="AC5765">
        <v>8</v>
      </c>
      <c r="AD5765" s="5">
        <v>4.995484887249642</v>
      </c>
      <c r="AE5765" s="5">
        <v>2.2072915855677149</v>
      </c>
      <c r="AF5765">
        <v>1</v>
      </c>
    </row>
    <row r="5766" spans="27:32" x14ac:dyDescent="0.3">
      <c r="AA5766" s="3">
        <v>18577.95</v>
      </c>
      <c r="AB5766">
        <v>1E-4</v>
      </c>
      <c r="AC5766">
        <v>8</v>
      </c>
      <c r="AD5766" s="5">
        <v>4.8485680289094404</v>
      </c>
      <c r="AE5766" s="5">
        <v>2.2736817490687709</v>
      </c>
      <c r="AF5766">
        <v>1</v>
      </c>
    </row>
    <row r="5767" spans="27:32" x14ac:dyDescent="0.3">
      <c r="AA5767" s="3">
        <v>2871.53</v>
      </c>
      <c r="AB5767">
        <v>1E-4</v>
      </c>
      <c r="AC5767">
        <v>8</v>
      </c>
      <c r="AD5767" s="5">
        <v>4.8243109643184718</v>
      </c>
      <c r="AE5767" s="5">
        <v>2.2930755805253007</v>
      </c>
      <c r="AF5767">
        <v>1</v>
      </c>
    </row>
    <row r="5768" spans="27:32" x14ac:dyDescent="0.3">
      <c r="AA5768" s="3">
        <v>31830.22</v>
      </c>
      <c r="AB5768">
        <v>1E-4</v>
      </c>
      <c r="AC5768">
        <v>7</v>
      </c>
      <c r="AD5768" s="5">
        <v>5.0211867754998654</v>
      </c>
      <c r="AE5768" s="5">
        <v>2.2051325668063009</v>
      </c>
      <c r="AF5768">
        <v>1</v>
      </c>
    </row>
    <row r="5769" spans="27:32" x14ac:dyDescent="0.3">
      <c r="AA5769" s="3">
        <v>-3201.95</v>
      </c>
      <c r="AB5769">
        <v>1E-4</v>
      </c>
      <c r="AC5769">
        <v>9</v>
      </c>
      <c r="AD5769" s="5">
        <v>4.9839148687427555</v>
      </c>
      <c r="AE5769" s="5">
        <v>2.202172986270051</v>
      </c>
      <c r="AF5769">
        <v>1</v>
      </c>
    </row>
    <row r="5770" spans="27:32" x14ac:dyDescent="0.3">
      <c r="AA5770" s="3">
        <v>38332.03</v>
      </c>
      <c r="AB5770">
        <v>1E-4</v>
      </c>
      <c r="AC5770">
        <v>7</v>
      </c>
      <c r="AD5770" s="5">
        <v>4.9759705347318919</v>
      </c>
      <c r="AE5770" s="5">
        <v>2.2071839354965297</v>
      </c>
      <c r="AF5770">
        <v>1</v>
      </c>
    </row>
    <row r="5771" spans="27:32" x14ac:dyDescent="0.3">
      <c r="AA5771" s="3">
        <v>26834.27</v>
      </c>
      <c r="AB5771">
        <v>1E-4</v>
      </c>
      <c r="AC5771">
        <v>8</v>
      </c>
      <c r="AD5771" s="5">
        <v>5.0397137666438532</v>
      </c>
      <c r="AE5771" s="5">
        <v>2.2178926355010335</v>
      </c>
      <c r="AF5771">
        <v>1</v>
      </c>
    </row>
    <row r="5772" spans="27:32" x14ac:dyDescent="0.3">
      <c r="AA5772" s="3">
        <v>31141.42</v>
      </c>
      <c r="AB5772">
        <v>1E-4</v>
      </c>
      <c r="AC5772">
        <v>7</v>
      </c>
      <c r="AD5772" s="5">
        <v>5.2656906258313718</v>
      </c>
      <c r="AE5772" s="5">
        <v>2.1558073197583361</v>
      </c>
      <c r="AF5772">
        <v>1</v>
      </c>
    </row>
    <row r="5773" spans="27:32" x14ac:dyDescent="0.3">
      <c r="AA5773" s="3">
        <v>18000.580000000002</v>
      </c>
      <c r="AB5773">
        <v>1E-4</v>
      </c>
      <c r="AC5773">
        <v>8</v>
      </c>
      <c r="AD5773" s="5">
        <v>5.0218802211591598</v>
      </c>
      <c r="AE5773" s="5">
        <v>2.1692242662923507</v>
      </c>
      <c r="AF5773">
        <v>1</v>
      </c>
    </row>
    <row r="5774" spans="27:32" x14ac:dyDescent="0.3">
      <c r="AA5774" s="3">
        <v>27409.53</v>
      </c>
      <c r="AB5774">
        <v>1E-4</v>
      </c>
      <c r="AC5774">
        <v>8</v>
      </c>
      <c r="AD5774" s="5">
        <v>5.0868482993179605</v>
      </c>
      <c r="AE5774" s="5">
        <v>2.1178789509695877</v>
      </c>
      <c r="AF5774">
        <v>1</v>
      </c>
    </row>
    <row r="5775" spans="27:32" x14ac:dyDescent="0.3">
      <c r="AA5775" s="3">
        <v>22497.86</v>
      </c>
      <c r="AB5775">
        <v>1E-4</v>
      </c>
      <c r="AC5775">
        <v>8</v>
      </c>
      <c r="AD5775" s="5">
        <v>5.0724710553985304</v>
      </c>
      <c r="AE5775" s="5">
        <v>2.1925357153267613</v>
      </c>
      <c r="AF5775">
        <v>1</v>
      </c>
    </row>
    <row r="5776" spans="27:32" x14ac:dyDescent="0.3">
      <c r="AA5776" s="3">
        <v>-11775.8</v>
      </c>
      <c r="AB5776">
        <v>1E-4</v>
      </c>
      <c r="AC5776">
        <v>9</v>
      </c>
      <c r="AD5776" s="5">
        <v>4.9483727184404938</v>
      </c>
      <c r="AE5776" s="5">
        <v>2.3195733823132705</v>
      </c>
      <c r="AF5776">
        <v>1</v>
      </c>
    </row>
    <row r="5777" spans="27:32" x14ac:dyDescent="0.3">
      <c r="AA5777" s="3">
        <v>44544.67</v>
      </c>
      <c r="AB5777">
        <v>1E-4</v>
      </c>
      <c r="AC5777">
        <v>7</v>
      </c>
      <c r="AD5777" s="5">
        <v>5.0480479501911288</v>
      </c>
      <c r="AE5777" s="5">
        <v>2.1733339110112468</v>
      </c>
      <c r="AF5777">
        <v>1</v>
      </c>
    </row>
    <row r="5778" spans="27:32" x14ac:dyDescent="0.3">
      <c r="AA5778" s="3">
        <v>25531.4</v>
      </c>
      <c r="AB5778">
        <v>1E-4</v>
      </c>
      <c r="AC5778">
        <v>8</v>
      </c>
      <c r="AD5778" s="5">
        <v>5.2657070066891869</v>
      </c>
      <c r="AE5778" s="5">
        <v>2.1973890302110712</v>
      </c>
      <c r="AF5778">
        <v>1</v>
      </c>
    </row>
    <row r="5779" spans="27:32" x14ac:dyDescent="0.3">
      <c r="AA5779" s="3">
        <v>1378.21</v>
      </c>
      <c r="AB5779">
        <v>1E-4</v>
      </c>
      <c r="AC5779">
        <v>8</v>
      </c>
      <c r="AD5779" s="5">
        <v>5.0386559608112673</v>
      </c>
      <c r="AE5779" s="5">
        <v>2.2149505079743448</v>
      </c>
      <c r="AF5779">
        <v>1</v>
      </c>
    </row>
    <row r="5780" spans="27:32" x14ac:dyDescent="0.3">
      <c r="AA5780" s="3">
        <v>6518.1</v>
      </c>
      <c r="AB5780">
        <v>1E-4</v>
      </c>
      <c r="AC5780">
        <v>8</v>
      </c>
      <c r="AD5780" s="5">
        <v>5.1067660646897401</v>
      </c>
      <c r="AE5780" s="5">
        <v>2.2427139065422361</v>
      </c>
      <c r="AF5780">
        <v>1</v>
      </c>
    </row>
    <row r="5781" spans="27:32" x14ac:dyDescent="0.3">
      <c r="AA5781" s="3">
        <v>-5990.26</v>
      </c>
      <c r="AB5781">
        <v>1E-4</v>
      </c>
      <c r="AC5781">
        <v>9</v>
      </c>
      <c r="AD5781" s="5">
        <v>4.9310906085215862</v>
      </c>
      <c r="AE5781" s="5">
        <v>2.1480591611865818</v>
      </c>
      <c r="AF5781">
        <v>1</v>
      </c>
    </row>
    <row r="5782" spans="27:32" x14ac:dyDescent="0.3">
      <c r="AA5782" s="3">
        <v>25971.200000000001</v>
      </c>
      <c r="AB5782">
        <v>1E-4</v>
      </c>
      <c r="AC5782">
        <v>8</v>
      </c>
      <c r="AD5782" s="5">
        <v>5.0299777267041907</v>
      </c>
      <c r="AE5782" s="5">
        <v>2.2086916266445007</v>
      </c>
      <c r="AF5782">
        <v>1</v>
      </c>
    </row>
    <row r="5783" spans="27:32" x14ac:dyDescent="0.3">
      <c r="AA5783" s="3">
        <v>-1619.79</v>
      </c>
      <c r="AB5783">
        <v>1E-4</v>
      </c>
      <c r="AC5783">
        <v>9</v>
      </c>
      <c r="AD5783" s="5">
        <v>4.7756422463640913</v>
      </c>
      <c r="AE5783" s="5">
        <v>2.1249524551595766</v>
      </c>
      <c r="AF5783">
        <v>1</v>
      </c>
    </row>
    <row r="5784" spans="27:32" x14ac:dyDescent="0.3">
      <c r="AA5784" s="3">
        <v>16785.75</v>
      </c>
      <c r="AB5784">
        <v>1E-4</v>
      </c>
      <c r="AC5784">
        <v>8</v>
      </c>
      <c r="AD5784" s="5">
        <v>5.0439186259302788</v>
      </c>
      <c r="AE5784" s="5">
        <v>2.2206834989566291</v>
      </c>
      <c r="AF5784">
        <v>1</v>
      </c>
    </row>
    <row r="5785" spans="27:32" x14ac:dyDescent="0.3">
      <c r="AA5785" s="3">
        <v>22483.86</v>
      </c>
      <c r="AB5785">
        <v>1E-4</v>
      </c>
      <c r="AC5785">
        <v>8</v>
      </c>
      <c r="AD5785" s="5">
        <v>4.9356841497616246</v>
      </c>
      <c r="AE5785" s="5">
        <v>2.21073912538998</v>
      </c>
      <c r="AF5785">
        <v>1</v>
      </c>
    </row>
    <row r="5786" spans="27:32" x14ac:dyDescent="0.3">
      <c r="AA5786" s="3">
        <v>14713.68</v>
      </c>
      <c r="AB5786">
        <v>1E-4</v>
      </c>
      <c r="AC5786">
        <v>8</v>
      </c>
      <c r="AD5786" s="5">
        <v>4.9430099009741388</v>
      </c>
      <c r="AE5786" s="5">
        <v>2.1758732367983682</v>
      </c>
      <c r="AF5786">
        <v>1</v>
      </c>
    </row>
    <row r="5787" spans="27:32" x14ac:dyDescent="0.3">
      <c r="AA5787" s="3">
        <v>34575.29</v>
      </c>
      <c r="AB5787">
        <v>1E-4</v>
      </c>
      <c r="AC5787">
        <v>7</v>
      </c>
      <c r="AD5787" s="5">
        <v>5.0136816274050569</v>
      </c>
      <c r="AE5787" s="5">
        <v>2.1939004072815633</v>
      </c>
      <c r="AF5787">
        <v>1</v>
      </c>
    </row>
    <row r="5788" spans="27:32" x14ac:dyDescent="0.3">
      <c r="AA5788" s="3">
        <v>14189.22</v>
      </c>
      <c r="AB5788">
        <v>1E-4</v>
      </c>
      <c r="AC5788">
        <v>8</v>
      </c>
      <c r="AD5788" s="5">
        <v>4.8702372811208052</v>
      </c>
      <c r="AE5788" s="5">
        <v>2.2084334241799328</v>
      </c>
      <c r="AF5788">
        <v>1</v>
      </c>
    </row>
    <row r="5789" spans="27:32" x14ac:dyDescent="0.3">
      <c r="AA5789" s="3">
        <v>33216.019999999997</v>
      </c>
      <c r="AB5789">
        <v>1E-4</v>
      </c>
      <c r="AC5789">
        <v>7</v>
      </c>
      <c r="AD5789" s="5">
        <v>4.9846522486579516</v>
      </c>
      <c r="AE5789" s="5">
        <v>2.1795181625644751</v>
      </c>
      <c r="AF5789">
        <v>1</v>
      </c>
    </row>
    <row r="5790" spans="27:32" x14ac:dyDescent="0.3">
      <c r="AA5790" s="3">
        <v>32400.6</v>
      </c>
      <c r="AB5790">
        <v>1E-4</v>
      </c>
      <c r="AC5790">
        <v>7</v>
      </c>
      <c r="AD5790" s="5">
        <v>4.9980390642481147</v>
      </c>
      <c r="AE5790" s="5">
        <v>2.1688052970328378</v>
      </c>
      <c r="AF5790">
        <v>1</v>
      </c>
    </row>
    <row r="5791" spans="27:32" x14ac:dyDescent="0.3">
      <c r="AA5791" s="3">
        <v>15260.95</v>
      </c>
      <c r="AB5791">
        <v>1E-4</v>
      </c>
      <c r="AC5791">
        <v>8</v>
      </c>
      <c r="AD5791" s="5">
        <v>5.076793314873604</v>
      </c>
      <c r="AE5791" s="5">
        <v>2.1849294567013429</v>
      </c>
      <c r="AF5791">
        <v>1</v>
      </c>
    </row>
    <row r="5792" spans="27:32" x14ac:dyDescent="0.3">
      <c r="AA5792" s="3">
        <v>25223.74</v>
      </c>
      <c r="AB5792">
        <v>1E-4</v>
      </c>
      <c r="AC5792">
        <v>8</v>
      </c>
      <c r="AD5792" s="5">
        <v>5.1702013645338756</v>
      </c>
      <c r="AE5792" s="5">
        <v>2.1817883752310054</v>
      </c>
      <c r="AF5792">
        <v>1</v>
      </c>
    </row>
    <row r="5793" spans="27:32" x14ac:dyDescent="0.3">
      <c r="AA5793" s="3">
        <v>26231.1</v>
      </c>
      <c r="AB5793">
        <v>1E-4</v>
      </c>
      <c r="AC5793">
        <v>8</v>
      </c>
      <c r="AD5793" s="5">
        <v>4.792930447800166</v>
      </c>
      <c r="AE5793" s="5">
        <v>2.1286908017048938</v>
      </c>
      <c r="AF5793">
        <v>1</v>
      </c>
    </row>
    <row r="5794" spans="27:32" x14ac:dyDescent="0.3">
      <c r="AA5794" s="3">
        <v>23004.53</v>
      </c>
      <c r="AB5794">
        <v>1E-4</v>
      </c>
      <c r="AC5794">
        <v>8</v>
      </c>
      <c r="AD5794" s="5">
        <v>5.0023201910103712</v>
      </c>
      <c r="AE5794" s="5">
        <v>2.1818100709550157</v>
      </c>
      <c r="AF5794">
        <v>1</v>
      </c>
    </row>
    <row r="5795" spans="27:32" x14ac:dyDescent="0.3">
      <c r="AA5795" s="3">
        <v>11761.25</v>
      </c>
      <c r="AB5795">
        <v>1E-4</v>
      </c>
      <c r="AC5795">
        <v>8</v>
      </c>
      <c r="AD5795" s="5">
        <v>5.0678597140749009</v>
      </c>
      <c r="AE5795" s="5">
        <v>2.2749329234015079</v>
      </c>
      <c r="AF5795">
        <v>1</v>
      </c>
    </row>
    <row r="5796" spans="27:32" x14ac:dyDescent="0.3">
      <c r="AA5796" s="3">
        <v>30531.09</v>
      </c>
      <c r="AB5796">
        <v>1E-4</v>
      </c>
      <c r="AC5796">
        <v>7</v>
      </c>
      <c r="AD5796" s="5">
        <v>4.9807468709646106</v>
      </c>
      <c r="AE5796" s="5">
        <v>2.2397209710137695</v>
      </c>
      <c r="AF5796">
        <v>1</v>
      </c>
    </row>
    <row r="5797" spans="27:32" x14ac:dyDescent="0.3">
      <c r="AA5797" s="3">
        <v>9217.7800000000007</v>
      </c>
      <c r="AB5797">
        <v>1E-4</v>
      </c>
      <c r="AC5797">
        <v>8</v>
      </c>
      <c r="AD5797" s="5">
        <v>4.9454408005506219</v>
      </c>
      <c r="AE5797" s="5">
        <v>2.157253821602116</v>
      </c>
      <c r="AF5797">
        <v>1</v>
      </c>
    </row>
    <row r="5798" spans="27:32" x14ac:dyDescent="0.3">
      <c r="AA5798" s="3">
        <v>47256.26</v>
      </c>
      <c r="AB5798">
        <v>1E-4</v>
      </c>
      <c r="AC5798">
        <v>7</v>
      </c>
      <c r="AD5798" s="5">
        <v>5.030291849277142</v>
      </c>
      <c r="AE5798" s="5">
        <v>2.2411795102982599</v>
      </c>
      <c r="AF5798">
        <v>1</v>
      </c>
    </row>
    <row r="5799" spans="27:32" x14ac:dyDescent="0.3">
      <c r="AA5799" s="3">
        <v>6013.81</v>
      </c>
      <c r="AB5799">
        <v>1E-4</v>
      </c>
      <c r="AC5799">
        <v>8</v>
      </c>
      <c r="AD5799" s="5">
        <v>4.9575830493858328</v>
      </c>
      <c r="AE5799" s="5">
        <v>2.1235827615873117</v>
      </c>
      <c r="AF5799">
        <v>1</v>
      </c>
    </row>
    <row r="5800" spans="27:32" x14ac:dyDescent="0.3">
      <c r="AA5800" s="3">
        <v>7824.49</v>
      </c>
      <c r="AB5800">
        <v>1E-4</v>
      </c>
      <c r="AC5800">
        <v>8</v>
      </c>
      <c r="AD5800" s="5">
        <v>4.8489712056368166</v>
      </c>
      <c r="AE5800" s="5">
        <v>2.1725259012309346</v>
      </c>
      <c r="AF5800">
        <v>1</v>
      </c>
    </row>
    <row r="5801" spans="27:32" x14ac:dyDescent="0.3">
      <c r="AA5801" s="3">
        <v>-4655.47</v>
      </c>
      <c r="AB5801">
        <v>1E-4</v>
      </c>
      <c r="AC5801">
        <v>9</v>
      </c>
      <c r="AD5801" s="5">
        <v>5.1399849476565418</v>
      </c>
      <c r="AE5801" s="5">
        <v>2.2107020616521655</v>
      </c>
      <c r="AF5801">
        <v>1</v>
      </c>
    </row>
    <row r="5802" spans="27:32" x14ac:dyDescent="0.3">
      <c r="AA5802" s="3">
        <v>14599.75</v>
      </c>
      <c r="AB5802">
        <v>1E-4</v>
      </c>
      <c r="AC5802">
        <v>8</v>
      </c>
      <c r="AD5802" s="5">
        <v>5.0598385892601669</v>
      </c>
      <c r="AE5802" s="5">
        <v>2.1860598592702738</v>
      </c>
      <c r="AF5802">
        <v>1</v>
      </c>
    </row>
    <row r="5803" spans="27:32" x14ac:dyDescent="0.3">
      <c r="AA5803" s="3">
        <v>17682.39</v>
      </c>
      <c r="AB5803">
        <v>1E-4</v>
      </c>
      <c r="AC5803">
        <v>8</v>
      </c>
      <c r="AD5803" s="5">
        <v>5.0844313330161306</v>
      </c>
      <c r="AE5803" s="5">
        <v>2.239554261377902</v>
      </c>
      <c r="AF5803">
        <v>1</v>
      </c>
    </row>
    <row r="5804" spans="27:32" x14ac:dyDescent="0.3">
      <c r="AA5804" s="3">
        <v>15093.67</v>
      </c>
      <c r="AB5804">
        <v>1E-4</v>
      </c>
      <c r="AC5804">
        <v>8</v>
      </c>
      <c r="AD5804" s="5">
        <v>4.9206194162852173</v>
      </c>
      <c r="AE5804" s="5">
        <v>2.2318573325521092</v>
      </c>
      <c r="AF5804">
        <v>1</v>
      </c>
    </row>
    <row r="5805" spans="27:32" x14ac:dyDescent="0.3">
      <c r="AA5805" s="3">
        <v>6925.33</v>
      </c>
      <c r="AB5805">
        <v>1E-4</v>
      </c>
      <c r="AC5805">
        <v>8</v>
      </c>
      <c r="AD5805" s="5">
        <v>5.167213332818597</v>
      </c>
      <c r="AE5805" s="5">
        <v>2.1880128355032751</v>
      </c>
      <c r="AF5805">
        <v>1</v>
      </c>
    </row>
    <row r="5806" spans="27:32" x14ac:dyDescent="0.3">
      <c r="AA5806" s="3">
        <v>15481.27</v>
      </c>
      <c r="AB5806">
        <v>1E-4</v>
      </c>
      <c r="AC5806">
        <v>8</v>
      </c>
      <c r="AD5806" s="5">
        <v>5.0960886720831029</v>
      </c>
      <c r="AE5806" s="5">
        <v>2.2598509828568907</v>
      </c>
      <c r="AF5806">
        <v>1</v>
      </c>
    </row>
    <row r="5807" spans="27:32" x14ac:dyDescent="0.3">
      <c r="AA5807" s="3">
        <v>18862.79</v>
      </c>
      <c r="AB5807">
        <v>1E-4</v>
      </c>
      <c r="AC5807">
        <v>8</v>
      </c>
      <c r="AD5807" s="5">
        <v>4.8810083058797655</v>
      </c>
      <c r="AE5807" s="5">
        <v>2.2591433677908248</v>
      </c>
      <c r="AF5807">
        <v>1</v>
      </c>
    </row>
    <row r="5808" spans="27:32" x14ac:dyDescent="0.3">
      <c r="AA5808" s="3">
        <v>19109.099999999999</v>
      </c>
      <c r="AB5808">
        <v>1E-4</v>
      </c>
      <c r="AC5808">
        <v>8</v>
      </c>
      <c r="AD5808" s="5">
        <v>4.9018143692915226</v>
      </c>
      <c r="AE5808" s="5">
        <v>2.1570976299321969</v>
      </c>
      <c r="AF5808">
        <v>1</v>
      </c>
    </row>
    <row r="5809" spans="27:32" x14ac:dyDescent="0.3">
      <c r="AA5809" s="3">
        <v>10721.02</v>
      </c>
      <c r="AB5809">
        <v>1E-4</v>
      </c>
      <c r="AC5809">
        <v>8</v>
      </c>
      <c r="AD5809" s="5">
        <v>4.9984522881311619</v>
      </c>
      <c r="AE5809" s="5">
        <v>2.2315313704708584</v>
      </c>
      <c r="AF5809">
        <v>1</v>
      </c>
    </row>
    <row r="5810" spans="27:32" x14ac:dyDescent="0.3">
      <c r="AA5810" s="3">
        <v>2726.68</v>
      </c>
      <c r="AB5810">
        <v>1E-4</v>
      </c>
      <c r="AC5810">
        <v>8</v>
      </c>
      <c r="AD5810" s="5">
        <v>4.9210741501408268</v>
      </c>
      <c r="AE5810" s="5">
        <v>2.1851558032877207</v>
      </c>
      <c r="AF5810">
        <v>1</v>
      </c>
    </row>
    <row r="5811" spans="27:32" x14ac:dyDescent="0.3">
      <c r="AA5811" s="3">
        <v>27441.81</v>
      </c>
      <c r="AB5811">
        <v>1E-4</v>
      </c>
      <c r="AC5811">
        <v>8</v>
      </c>
      <c r="AD5811" s="5">
        <v>5.0889768234727715</v>
      </c>
      <c r="AE5811" s="5">
        <v>2.1965538168212557</v>
      </c>
      <c r="AF5811">
        <v>1</v>
      </c>
    </row>
    <row r="5812" spans="27:32" x14ac:dyDescent="0.3">
      <c r="AA5812" s="3">
        <v>-16359.56</v>
      </c>
      <c r="AB5812">
        <v>1E-4</v>
      </c>
      <c r="AC5812">
        <v>9</v>
      </c>
      <c r="AD5812" s="5">
        <v>4.9282637092655381</v>
      </c>
      <c r="AE5812" s="5">
        <v>2.1719364268241153</v>
      </c>
      <c r="AF5812">
        <v>1</v>
      </c>
    </row>
    <row r="5813" spans="27:32" x14ac:dyDescent="0.3">
      <c r="AA5813" s="3">
        <v>4827.18</v>
      </c>
      <c r="AB5813">
        <v>1E-4</v>
      </c>
      <c r="AC5813">
        <v>8</v>
      </c>
      <c r="AD5813" s="5">
        <v>5.0268872351277825</v>
      </c>
      <c r="AE5813" s="5">
        <v>2.2028460708587367</v>
      </c>
      <c r="AF5813">
        <v>1</v>
      </c>
    </row>
    <row r="5814" spans="27:32" x14ac:dyDescent="0.3">
      <c r="AA5814" s="3">
        <v>27211.919999999998</v>
      </c>
      <c r="AB5814">
        <v>1E-4</v>
      </c>
      <c r="AC5814">
        <v>8</v>
      </c>
      <c r="AD5814" s="5">
        <v>5.0511677450562518</v>
      </c>
      <c r="AE5814" s="5">
        <v>2.1077144855206726</v>
      </c>
      <c r="AF5814">
        <v>1</v>
      </c>
    </row>
    <row r="5815" spans="27:32" x14ac:dyDescent="0.3">
      <c r="AA5815" s="3">
        <v>21835.62</v>
      </c>
      <c r="AB5815">
        <v>1E-4</v>
      </c>
      <c r="AC5815">
        <v>8</v>
      </c>
      <c r="AD5815" s="5">
        <v>4.9152614928296154</v>
      </c>
      <c r="AE5815" s="5">
        <v>2.2333597911007361</v>
      </c>
      <c r="AF5815">
        <v>1</v>
      </c>
    </row>
    <row r="5816" spans="27:32" x14ac:dyDescent="0.3">
      <c r="AA5816" s="3">
        <v>784.47</v>
      </c>
      <c r="AB5816">
        <v>1E-4</v>
      </c>
      <c r="AC5816">
        <v>8</v>
      </c>
      <c r="AD5816" s="5">
        <v>4.9435983408061679</v>
      </c>
      <c r="AE5816" s="5">
        <v>2.2624361303210123</v>
      </c>
      <c r="AF5816">
        <v>1</v>
      </c>
    </row>
    <row r="5817" spans="27:32" x14ac:dyDescent="0.3">
      <c r="AA5817" s="3">
        <v>8448.3799999999992</v>
      </c>
      <c r="AB5817">
        <v>1E-4</v>
      </c>
      <c r="AC5817">
        <v>8</v>
      </c>
      <c r="AD5817" s="5">
        <v>4.9218720948967549</v>
      </c>
      <c r="AE5817" s="5">
        <v>2.1904400510464703</v>
      </c>
      <c r="AF5817">
        <v>1</v>
      </c>
    </row>
    <row r="5818" spans="27:32" x14ac:dyDescent="0.3">
      <c r="AA5818" s="3">
        <v>8519.0300000000007</v>
      </c>
      <c r="AB5818">
        <v>1E-4</v>
      </c>
      <c r="AC5818">
        <v>8</v>
      </c>
      <c r="AD5818" s="5">
        <v>4.8581639816987705</v>
      </c>
      <c r="AE5818" s="5">
        <v>2.2053528417921977</v>
      </c>
      <c r="AF5818">
        <v>1</v>
      </c>
    </row>
    <row r="5819" spans="27:32" x14ac:dyDescent="0.3">
      <c r="AA5819" s="3">
        <v>-17141.599999999999</v>
      </c>
      <c r="AB5819">
        <v>1E-4</v>
      </c>
      <c r="AC5819">
        <v>9</v>
      </c>
      <c r="AD5819" s="5">
        <v>5.035325769350071</v>
      </c>
      <c r="AE5819" s="5">
        <v>2.2522596901827829</v>
      </c>
      <c r="AF5819">
        <v>1</v>
      </c>
    </row>
    <row r="5820" spans="27:32" x14ac:dyDescent="0.3">
      <c r="AA5820" s="3">
        <v>37070.46</v>
      </c>
      <c r="AB5820">
        <v>1E-4</v>
      </c>
      <c r="AC5820">
        <v>7</v>
      </c>
      <c r="AD5820" s="5">
        <v>5.0367863848405259</v>
      </c>
      <c r="AE5820" s="5">
        <v>2.1976647917734247</v>
      </c>
      <c r="AF5820">
        <v>1</v>
      </c>
    </row>
    <row r="5821" spans="27:32" x14ac:dyDescent="0.3">
      <c r="AA5821" s="3">
        <v>28165.4</v>
      </c>
      <c r="AB5821">
        <v>1E-4</v>
      </c>
      <c r="AC5821">
        <v>8</v>
      </c>
      <c r="AD5821" s="5">
        <v>4.9181449081567141</v>
      </c>
      <c r="AE5821" s="5">
        <v>2.0944338984752355</v>
      </c>
      <c r="AF5821">
        <v>1</v>
      </c>
    </row>
    <row r="5822" spans="27:32" x14ac:dyDescent="0.3">
      <c r="AA5822" s="3">
        <v>16284.78</v>
      </c>
      <c r="AB5822">
        <v>1E-4</v>
      </c>
      <c r="AC5822">
        <v>8</v>
      </c>
      <c r="AD5822" s="5">
        <v>5.0097997647460781</v>
      </c>
      <c r="AE5822" s="5">
        <v>2.1902666548665013</v>
      </c>
      <c r="AF5822">
        <v>1</v>
      </c>
    </row>
    <row r="5823" spans="27:32" x14ac:dyDescent="0.3">
      <c r="AA5823" s="3">
        <v>24431.3</v>
      </c>
      <c r="AB5823">
        <v>1E-4</v>
      </c>
      <c r="AC5823">
        <v>8</v>
      </c>
      <c r="AD5823" s="5">
        <v>4.8503803205528015</v>
      </c>
      <c r="AE5823" s="5">
        <v>2.1883880925893546</v>
      </c>
      <c r="AF5823">
        <v>1</v>
      </c>
    </row>
    <row r="5824" spans="27:32" x14ac:dyDescent="0.3">
      <c r="AA5824" s="3">
        <v>-10545.5</v>
      </c>
      <c r="AB5824">
        <v>1E-4</v>
      </c>
      <c r="AC5824">
        <v>9</v>
      </c>
      <c r="AD5824" s="5">
        <v>5.0154027376562746</v>
      </c>
      <c r="AE5824" s="5">
        <v>2.2825097416915847</v>
      </c>
      <c r="AF5824">
        <v>1</v>
      </c>
    </row>
    <row r="5825" spans="27:32" x14ac:dyDescent="0.3">
      <c r="AA5825" s="3">
        <v>6274.56</v>
      </c>
      <c r="AB5825">
        <v>1E-4</v>
      </c>
      <c r="AC5825">
        <v>8</v>
      </c>
      <c r="AD5825" s="5">
        <v>5.1547948120934155</v>
      </c>
      <c r="AE5825" s="5">
        <v>2.1887887565802338</v>
      </c>
      <c r="AF5825">
        <v>1</v>
      </c>
    </row>
    <row r="5826" spans="27:32" x14ac:dyDescent="0.3">
      <c r="AA5826" s="3">
        <v>23719.63</v>
      </c>
      <c r="AB5826">
        <v>1E-4</v>
      </c>
      <c r="AC5826">
        <v>8</v>
      </c>
      <c r="AD5826" s="5">
        <v>5.0414915659258464</v>
      </c>
      <c r="AE5826" s="5">
        <v>2.2967152987705286</v>
      </c>
      <c r="AF5826">
        <v>1</v>
      </c>
    </row>
    <row r="5827" spans="27:32" x14ac:dyDescent="0.3">
      <c r="AA5827" s="3">
        <v>13726.54</v>
      </c>
      <c r="AB5827">
        <v>1E-4</v>
      </c>
      <c r="AC5827">
        <v>8</v>
      </c>
      <c r="AD5827" s="5">
        <v>4.8832489140458746</v>
      </c>
      <c r="AE5827" s="5">
        <v>2.2016891255275479</v>
      </c>
      <c r="AF5827">
        <v>1</v>
      </c>
    </row>
    <row r="5828" spans="27:32" x14ac:dyDescent="0.3">
      <c r="AA5828" s="3">
        <v>4678.8599999999997</v>
      </c>
      <c r="AB5828">
        <v>1E-4</v>
      </c>
      <c r="AC5828">
        <v>8</v>
      </c>
      <c r="AD5828" s="5">
        <v>4.8535131258704283</v>
      </c>
      <c r="AE5828" s="5">
        <v>2.1335772180556667</v>
      </c>
      <c r="AF5828">
        <v>1</v>
      </c>
    </row>
    <row r="5829" spans="27:32" x14ac:dyDescent="0.3">
      <c r="AA5829" s="3">
        <v>4870.33</v>
      </c>
      <c r="AB5829">
        <v>1E-4</v>
      </c>
      <c r="AC5829">
        <v>8</v>
      </c>
      <c r="AD5829" s="5">
        <v>4.8244118764324107</v>
      </c>
      <c r="AE5829" s="5">
        <v>2.176111742374653</v>
      </c>
      <c r="AF5829">
        <v>1</v>
      </c>
    </row>
    <row r="5830" spans="27:32" x14ac:dyDescent="0.3">
      <c r="AA5830" s="3">
        <v>5357.48</v>
      </c>
      <c r="AB5830">
        <v>1E-4</v>
      </c>
      <c r="AC5830">
        <v>8</v>
      </c>
      <c r="AD5830" s="5">
        <v>5.1072708491498675</v>
      </c>
      <c r="AE5830" s="5">
        <v>2.2210619623783225</v>
      </c>
      <c r="AF5830">
        <v>1</v>
      </c>
    </row>
    <row r="5831" spans="27:32" x14ac:dyDescent="0.3">
      <c r="AA5831" s="3">
        <v>6701.45</v>
      </c>
      <c r="AB5831">
        <v>1E-4</v>
      </c>
      <c r="AC5831">
        <v>8</v>
      </c>
      <c r="AD5831" s="5">
        <v>4.9483220207469936</v>
      </c>
      <c r="AE5831" s="5">
        <v>2.2165234630621402</v>
      </c>
      <c r="AF5831">
        <v>1</v>
      </c>
    </row>
    <row r="5832" spans="27:32" x14ac:dyDescent="0.3">
      <c r="AA5832" s="3">
        <v>21085.02</v>
      </c>
      <c r="AB5832">
        <v>1E-4</v>
      </c>
      <c r="AC5832">
        <v>8</v>
      </c>
      <c r="AD5832" s="5">
        <v>4.9799299515559321</v>
      </c>
      <c r="AE5832" s="5">
        <v>2.1989210467571954</v>
      </c>
      <c r="AF5832">
        <v>1</v>
      </c>
    </row>
    <row r="5833" spans="27:32" x14ac:dyDescent="0.3">
      <c r="AA5833" s="3">
        <v>11318.25</v>
      </c>
      <c r="AB5833">
        <v>1E-4</v>
      </c>
      <c r="AC5833">
        <v>8</v>
      </c>
      <c r="AD5833" s="5">
        <v>5.0489504052812952</v>
      </c>
      <c r="AE5833" s="5">
        <v>2.2240337732449285</v>
      </c>
      <c r="AF5833">
        <v>1</v>
      </c>
    </row>
    <row r="5834" spans="27:32" x14ac:dyDescent="0.3">
      <c r="AA5834" s="3">
        <v>14704.44</v>
      </c>
      <c r="AB5834">
        <v>1E-4</v>
      </c>
      <c r="AC5834">
        <v>8</v>
      </c>
      <c r="AD5834" s="5">
        <v>4.9532446947968625</v>
      </c>
      <c r="AE5834" s="5">
        <v>2.1133076108968853</v>
      </c>
      <c r="AF5834">
        <v>1</v>
      </c>
    </row>
    <row r="5835" spans="27:32" x14ac:dyDescent="0.3">
      <c r="AA5835" s="3">
        <v>34629.870000000003</v>
      </c>
      <c r="AB5835">
        <v>1E-4</v>
      </c>
      <c r="AC5835">
        <v>7</v>
      </c>
      <c r="AD5835" s="5">
        <v>5.1665332720490555</v>
      </c>
      <c r="AE5835" s="5">
        <v>2.1441357989162202</v>
      </c>
      <c r="AF5835">
        <v>1</v>
      </c>
    </row>
    <row r="5836" spans="27:32" x14ac:dyDescent="0.3">
      <c r="AA5836" s="3">
        <v>12361.88</v>
      </c>
      <c r="AB5836">
        <v>1E-4</v>
      </c>
      <c r="AC5836">
        <v>8</v>
      </c>
      <c r="AD5836" s="5">
        <v>4.9960654409977989</v>
      </c>
      <c r="AE5836" s="5">
        <v>2.182051180419351</v>
      </c>
      <c r="AF5836">
        <v>1</v>
      </c>
    </row>
    <row r="5837" spans="27:32" x14ac:dyDescent="0.3">
      <c r="AA5837" s="3">
        <v>32974.22</v>
      </c>
      <c r="AB5837">
        <v>1E-4</v>
      </c>
      <c r="AC5837">
        <v>7</v>
      </c>
      <c r="AD5837" s="5">
        <v>5.019101123721164</v>
      </c>
      <c r="AE5837" s="5">
        <v>2.2769169243743064</v>
      </c>
      <c r="AF5837">
        <v>1</v>
      </c>
    </row>
    <row r="5838" spans="27:32" x14ac:dyDescent="0.3">
      <c r="AA5838" s="3">
        <v>17318.509999999998</v>
      </c>
      <c r="AB5838">
        <v>1E-4</v>
      </c>
      <c r="AC5838">
        <v>8</v>
      </c>
      <c r="AD5838" s="5">
        <v>4.9278197988324264</v>
      </c>
      <c r="AE5838" s="5">
        <v>2.1569675976007225</v>
      </c>
      <c r="AF5838">
        <v>1</v>
      </c>
    </row>
    <row r="5839" spans="27:32" x14ac:dyDescent="0.3">
      <c r="AA5839" s="3">
        <v>21393</v>
      </c>
      <c r="AB5839">
        <v>1E-4</v>
      </c>
      <c r="AC5839">
        <v>8</v>
      </c>
      <c r="AD5839" s="5">
        <v>5.1426854481450821</v>
      </c>
      <c r="AE5839" s="5">
        <v>2.2207879201551504</v>
      </c>
      <c r="AF5839">
        <v>1</v>
      </c>
    </row>
    <row r="5840" spans="27:32" x14ac:dyDescent="0.3">
      <c r="AA5840" s="3">
        <v>26534.65</v>
      </c>
      <c r="AB5840">
        <v>1E-4</v>
      </c>
      <c r="AC5840">
        <v>7</v>
      </c>
      <c r="AD5840" s="5">
        <v>4.8980482772149472</v>
      </c>
      <c r="AE5840" s="5">
        <v>2.2720361349909459</v>
      </c>
      <c r="AF5840">
        <v>1</v>
      </c>
    </row>
    <row r="5841" spans="27:32" x14ac:dyDescent="0.3">
      <c r="AA5841" s="3">
        <v>15597.08</v>
      </c>
      <c r="AB5841">
        <v>1E-4</v>
      </c>
      <c r="AC5841">
        <v>8</v>
      </c>
      <c r="AD5841" s="5">
        <v>5.0284045253552341</v>
      </c>
      <c r="AE5841" s="5">
        <v>2.1950614165225453</v>
      </c>
      <c r="AF5841">
        <v>1</v>
      </c>
    </row>
    <row r="5842" spans="27:32" x14ac:dyDescent="0.3">
      <c r="AA5842" s="3">
        <v>2029.61</v>
      </c>
      <c r="AB5842">
        <v>1E-4</v>
      </c>
      <c r="AC5842">
        <v>8</v>
      </c>
      <c r="AD5842" s="5">
        <v>4.9042523745756705</v>
      </c>
      <c r="AE5842" s="5">
        <v>2.1563395386587438</v>
      </c>
      <c r="AF5842">
        <v>1</v>
      </c>
    </row>
    <row r="5843" spans="27:32" x14ac:dyDescent="0.3">
      <c r="AA5843" s="3">
        <v>24152.42</v>
      </c>
      <c r="AB5843">
        <v>1E-4</v>
      </c>
      <c r="AC5843">
        <v>8</v>
      </c>
      <c r="AD5843" s="5">
        <v>5.0517991057363822</v>
      </c>
      <c r="AE5843" s="5">
        <v>2.2087730095678832</v>
      </c>
      <c r="AF5843">
        <v>1</v>
      </c>
    </row>
    <row r="5844" spans="27:32" x14ac:dyDescent="0.3">
      <c r="AA5844" s="3">
        <v>30991.11</v>
      </c>
      <c r="AB5844">
        <v>1E-4</v>
      </c>
      <c r="AC5844">
        <v>8</v>
      </c>
      <c r="AD5844" s="5">
        <v>5.1076333698155691</v>
      </c>
      <c r="AE5844" s="5">
        <v>2.167737272056927</v>
      </c>
      <c r="AF5844">
        <v>1</v>
      </c>
    </row>
    <row r="5845" spans="27:32" x14ac:dyDescent="0.3">
      <c r="AA5845" s="3">
        <v>21569.97</v>
      </c>
      <c r="AB5845">
        <v>1E-4</v>
      </c>
      <c r="AC5845">
        <v>8</v>
      </c>
      <c r="AD5845" s="5">
        <v>5.0468678448667346</v>
      </c>
      <c r="AE5845" s="5">
        <v>2.2501475488002294</v>
      </c>
      <c r="AF5845">
        <v>1</v>
      </c>
    </row>
    <row r="5846" spans="27:32" x14ac:dyDescent="0.3">
      <c r="AA5846" s="3">
        <v>34945.82</v>
      </c>
      <c r="AB5846">
        <v>1E-4</v>
      </c>
      <c r="AC5846">
        <v>7</v>
      </c>
      <c r="AD5846" s="5">
        <v>5.0408893238824373</v>
      </c>
      <c r="AE5846" s="5">
        <v>2.2104549215640339</v>
      </c>
      <c r="AF5846">
        <v>1</v>
      </c>
    </row>
    <row r="5847" spans="27:32" x14ac:dyDescent="0.3">
      <c r="AA5847" s="3">
        <v>12571.23</v>
      </c>
      <c r="AB5847">
        <v>1E-4</v>
      </c>
      <c r="AC5847">
        <v>8</v>
      </c>
      <c r="AD5847" s="5">
        <v>4.8951456078849631</v>
      </c>
      <c r="AE5847" s="5">
        <v>2.236250688759037</v>
      </c>
      <c r="AF5847">
        <v>1</v>
      </c>
    </row>
    <row r="5848" spans="27:32" x14ac:dyDescent="0.3">
      <c r="AA5848" s="3">
        <v>33182.44</v>
      </c>
      <c r="AB5848">
        <v>1E-4</v>
      </c>
      <c r="AC5848">
        <v>7</v>
      </c>
      <c r="AD5848" s="5">
        <v>4.8990344422138135</v>
      </c>
      <c r="AE5848" s="5">
        <v>2.2117519098403462</v>
      </c>
      <c r="AF5848">
        <v>1</v>
      </c>
    </row>
    <row r="5849" spans="27:32" x14ac:dyDescent="0.3">
      <c r="AA5849" s="3">
        <v>6858.99</v>
      </c>
      <c r="AB5849">
        <v>1E-4</v>
      </c>
      <c r="AC5849">
        <v>8</v>
      </c>
      <c r="AD5849" s="5">
        <v>5.0128972945625021</v>
      </c>
      <c r="AE5849" s="5">
        <v>2.2261501803361843</v>
      </c>
      <c r="AF5849">
        <v>1</v>
      </c>
    </row>
    <row r="5850" spans="27:32" x14ac:dyDescent="0.3">
      <c r="AA5850" s="3">
        <v>4148.49</v>
      </c>
      <c r="AB5850">
        <v>1E-4</v>
      </c>
      <c r="AC5850">
        <v>8</v>
      </c>
      <c r="AD5850" s="5">
        <v>5.0772208929928464</v>
      </c>
      <c r="AE5850" s="5">
        <v>2.2569107232795735</v>
      </c>
      <c r="AF5850">
        <v>1</v>
      </c>
    </row>
    <row r="5851" spans="27:32" x14ac:dyDescent="0.3">
      <c r="AA5851" s="3">
        <v>32373.79</v>
      </c>
      <c r="AB5851">
        <v>1E-4</v>
      </c>
      <c r="AC5851">
        <v>7</v>
      </c>
      <c r="AD5851" s="5">
        <v>4.9630193386287482</v>
      </c>
      <c r="AE5851" s="5">
        <v>2.1598588608322085</v>
      </c>
      <c r="AF5851">
        <v>1</v>
      </c>
    </row>
    <row r="5852" spans="27:32" x14ac:dyDescent="0.3">
      <c r="AA5852" s="3">
        <v>17680.8</v>
      </c>
      <c r="AB5852">
        <v>1E-4</v>
      </c>
      <c r="AC5852">
        <v>8</v>
      </c>
      <c r="AD5852" s="5">
        <v>4.9202105158017684</v>
      </c>
      <c r="AE5852" s="5">
        <v>2.2175099178578495</v>
      </c>
      <c r="AF5852">
        <v>1</v>
      </c>
    </row>
    <row r="5853" spans="27:32" x14ac:dyDescent="0.3">
      <c r="AA5853" s="3">
        <v>68447.95</v>
      </c>
      <c r="AB5853">
        <v>1E-4</v>
      </c>
      <c r="AC5853">
        <v>6</v>
      </c>
      <c r="AD5853" s="5">
        <v>5.1127072111832996</v>
      </c>
      <c r="AE5853" s="5">
        <v>2.1668167916448957</v>
      </c>
      <c r="AF5853">
        <v>1</v>
      </c>
    </row>
    <row r="5854" spans="27:32" x14ac:dyDescent="0.3">
      <c r="AA5854" s="3">
        <v>-10791.89</v>
      </c>
      <c r="AB5854">
        <v>1E-4</v>
      </c>
      <c r="AC5854">
        <v>9</v>
      </c>
      <c r="AD5854" s="5">
        <v>4.8122272618514597</v>
      </c>
      <c r="AE5854" s="5">
        <v>2.1978164023494364</v>
      </c>
      <c r="AF5854">
        <v>1</v>
      </c>
    </row>
    <row r="5855" spans="27:32" x14ac:dyDescent="0.3">
      <c r="AA5855" s="3">
        <v>-352.62</v>
      </c>
      <c r="AB5855">
        <v>1E-4</v>
      </c>
      <c r="AC5855">
        <v>9</v>
      </c>
      <c r="AD5855" s="5">
        <v>4.8510139998339366</v>
      </c>
      <c r="AE5855" s="5">
        <v>2.2253887644307246</v>
      </c>
      <c r="AF5855">
        <v>1</v>
      </c>
    </row>
    <row r="5856" spans="27:32" x14ac:dyDescent="0.3">
      <c r="AA5856" s="3">
        <v>17391.080000000002</v>
      </c>
      <c r="AB5856">
        <v>1E-4</v>
      </c>
      <c r="AC5856">
        <v>8</v>
      </c>
      <c r="AD5856" s="5">
        <v>5.0767090013474832</v>
      </c>
      <c r="AE5856" s="5">
        <v>2.2856959475939047</v>
      </c>
      <c r="AF5856">
        <v>1</v>
      </c>
    </row>
    <row r="5857" spans="27:32" x14ac:dyDescent="0.3">
      <c r="AA5857" s="3">
        <v>59013.26</v>
      </c>
      <c r="AB5857">
        <v>1E-4</v>
      </c>
      <c r="AC5857">
        <v>6</v>
      </c>
      <c r="AD5857" s="5">
        <v>5.2680505781922724</v>
      </c>
      <c r="AE5857" s="5">
        <v>2.1776391319656243</v>
      </c>
      <c r="AF5857">
        <v>1</v>
      </c>
    </row>
    <row r="5858" spans="27:32" x14ac:dyDescent="0.3">
      <c r="AA5858" s="3">
        <v>12638.53</v>
      </c>
      <c r="AB5858">
        <v>1E-4</v>
      </c>
      <c r="AC5858">
        <v>8</v>
      </c>
      <c r="AD5858" s="5">
        <v>5.0188874012364151</v>
      </c>
      <c r="AE5858" s="5">
        <v>2.1883620251165699</v>
      </c>
      <c r="AF5858">
        <v>1</v>
      </c>
    </row>
    <row r="5859" spans="27:32" x14ac:dyDescent="0.3">
      <c r="AA5859" s="3">
        <v>8902.35</v>
      </c>
      <c r="AB5859">
        <v>1E-4</v>
      </c>
      <c r="AC5859">
        <v>8</v>
      </c>
      <c r="AD5859" s="5">
        <v>4.9871716693218096</v>
      </c>
      <c r="AE5859" s="5">
        <v>2.1923839444986397</v>
      </c>
      <c r="AF5859">
        <v>1</v>
      </c>
    </row>
    <row r="5860" spans="27:32" x14ac:dyDescent="0.3">
      <c r="AA5860" s="3">
        <v>-11708.62</v>
      </c>
      <c r="AB5860">
        <v>1E-4</v>
      </c>
      <c r="AC5860">
        <v>9</v>
      </c>
      <c r="AD5860" s="5">
        <v>4.663075852580489</v>
      </c>
      <c r="AE5860" s="5">
        <v>2.1573360775857249</v>
      </c>
      <c r="AF5860">
        <v>1</v>
      </c>
    </row>
    <row r="5861" spans="27:32" x14ac:dyDescent="0.3">
      <c r="AA5861" s="3">
        <v>31002.65</v>
      </c>
      <c r="AB5861">
        <v>1E-4</v>
      </c>
      <c r="AC5861">
        <v>8</v>
      </c>
      <c r="AD5861" s="5">
        <v>5.0911366090760737</v>
      </c>
      <c r="AE5861" s="5">
        <v>2.2153374713919942</v>
      </c>
      <c r="AF5861">
        <v>1</v>
      </c>
    </row>
    <row r="5862" spans="27:32" x14ac:dyDescent="0.3">
      <c r="AA5862" s="3">
        <v>27823.24</v>
      </c>
      <c r="AB5862">
        <v>1E-4</v>
      </c>
      <c r="AC5862">
        <v>8</v>
      </c>
      <c r="AD5862" s="5">
        <v>5.1550768348316316</v>
      </c>
      <c r="AE5862" s="5">
        <v>2.1659101271093197</v>
      </c>
      <c r="AF5862">
        <v>1</v>
      </c>
    </row>
    <row r="5863" spans="27:32" x14ac:dyDescent="0.3">
      <c r="AA5863" s="3">
        <v>28502.32</v>
      </c>
      <c r="AB5863">
        <v>1E-4</v>
      </c>
      <c r="AC5863">
        <v>8</v>
      </c>
      <c r="AD5863" s="5">
        <v>5.0479165036206135</v>
      </c>
      <c r="AE5863" s="5">
        <v>2.2015841204442927</v>
      </c>
      <c r="AF5863">
        <v>1</v>
      </c>
    </row>
    <row r="5864" spans="27:32" x14ac:dyDescent="0.3">
      <c r="AA5864" s="3">
        <v>-18844.59</v>
      </c>
      <c r="AB5864">
        <v>1E-4</v>
      </c>
      <c r="AC5864">
        <v>9</v>
      </c>
      <c r="AD5864" s="5">
        <v>5.0232949368301796</v>
      </c>
      <c r="AE5864" s="5">
        <v>2.1369629003948099</v>
      </c>
      <c r="AF5864">
        <v>1</v>
      </c>
    </row>
    <row r="5865" spans="27:32" x14ac:dyDescent="0.3">
      <c r="AA5865" s="3">
        <v>34546.879999999997</v>
      </c>
      <c r="AB5865">
        <v>1E-4</v>
      </c>
      <c r="AC5865">
        <v>7</v>
      </c>
      <c r="AD5865" s="5">
        <v>5.1480728310947566</v>
      </c>
      <c r="AE5865" s="5">
        <v>2.2083964275309875</v>
      </c>
      <c r="AF5865">
        <v>1</v>
      </c>
    </row>
    <row r="5866" spans="27:32" x14ac:dyDescent="0.3">
      <c r="AA5866" s="3">
        <v>2289.37</v>
      </c>
      <c r="AB5866">
        <v>1E-4</v>
      </c>
      <c r="AC5866">
        <v>8</v>
      </c>
      <c r="AD5866" s="5">
        <v>4.8599565485094969</v>
      </c>
      <c r="AE5866" s="5">
        <v>2.1937798074947166</v>
      </c>
      <c r="AF5866">
        <v>1</v>
      </c>
    </row>
    <row r="5867" spans="27:32" x14ac:dyDescent="0.3">
      <c r="AA5867" s="3">
        <v>-5099.17</v>
      </c>
      <c r="AB5867">
        <v>1E-4</v>
      </c>
      <c r="AC5867">
        <v>9</v>
      </c>
      <c r="AD5867" s="5">
        <v>4.8146005003019789</v>
      </c>
      <c r="AE5867" s="5">
        <v>2.184160516461505</v>
      </c>
      <c r="AF5867">
        <v>1</v>
      </c>
    </row>
    <row r="5868" spans="27:32" x14ac:dyDescent="0.3">
      <c r="AA5868" s="3">
        <v>42088.46</v>
      </c>
      <c r="AB5868">
        <v>1E-4</v>
      </c>
      <c r="AC5868">
        <v>7</v>
      </c>
      <c r="AD5868" s="5">
        <v>4.9626850258180655</v>
      </c>
      <c r="AE5868" s="5">
        <v>2.208216997989974</v>
      </c>
      <c r="AF5868">
        <v>1</v>
      </c>
    </row>
    <row r="5869" spans="27:32" x14ac:dyDescent="0.3">
      <c r="AA5869" s="3">
        <v>14219.35</v>
      </c>
      <c r="AB5869">
        <v>1E-4</v>
      </c>
      <c r="AC5869">
        <v>8</v>
      </c>
      <c r="AD5869" s="5">
        <v>5.0567480611419677</v>
      </c>
      <c r="AE5869" s="5">
        <v>2.2465602968926626</v>
      </c>
      <c r="AF5869">
        <v>1</v>
      </c>
    </row>
    <row r="5870" spans="27:32" x14ac:dyDescent="0.3">
      <c r="AA5870" s="3">
        <v>-13409.22</v>
      </c>
      <c r="AB5870">
        <v>1E-4</v>
      </c>
      <c r="AC5870">
        <v>9</v>
      </c>
      <c r="AD5870" s="5">
        <v>4.9575116679393503</v>
      </c>
      <c r="AE5870" s="5">
        <v>2.2348082287464295</v>
      </c>
      <c r="AF5870">
        <v>1</v>
      </c>
    </row>
    <row r="5871" spans="27:32" x14ac:dyDescent="0.3">
      <c r="AA5871" s="3">
        <v>32505.38</v>
      </c>
      <c r="AB5871">
        <v>1E-4</v>
      </c>
      <c r="AC5871">
        <v>7</v>
      </c>
      <c r="AD5871" s="5">
        <v>5.0188968123270463</v>
      </c>
      <c r="AE5871" s="5">
        <v>2.0858313505785935</v>
      </c>
      <c r="AF5871">
        <v>1</v>
      </c>
    </row>
    <row r="5872" spans="27:32" x14ac:dyDescent="0.3">
      <c r="AA5872" s="3">
        <v>10102.069499767227</v>
      </c>
      <c r="AB5872">
        <v>1E-4</v>
      </c>
      <c r="AC5872">
        <v>8</v>
      </c>
      <c r="AD5872" s="5">
        <v>5.1975120836885242</v>
      </c>
      <c r="AE5872" s="5">
        <v>2.1900657403840973</v>
      </c>
      <c r="AF5872">
        <v>0</v>
      </c>
    </row>
    <row r="5873" spans="27:32" x14ac:dyDescent="0.3">
      <c r="AA5873" s="3">
        <v>28770.53</v>
      </c>
      <c r="AB5873">
        <v>1E-4</v>
      </c>
      <c r="AC5873">
        <v>8</v>
      </c>
      <c r="AD5873" s="5">
        <v>5.3195929347926647</v>
      </c>
      <c r="AE5873" s="5">
        <v>2.2148167470550444</v>
      </c>
      <c r="AF5873">
        <v>1</v>
      </c>
    </row>
    <row r="5874" spans="27:32" x14ac:dyDescent="0.3">
      <c r="AA5874" s="3">
        <v>-27686.098830203562</v>
      </c>
      <c r="AB5874">
        <v>1E-4</v>
      </c>
      <c r="AC5874">
        <v>9</v>
      </c>
      <c r="AD5874" s="5">
        <v>5.0501816948814815</v>
      </c>
      <c r="AE5874" s="5">
        <v>2.2032163873798183</v>
      </c>
      <c r="AF5874">
        <v>0</v>
      </c>
    </row>
    <row r="5875" spans="27:32" x14ac:dyDescent="0.3">
      <c r="AA5875" s="3">
        <v>18251.62</v>
      </c>
      <c r="AB5875">
        <v>1E-4</v>
      </c>
      <c r="AC5875">
        <v>8</v>
      </c>
      <c r="AD5875" s="5">
        <v>5.1397063831365859</v>
      </c>
      <c r="AE5875" s="5">
        <v>2.2232297344592347</v>
      </c>
      <c r="AF5875">
        <v>1</v>
      </c>
    </row>
    <row r="5876" spans="27:32" x14ac:dyDescent="0.3">
      <c r="AA5876" s="3">
        <v>18215.96</v>
      </c>
      <c r="AB5876">
        <v>1E-4</v>
      </c>
      <c r="AC5876">
        <v>8</v>
      </c>
      <c r="AD5876" s="5">
        <v>4.9273151261369907</v>
      </c>
      <c r="AE5876" s="5">
        <v>2.0629824293067083</v>
      </c>
      <c r="AF5876">
        <v>1</v>
      </c>
    </row>
    <row r="5877" spans="27:32" x14ac:dyDescent="0.3">
      <c r="AA5877" s="3">
        <v>18711.54</v>
      </c>
      <c r="AB5877">
        <v>1E-4</v>
      </c>
      <c r="AC5877">
        <v>8</v>
      </c>
      <c r="AD5877" s="5">
        <v>5.1187578296807423</v>
      </c>
      <c r="AE5877" s="5">
        <v>2.138332632772816</v>
      </c>
      <c r="AF5877">
        <v>1</v>
      </c>
    </row>
    <row r="5878" spans="27:32" x14ac:dyDescent="0.3">
      <c r="AA5878" s="3">
        <v>51124.7</v>
      </c>
      <c r="AB5878">
        <v>1E-4</v>
      </c>
      <c r="AC5878">
        <v>7</v>
      </c>
      <c r="AD5878" s="5">
        <v>5.1097182101722396</v>
      </c>
      <c r="AE5878" s="5">
        <v>2.1150440023659787</v>
      </c>
      <c r="AF5878">
        <v>1</v>
      </c>
    </row>
    <row r="5879" spans="27:32" x14ac:dyDescent="0.3">
      <c r="AA5879" s="3">
        <v>15270.8</v>
      </c>
      <c r="AB5879">
        <v>1E-4</v>
      </c>
      <c r="AC5879">
        <v>8</v>
      </c>
      <c r="AD5879" s="5">
        <v>5.1163831488179179</v>
      </c>
      <c r="AE5879" s="5">
        <v>2.1652899673647705</v>
      </c>
      <c r="AF5879">
        <v>1</v>
      </c>
    </row>
    <row r="5880" spans="27:32" x14ac:dyDescent="0.3">
      <c r="AA5880" s="3">
        <v>20138.919999999998</v>
      </c>
      <c r="AB5880">
        <v>1E-4</v>
      </c>
      <c r="AC5880">
        <v>8</v>
      </c>
      <c r="AD5880" s="5">
        <v>4.922576232651207</v>
      </c>
      <c r="AE5880" s="5">
        <v>2.1145735212304126</v>
      </c>
      <c r="AF5880">
        <v>1</v>
      </c>
    </row>
    <row r="5881" spans="27:32" x14ac:dyDescent="0.3">
      <c r="AA5881" s="3">
        <v>10248.48</v>
      </c>
      <c r="AB5881">
        <v>1E-4</v>
      </c>
      <c r="AC5881">
        <v>8</v>
      </c>
      <c r="AD5881" s="5">
        <v>4.8021443002054038</v>
      </c>
      <c r="AE5881" s="5">
        <v>2.3320660330778371</v>
      </c>
      <c r="AF5881">
        <v>1</v>
      </c>
    </row>
    <row r="5882" spans="27:32" x14ac:dyDescent="0.3">
      <c r="AA5882" s="3">
        <v>3432.15</v>
      </c>
      <c r="AB5882">
        <v>1E-4</v>
      </c>
      <c r="AC5882">
        <v>8</v>
      </c>
      <c r="AD5882" s="5">
        <v>4.9962329863270298</v>
      </c>
      <c r="AE5882" s="5">
        <v>2.2208735533296258</v>
      </c>
      <c r="AF5882">
        <v>1</v>
      </c>
    </row>
    <row r="5883" spans="27:32" x14ac:dyDescent="0.3">
      <c r="AA5883" s="3">
        <v>-21027.08</v>
      </c>
      <c r="AB5883">
        <v>1E-4</v>
      </c>
      <c r="AC5883">
        <v>9</v>
      </c>
      <c r="AD5883" s="5">
        <v>4.8867358078526122</v>
      </c>
      <c r="AE5883" s="5">
        <v>2.1609356665735757</v>
      </c>
      <c r="AF5883">
        <v>1</v>
      </c>
    </row>
    <row r="5884" spans="27:32" x14ac:dyDescent="0.3">
      <c r="AA5884" s="3">
        <v>38502.94</v>
      </c>
      <c r="AB5884">
        <v>1E-4</v>
      </c>
      <c r="AC5884">
        <v>7</v>
      </c>
      <c r="AD5884" s="5">
        <v>5.0174092219620068</v>
      </c>
      <c r="AE5884" s="5">
        <v>2.1698235024255483</v>
      </c>
      <c r="AF5884">
        <v>1</v>
      </c>
    </row>
    <row r="5885" spans="27:32" x14ac:dyDescent="0.3">
      <c r="AA5885" s="3">
        <v>-3893.69</v>
      </c>
      <c r="AB5885">
        <v>1E-4</v>
      </c>
      <c r="AC5885">
        <v>9</v>
      </c>
      <c r="AD5885" s="5">
        <v>5.0676321845133998</v>
      </c>
      <c r="AE5885" s="5">
        <v>2.1760641455539793</v>
      </c>
      <c r="AF5885">
        <v>1</v>
      </c>
    </row>
    <row r="5886" spans="27:32" x14ac:dyDescent="0.3">
      <c r="AA5886" s="3">
        <v>9030.6</v>
      </c>
      <c r="AB5886">
        <v>1E-4</v>
      </c>
      <c r="AC5886">
        <v>8</v>
      </c>
      <c r="AD5886" s="5">
        <v>4.9212389046842677</v>
      </c>
      <c r="AE5886" s="5">
        <v>2.1994536580866964</v>
      </c>
      <c r="AF5886">
        <v>1</v>
      </c>
    </row>
    <row r="5887" spans="27:32" x14ac:dyDescent="0.3">
      <c r="AA5887" s="3">
        <v>13204.95</v>
      </c>
      <c r="AB5887">
        <v>1E-4</v>
      </c>
      <c r="AC5887">
        <v>8</v>
      </c>
      <c r="AD5887" s="5">
        <v>5.0341772177155635</v>
      </c>
      <c r="AE5887" s="5">
        <v>2.1236863596206388</v>
      </c>
      <c r="AF5887">
        <v>1</v>
      </c>
    </row>
    <row r="5888" spans="27:32" x14ac:dyDescent="0.3">
      <c r="AA5888" s="3">
        <v>16830.150000000001</v>
      </c>
      <c r="AB5888">
        <v>1E-4</v>
      </c>
      <c r="AC5888">
        <v>8</v>
      </c>
      <c r="AD5888" s="5">
        <v>4.9008812314275136</v>
      </c>
      <c r="AE5888" s="5">
        <v>2.1611828531003638</v>
      </c>
      <c r="AF5888">
        <v>1</v>
      </c>
    </row>
    <row r="5889" spans="27:32" x14ac:dyDescent="0.3">
      <c r="AA5889" s="3">
        <v>2021.15</v>
      </c>
      <c r="AB5889">
        <v>1E-4</v>
      </c>
      <c r="AC5889">
        <v>8</v>
      </c>
      <c r="AD5889" s="5">
        <v>4.9654773156565879</v>
      </c>
      <c r="AE5889" s="5">
        <v>2.2318979336810951</v>
      </c>
      <c r="AF5889">
        <v>1</v>
      </c>
    </row>
    <row r="5890" spans="27:32" x14ac:dyDescent="0.3">
      <c r="AA5890" s="3">
        <v>-3871.25</v>
      </c>
      <c r="AB5890">
        <v>1E-4</v>
      </c>
      <c r="AC5890">
        <v>9</v>
      </c>
      <c r="AD5890" s="5">
        <v>5.0148128260230909</v>
      </c>
      <c r="AE5890" s="5">
        <v>2.1681793692481599</v>
      </c>
      <c r="AF5890">
        <v>1</v>
      </c>
    </row>
    <row r="5891" spans="27:32" x14ac:dyDescent="0.3">
      <c r="AA5891" s="3">
        <v>-13671.47</v>
      </c>
      <c r="AB5891">
        <v>1E-4</v>
      </c>
      <c r="AC5891">
        <v>9</v>
      </c>
      <c r="AD5891" s="5">
        <v>4.9878045116754413</v>
      </c>
      <c r="AE5891" s="5">
        <v>2.2169779411677415</v>
      </c>
      <c r="AF5891">
        <v>1</v>
      </c>
    </row>
    <row r="5892" spans="27:32" x14ac:dyDescent="0.3">
      <c r="AA5892" s="3">
        <v>17044.93</v>
      </c>
      <c r="AB5892">
        <v>1E-4</v>
      </c>
      <c r="AC5892">
        <v>8</v>
      </c>
      <c r="AD5892" s="5">
        <v>5.0250108534839804</v>
      </c>
      <c r="AE5892" s="5">
        <v>2.1150368726452955</v>
      </c>
      <c r="AF5892">
        <v>1</v>
      </c>
    </row>
    <row r="5893" spans="27:32" x14ac:dyDescent="0.3">
      <c r="AA5893" s="3">
        <v>30198.21</v>
      </c>
      <c r="AB5893">
        <v>1E-4</v>
      </c>
      <c r="AC5893">
        <v>7</v>
      </c>
      <c r="AD5893" s="5">
        <v>4.9479890614430921</v>
      </c>
      <c r="AE5893" s="5">
        <v>2.2130943351454739</v>
      </c>
      <c r="AF5893">
        <v>1</v>
      </c>
    </row>
    <row r="5894" spans="27:32" x14ac:dyDescent="0.3">
      <c r="AA5894" s="3">
        <v>10120.709999999999</v>
      </c>
      <c r="AB5894">
        <v>1E-4</v>
      </c>
      <c r="AC5894">
        <v>8</v>
      </c>
      <c r="AD5894" s="5">
        <v>5.0496889895912318</v>
      </c>
      <c r="AE5894" s="5">
        <v>2.1493926788608526</v>
      </c>
      <c r="AF5894">
        <v>1</v>
      </c>
    </row>
    <row r="5895" spans="27:32" x14ac:dyDescent="0.3">
      <c r="AA5895" s="3">
        <v>8139.92</v>
      </c>
      <c r="AB5895">
        <v>1E-4</v>
      </c>
      <c r="AC5895">
        <v>8</v>
      </c>
      <c r="AD5895" s="5">
        <v>4.8711642930341119</v>
      </c>
      <c r="AE5895" s="5">
        <v>2.2775978694903358</v>
      </c>
      <c r="AF5895">
        <v>1</v>
      </c>
    </row>
    <row r="5896" spans="27:32" x14ac:dyDescent="0.3">
      <c r="AA5896" s="3">
        <v>24569.7</v>
      </c>
      <c r="AB5896">
        <v>1E-4</v>
      </c>
      <c r="AC5896">
        <v>8</v>
      </c>
      <c r="AD5896" s="5">
        <v>4.9408342300343779</v>
      </c>
      <c r="AE5896" s="5">
        <v>2.1463714613170595</v>
      </c>
      <c r="AF5896">
        <v>1</v>
      </c>
    </row>
    <row r="5897" spans="27:32" x14ac:dyDescent="0.3">
      <c r="AA5897" s="3">
        <v>2219.15</v>
      </c>
      <c r="AB5897">
        <v>1E-4</v>
      </c>
      <c r="AC5897">
        <v>8</v>
      </c>
      <c r="AD5897" s="5">
        <v>5.1455378404215031</v>
      </c>
      <c r="AE5897" s="5">
        <v>2.2353087533387028</v>
      </c>
      <c r="AF5897">
        <v>1</v>
      </c>
    </row>
    <row r="5898" spans="27:32" x14ac:dyDescent="0.3">
      <c r="AA5898" s="3">
        <v>37596.46</v>
      </c>
      <c r="AB5898">
        <v>1E-4</v>
      </c>
      <c r="AC5898">
        <v>7</v>
      </c>
      <c r="AD5898" s="5">
        <v>5.1462455072472553</v>
      </c>
      <c r="AE5898" s="5">
        <v>2.2069898130471741</v>
      </c>
      <c r="AF5898">
        <v>1</v>
      </c>
    </row>
    <row r="5899" spans="27:32" x14ac:dyDescent="0.3">
      <c r="AA5899" s="3">
        <v>9318.2099999999991</v>
      </c>
      <c r="AB5899">
        <v>1E-4</v>
      </c>
      <c r="AC5899">
        <v>8</v>
      </c>
      <c r="AD5899" s="5">
        <v>4.9344791637627026</v>
      </c>
      <c r="AE5899" s="5">
        <v>2.1862444352369774</v>
      </c>
      <c r="AF5899">
        <v>1</v>
      </c>
    </row>
    <row r="5900" spans="27:32" x14ac:dyDescent="0.3">
      <c r="AA5900" s="3">
        <v>12840.5</v>
      </c>
      <c r="AB5900">
        <v>1E-4</v>
      </c>
      <c r="AC5900">
        <v>8</v>
      </c>
      <c r="AD5900" s="5">
        <v>5.0403528134303812</v>
      </c>
      <c r="AE5900" s="5">
        <v>2.238144730640327</v>
      </c>
      <c r="AF5900">
        <v>1</v>
      </c>
    </row>
    <row r="5901" spans="27:32" x14ac:dyDescent="0.3">
      <c r="AA5901" s="3">
        <v>17669.55</v>
      </c>
      <c r="AB5901">
        <v>1E-4</v>
      </c>
      <c r="AC5901">
        <v>8</v>
      </c>
      <c r="AD5901" s="5">
        <v>5.1578845465197052</v>
      </c>
      <c r="AE5901" s="5">
        <v>2.1964358010898399</v>
      </c>
      <c r="AF5901">
        <v>1</v>
      </c>
    </row>
    <row r="5902" spans="27:32" x14ac:dyDescent="0.3">
      <c r="AA5902" s="3">
        <v>-2912.12</v>
      </c>
      <c r="AB5902">
        <v>1E-4</v>
      </c>
      <c r="AC5902">
        <v>9</v>
      </c>
      <c r="AD5902" s="5">
        <v>4.8476659544720402</v>
      </c>
      <c r="AE5902" s="5">
        <v>2.1957426208040176</v>
      </c>
      <c r="AF5902">
        <v>1</v>
      </c>
    </row>
    <row r="5903" spans="27:32" x14ac:dyDescent="0.3">
      <c r="AA5903" s="3">
        <v>13037.75</v>
      </c>
      <c r="AB5903">
        <v>1E-4</v>
      </c>
      <c r="AC5903">
        <v>8</v>
      </c>
      <c r="AD5903" s="5">
        <v>4.986345753574084</v>
      </c>
      <c r="AE5903" s="5">
        <v>2.2270059195331542</v>
      </c>
      <c r="AF5903">
        <v>1</v>
      </c>
    </row>
    <row r="5904" spans="27:32" x14ac:dyDescent="0.3">
      <c r="AA5904" s="3">
        <v>18959.47</v>
      </c>
      <c r="AB5904">
        <v>1E-4</v>
      </c>
      <c r="AC5904">
        <v>8</v>
      </c>
      <c r="AD5904" s="5">
        <v>5.0334743135213831</v>
      </c>
      <c r="AE5904" s="5">
        <v>2.2225295477653897</v>
      </c>
      <c r="AF5904">
        <v>1</v>
      </c>
    </row>
    <row r="5905" spans="27:32" x14ac:dyDescent="0.3">
      <c r="AA5905" s="3">
        <v>13995.32</v>
      </c>
      <c r="AB5905">
        <v>1E-4</v>
      </c>
      <c r="AC5905">
        <v>8</v>
      </c>
      <c r="AD5905" s="5">
        <v>4.9577530364541333</v>
      </c>
      <c r="AE5905" s="5">
        <v>2.2202273089072762</v>
      </c>
      <c r="AF5905">
        <v>1</v>
      </c>
    </row>
    <row r="5906" spans="27:32" x14ac:dyDescent="0.3">
      <c r="AA5906" s="3">
        <v>3069.92</v>
      </c>
      <c r="AB5906">
        <v>1E-4</v>
      </c>
      <c r="AC5906">
        <v>8</v>
      </c>
      <c r="AD5906" s="5">
        <v>4.8509006743873764</v>
      </c>
      <c r="AE5906" s="5">
        <v>2.2199077645239562</v>
      </c>
      <c r="AF5906">
        <v>1</v>
      </c>
    </row>
    <row r="5907" spans="27:32" x14ac:dyDescent="0.3">
      <c r="AA5907" s="3">
        <v>-7396.28</v>
      </c>
      <c r="AB5907">
        <v>1E-4</v>
      </c>
      <c r="AC5907">
        <v>9</v>
      </c>
      <c r="AD5907" s="5">
        <v>4.8695815981417816</v>
      </c>
      <c r="AE5907" s="5">
        <v>2.1781721197535644</v>
      </c>
      <c r="AF5907">
        <v>1</v>
      </c>
    </row>
    <row r="5908" spans="27:32" x14ac:dyDescent="0.3">
      <c r="AA5908" s="3">
        <v>25225.66</v>
      </c>
      <c r="AB5908">
        <v>1E-4</v>
      </c>
      <c r="AC5908">
        <v>8</v>
      </c>
      <c r="AD5908" s="5">
        <v>4.959241768424473</v>
      </c>
      <c r="AE5908" s="5">
        <v>2.1734756012100824</v>
      </c>
      <c r="AF5908">
        <v>1</v>
      </c>
    </row>
    <row r="5909" spans="27:32" x14ac:dyDescent="0.3">
      <c r="AA5909" s="3">
        <v>21808.5</v>
      </c>
      <c r="AB5909">
        <v>1E-4</v>
      </c>
      <c r="AC5909">
        <v>8</v>
      </c>
      <c r="AD5909" s="5">
        <v>4.9877550933327868</v>
      </c>
      <c r="AE5909" s="5">
        <v>2.2537503590265207</v>
      </c>
      <c r="AF5909">
        <v>1</v>
      </c>
    </row>
    <row r="5910" spans="27:32" x14ac:dyDescent="0.3">
      <c r="AA5910" s="3">
        <v>13528.7</v>
      </c>
      <c r="AB5910">
        <v>1E-4</v>
      </c>
      <c r="AC5910">
        <v>8</v>
      </c>
      <c r="AD5910" s="5">
        <v>5.0792119218244878</v>
      </c>
      <c r="AE5910" s="5">
        <v>2.2236762220889021</v>
      </c>
      <c r="AF5910">
        <v>1</v>
      </c>
    </row>
    <row r="5911" spans="27:32" x14ac:dyDescent="0.3">
      <c r="AA5911" s="3">
        <v>590.83000000000004</v>
      </c>
      <c r="AB5911">
        <v>1E-4</v>
      </c>
      <c r="AC5911">
        <v>8</v>
      </c>
      <c r="AD5911" s="5">
        <v>4.7035467379488987</v>
      </c>
      <c r="AE5911" s="5">
        <v>2.1772514464500383</v>
      </c>
      <c r="AF5911">
        <v>1</v>
      </c>
    </row>
    <row r="5912" spans="27:32" x14ac:dyDescent="0.3">
      <c r="AA5912" s="3">
        <v>55909.61</v>
      </c>
      <c r="AB5912">
        <v>1E-4</v>
      </c>
      <c r="AC5912">
        <v>6</v>
      </c>
      <c r="AD5912" s="5">
        <v>5.0639289438314856</v>
      </c>
      <c r="AE5912" s="5">
        <v>2.1740816015485054</v>
      </c>
      <c r="AF5912">
        <v>1</v>
      </c>
    </row>
    <row r="5913" spans="27:32" x14ac:dyDescent="0.3">
      <c r="AA5913" s="3">
        <v>-7427.96</v>
      </c>
      <c r="AB5913">
        <v>1E-4</v>
      </c>
      <c r="AC5913">
        <v>9</v>
      </c>
      <c r="AD5913" s="5">
        <v>4.9880555004407654</v>
      </c>
      <c r="AE5913" s="5">
        <v>2.2823962963724624</v>
      </c>
      <c r="AF5913">
        <v>1</v>
      </c>
    </row>
    <row r="5914" spans="27:32" x14ac:dyDescent="0.3">
      <c r="AA5914" s="3">
        <v>-1227.56</v>
      </c>
      <c r="AB5914">
        <v>1E-4</v>
      </c>
      <c r="AC5914">
        <v>9</v>
      </c>
      <c r="AD5914" s="5">
        <v>4.8438076659815357</v>
      </c>
      <c r="AE5914" s="5">
        <v>2.1551536913001241</v>
      </c>
      <c r="AF5914">
        <v>1</v>
      </c>
    </row>
    <row r="5915" spans="27:32" x14ac:dyDescent="0.3">
      <c r="AA5915" s="3">
        <v>1786.58</v>
      </c>
      <c r="AB5915">
        <v>1E-4</v>
      </c>
      <c r="AC5915">
        <v>8</v>
      </c>
      <c r="AD5915" s="5">
        <v>4.8431276173467666</v>
      </c>
      <c r="AE5915" s="5">
        <v>2.2140527672148069</v>
      </c>
      <c r="AF5915">
        <v>1</v>
      </c>
    </row>
    <row r="5916" spans="27:32" x14ac:dyDescent="0.3">
      <c r="AA5916" s="3">
        <v>34128.120000000003</v>
      </c>
      <c r="AB5916">
        <v>1E-4</v>
      </c>
      <c r="AC5916">
        <v>7</v>
      </c>
      <c r="AD5916" s="5">
        <v>5.0417853244556312</v>
      </c>
      <c r="AE5916" s="5">
        <v>2.256532136846972</v>
      </c>
      <c r="AF5916">
        <v>1</v>
      </c>
    </row>
    <row r="5917" spans="27:32" x14ac:dyDescent="0.3">
      <c r="AA5917" s="3">
        <v>-17402.13</v>
      </c>
      <c r="AB5917">
        <v>1E-4</v>
      </c>
      <c r="AC5917">
        <v>9</v>
      </c>
      <c r="AD5917" s="5">
        <v>4.8544772352618066</v>
      </c>
      <c r="AE5917" s="5">
        <v>2.2196736972607307</v>
      </c>
      <c r="AF5917">
        <v>1</v>
      </c>
    </row>
    <row r="5918" spans="27:32" x14ac:dyDescent="0.3">
      <c r="AA5918" s="3">
        <v>29034.73</v>
      </c>
      <c r="AB5918">
        <v>1E-4</v>
      </c>
      <c r="AC5918">
        <v>8</v>
      </c>
      <c r="AD5918" s="5">
        <v>5.0192045579497391</v>
      </c>
      <c r="AE5918" s="5">
        <v>2.1850001625327398</v>
      </c>
      <c r="AF5918">
        <v>1</v>
      </c>
    </row>
    <row r="5919" spans="27:32" x14ac:dyDescent="0.3">
      <c r="AA5919" s="3">
        <v>26686.29</v>
      </c>
      <c r="AB5919">
        <v>1E-4</v>
      </c>
      <c r="AC5919">
        <v>8</v>
      </c>
      <c r="AD5919" s="5">
        <v>4.9753755081437463</v>
      </c>
      <c r="AE5919" s="5">
        <v>2.2253182322881009</v>
      </c>
      <c r="AF5919">
        <v>1</v>
      </c>
    </row>
    <row r="5920" spans="27:32" x14ac:dyDescent="0.3">
      <c r="AA5920" s="3">
        <v>49542.83</v>
      </c>
      <c r="AB5920">
        <v>1E-4</v>
      </c>
      <c r="AC5920">
        <v>6</v>
      </c>
      <c r="AD5920" s="5">
        <v>5.1111746014080488</v>
      </c>
      <c r="AE5920" s="5">
        <v>2.1743484376342259</v>
      </c>
      <c r="AF5920">
        <v>1</v>
      </c>
    </row>
    <row r="5921" spans="27:32" x14ac:dyDescent="0.3">
      <c r="AA5921" s="3">
        <v>16759.41</v>
      </c>
      <c r="AB5921">
        <v>1E-4</v>
      </c>
      <c r="AC5921">
        <v>8</v>
      </c>
      <c r="AD5921" s="5">
        <v>5.0354446933684418</v>
      </c>
      <c r="AE5921" s="5">
        <v>2.1865347664503965</v>
      </c>
      <c r="AF5921">
        <v>1</v>
      </c>
    </row>
    <row r="5922" spans="27:32" x14ac:dyDescent="0.3">
      <c r="AA5922" s="3">
        <v>11545.82</v>
      </c>
      <c r="AB5922">
        <v>1E-4</v>
      </c>
      <c r="AC5922">
        <v>8</v>
      </c>
      <c r="AD5922" s="5">
        <v>5.0765130818781241</v>
      </c>
      <c r="AE5922" s="5">
        <v>2.1917535225698526</v>
      </c>
      <c r="AF5922">
        <v>1</v>
      </c>
    </row>
    <row r="5923" spans="27:32" x14ac:dyDescent="0.3">
      <c r="AA5923" s="3">
        <v>5237.1000000000004</v>
      </c>
      <c r="AB5923">
        <v>1E-4</v>
      </c>
      <c r="AC5923">
        <v>8</v>
      </c>
      <c r="AD5923" s="5">
        <v>4.9226251808719521</v>
      </c>
      <c r="AE5923" s="5">
        <v>2.2169261355800329</v>
      </c>
      <c r="AF5923">
        <v>1</v>
      </c>
    </row>
    <row r="5924" spans="27:32" x14ac:dyDescent="0.3">
      <c r="AA5924" s="3">
        <v>-1319.04</v>
      </c>
      <c r="AB5924">
        <v>1E-4</v>
      </c>
      <c r="AC5924">
        <v>9</v>
      </c>
      <c r="AD5924" s="5">
        <v>4.9616072391003536</v>
      </c>
      <c r="AE5924" s="5">
        <v>2.2700107501065689</v>
      </c>
      <c r="AF5924">
        <v>1</v>
      </c>
    </row>
    <row r="5925" spans="27:32" x14ac:dyDescent="0.3">
      <c r="AA5925" s="3">
        <v>-10007.73</v>
      </c>
      <c r="AB5925">
        <v>1E-4</v>
      </c>
      <c r="AC5925">
        <v>9</v>
      </c>
      <c r="AD5925" s="5">
        <v>4.837613754116755</v>
      </c>
      <c r="AE5925" s="5">
        <v>2.3039236487848056</v>
      </c>
      <c r="AF5925">
        <v>1</v>
      </c>
    </row>
    <row r="5926" spans="27:32" x14ac:dyDescent="0.3">
      <c r="AA5926" s="3">
        <v>4489.28</v>
      </c>
      <c r="AB5926">
        <v>1E-4</v>
      </c>
      <c r="AC5926">
        <v>8</v>
      </c>
      <c r="AD5926" s="5">
        <v>4.8774465175502364</v>
      </c>
      <c r="AE5926" s="5">
        <v>2.2303737570917486</v>
      </c>
      <c r="AF5926">
        <v>1</v>
      </c>
    </row>
    <row r="5927" spans="27:32" x14ac:dyDescent="0.3">
      <c r="AA5927" s="3">
        <v>8406.06</v>
      </c>
      <c r="AB5927">
        <v>1E-4</v>
      </c>
      <c r="AC5927">
        <v>8</v>
      </c>
      <c r="AD5927" s="5">
        <v>4.9397444983345924</v>
      </c>
      <c r="AE5927" s="5">
        <v>2.3003748464195781</v>
      </c>
      <c r="AF5927">
        <v>1</v>
      </c>
    </row>
    <row r="5928" spans="27:32" x14ac:dyDescent="0.3">
      <c r="AA5928" s="3">
        <v>-10425.69</v>
      </c>
      <c r="AB5928">
        <v>1E-4</v>
      </c>
      <c r="AC5928">
        <v>9</v>
      </c>
      <c r="AD5928" s="5">
        <v>5.0070421774655998</v>
      </c>
      <c r="AE5928" s="5">
        <v>2.1952606683384017</v>
      </c>
      <c r="AF5928">
        <v>1</v>
      </c>
    </row>
    <row r="5929" spans="27:32" x14ac:dyDescent="0.3">
      <c r="AA5929" s="3">
        <v>25223.13</v>
      </c>
      <c r="AB5929">
        <v>1E-4</v>
      </c>
      <c r="AC5929">
        <v>8</v>
      </c>
      <c r="AD5929" s="5">
        <v>4.9254919693060684</v>
      </c>
      <c r="AE5929" s="5">
        <v>2.1656837541338652</v>
      </c>
      <c r="AF5929">
        <v>1</v>
      </c>
    </row>
    <row r="5930" spans="27:32" x14ac:dyDescent="0.3">
      <c r="AA5930" s="3">
        <v>2142.14</v>
      </c>
      <c r="AB5930">
        <v>1E-4</v>
      </c>
      <c r="AC5930">
        <v>8</v>
      </c>
      <c r="AD5930" s="5">
        <v>5.034083175869684</v>
      </c>
      <c r="AE5930" s="5">
        <v>2.2155050723964633</v>
      </c>
      <c r="AF5930">
        <v>1</v>
      </c>
    </row>
    <row r="5931" spans="27:32" x14ac:dyDescent="0.3">
      <c r="AA5931" s="3">
        <v>3019.66</v>
      </c>
      <c r="AB5931">
        <v>1E-4</v>
      </c>
      <c r="AC5931">
        <v>8</v>
      </c>
      <c r="AD5931" s="5">
        <v>4.9247666077157746</v>
      </c>
      <c r="AE5931" s="5">
        <v>2.1248707633918715</v>
      </c>
      <c r="AF5931">
        <v>1</v>
      </c>
    </row>
    <row r="5932" spans="27:32" x14ac:dyDescent="0.3">
      <c r="AA5932" s="3">
        <v>10386.31</v>
      </c>
      <c r="AB5932">
        <v>1E-4</v>
      </c>
      <c r="AC5932">
        <v>8</v>
      </c>
      <c r="AD5932" s="5">
        <v>5.0300869924042368</v>
      </c>
      <c r="AE5932" s="5">
        <v>2.223432804903418</v>
      </c>
      <c r="AF5932">
        <v>1</v>
      </c>
    </row>
    <row r="5933" spans="27:32" x14ac:dyDescent="0.3">
      <c r="AA5933" s="3">
        <v>22584.62</v>
      </c>
      <c r="AB5933">
        <v>1E-4</v>
      </c>
      <c r="AC5933">
        <v>8</v>
      </c>
      <c r="AD5933" s="5">
        <v>5.0106791764009824</v>
      </c>
      <c r="AE5933" s="5">
        <v>2.2475856764140723</v>
      </c>
      <c r="AF5933">
        <v>1</v>
      </c>
    </row>
    <row r="5934" spans="27:32" x14ac:dyDescent="0.3">
      <c r="AA5934" s="3">
        <v>22655.93</v>
      </c>
      <c r="AB5934">
        <v>1E-4</v>
      </c>
      <c r="AC5934">
        <v>8</v>
      </c>
      <c r="AD5934" s="5">
        <v>4.83889624678931</v>
      </c>
      <c r="AE5934" s="5">
        <v>2.187428771577749</v>
      </c>
      <c r="AF5934">
        <v>1</v>
      </c>
    </row>
    <row r="5935" spans="27:32" x14ac:dyDescent="0.3">
      <c r="AA5935" s="3">
        <v>-6217.65</v>
      </c>
      <c r="AB5935">
        <v>1E-4</v>
      </c>
      <c r="AC5935">
        <v>9</v>
      </c>
      <c r="AD5935" s="5">
        <v>4.9436637072783443</v>
      </c>
      <c r="AE5935" s="5">
        <v>2.245386759296395</v>
      </c>
      <c r="AF5935">
        <v>1</v>
      </c>
    </row>
    <row r="5936" spans="27:32" x14ac:dyDescent="0.3">
      <c r="AA5936" s="3">
        <v>3598.15</v>
      </c>
      <c r="AB5936">
        <v>1E-4</v>
      </c>
      <c r="AC5936">
        <v>8</v>
      </c>
      <c r="AD5936" s="5">
        <v>4.9536143790472744</v>
      </c>
      <c r="AE5936" s="5">
        <v>2.2100880408758585</v>
      </c>
      <c r="AF5936">
        <v>1</v>
      </c>
    </row>
    <row r="5937" spans="27:32" x14ac:dyDescent="0.3">
      <c r="AA5937" s="3">
        <v>42846.89</v>
      </c>
      <c r="AB5937">
        <v>1E-4</v>
      </c>
      <c r="AC5937">
        <v>7</v>
      </c>
      <c r="AD5937" s="5">
        <v>4.9612759298006095</v>
      </c>
      <c r="AE5937" s="5">
        <v>2.1851736286054639</v>
      </c>
      <c r="AF5937">
        <v>1</v>
      </c>
    </row>
    <row r="5938" spans="27:32" x14ac:dyDescent="0.3">
      <c r="AA5938" s="3">
        <v>-8669.7099999999991</v>
      </c>
      <c r="AB5938">
        <v>1E-4</v>
      </c>
      <c r="AC5938">
        <v>9</v>
      </c>
      <c r="AD5938" s="5">
        <v>5.0423872472140605</v>
      </c>
      <c r="AE5938" s="5">
        <v>2.2281933579552797</v>
      </c>
      <c r="AF5938">
        <v>1</v>
      </c>
    </row>
    <row r="5939" spans="27:32" x14ac:dyDescent="0.3">
      <c r="AA5939" s="3">
        <v>41491.85</v>
      </c>
      <c r="AB5939">
        <v>1E-4</v>
      </c>
      <c r="AC5939">
        <v>7</v>
      </c>
      <c r="AD5939" s="5">
        <v>5.1397509648128397</v>
      </c>
      <c r="AE5939" s="5">
        <v>2.1088111672767056</v>
      </c>
      <c r="AF5939">
        <v>1</v>
      </c>
    </row>
    <row r="5940" spans="27:32" x14ac:dyDescent="0.3">
      <c r="AA5940" s="3">
        <v>25355.65</v>
      </c>
      <c r="AB5940">
        <v>1E-4</v>
      </c>
      <c r="AC5940">
        <v>8</v>
      </c>
      <c r="AD5940" s="5">
        <v>5.1064682208973826</v>
      </c>
      <c r="AE5940" s="5">
        <v>2.223536397352881</v>
      </c>
      <c r="AF5940">
        <v>1</v>
      </c>
    </row>
    <row r="5941" spans="27:32" x14ac:dyDescent="0.3">
      <c r="AA5941" s="3">
        <v>6714.76</v>
      </c>
      <c r="AB5941">
        <v>1E-4</v>
      </c>
      <c r="AC5941">
        <v>8</v>
      </c>
      <c r="AD5941" s="5">
        <v>4.9326095508777295</v>
      </c>
      <c r="AE5941" s="5">
        <v>2.242856006737048</v>
      </c>
      <c r="AF5941">
        <v>1</v>
      </c>
    </row>
    <row r="5942" spans="27:32" x14ac:dyDescent="0.3">
      <c r="AA5942" s="3">
        <v>-1957.17</v>
      </c>
      <c r="AB5942">
        <v>1E-4</v>
      </c>
      <c r="AC5942">
        <v>9</v>
      </c>
      <c r="AD5942" s="5">
        <v>5.0724060757028537</v>
      </c>
      <c r="AE5942" s="5">
        <v>2.1979460842261198</v>
      </c>
      <c r="AF5942">
        <v>1</v>
      </c>
    </row>
    <row r="5943" spans="27:32" x14ac:dyDescent="0.3">
      <c r="AA5943" s="3">
        <v>13015.66</v>
      </c>
      <c r="AB5943">
        <v>1E-4</v>
      </c>
      <c r="AC5943">
        <v>8</v>
      </c>
      <c r="AD5943" s="5">
        <v>4.974823822242211</v>
      </c>
      <c r="AE5943" s="5">
        <v>2.2215750697502186</v>
      </c>
      <c r="AF5943">
        <v>1</v>
      </c>
    </row>
    <row r="5944" spans="27:32" x14ac:dyDescent="0.3">
      <c r="AA5944" s="3">
        <v>-9838.02</v>
      </c>
      <c r="AB5944">
        <v>1E-4</v>
      </c>
      <c r="AC5944">
        <v>9</v>
      </c>
      <c r="AD5944" s="5">
        <v>4.8490715035506335</v>
      </c>
      <c r="AE5944" s="5">
        <v>2.369447835352938</v>
      </c>
      <c r="AF5944">
        <v>1</v>
      </c>
    </row>
    <row r="5945" spans="27:32" x14ac:dyDescent="0.3">
      <c r="AA5945" s="3">
        <v>8860.39</v>
      </c>
      <c r="AB5945">
        <v>1E-4</v>
      </c>
      <c r="AC5945">
        <v>8</v>
      </c>
      <c r="AD5945" s="5">
        <v>5.0269238888981764</v>
      </c>
      <c r="AE5945" s="5">
        <v>2.2568061524633172</v>
      </c>
      <c r="AF5945">
        <v>1</v>
      </c>
    </row>
    <row r="5946" spans="27:32" x14ac:dyDescent="0.3">
      <c r="AA5946" s="3">
        <v>-24307.68</v>
      </c>
      <c r="AB5946">
        <v>1E-4</v>
      </c>
      <c r="AC5946">
        <v>9</v>
      </c>
      <c r="AD5946" s="5">
        <v>4.965337133393346</v>
      </c>
      <c r="AE5946" s="5">
        <v>2.1094656755304997</v>
      </c>
      <c r="AF5946">
        <v>1</v>
      </c>
    </row>
    <row r="5947" spans="27:32" x14ac:dyDescent="0.3">
      <c r="AA5947" s="3">
        <v>28223.1</v>
      </c>
      <c r="AB5947">
        <v>1E-4</v>
      </c>
      <c r="AC5947">
        <v>7</v>
      </c>
      <c r="AD5947" s="5">
        <v>4.9803363061231822</v>
      </c>
      <c r="AE5947" s="5">
        <v>2.2100227496485032</v>
      </c>
      <c r="AF5947">
        <v>1</v>
      </c>
    </row>
    <row r="5948" spans="27:32" x14ac:dyDescent="0.3">
      <c r="AA5948" s="3">
        <v>-11037.24</v>
      </c>
      <c r="AB5948">
        <v>1E-4</v>
      </c>
      <c r="AC5948">
        <v>9</v>
      </c>
      <c r="AD5948" s="5">
        <v>4.8878304870471698</v>
      </c>
      <c r="AE5948" s="5">
        <v>2.2363157517002983</v>
      </c>
      <c r="AF5948">
        <v>1</v>
      </c>
    </row>
    <row r="5949" spans="27:32" x14ac:dyDescent="0.3">
      <c r="AA5949" s="3">
        <v>-10356.19</v>
      </c>
      <c r="AB5949">
        <v>1E-4</v>
      </c>
      <c r="AC5949">
        <v>9</v>
      </c>
      <c r="AD5949" s="5">
        <v>5.059985274238695</v>
      </c>
      <c r="AE5949" s="5">
        <v>2.2015363932511725</v>
      </c>
      <c r="AF5949">
        <v>1</v>
      </c>
    </row>
    <row r="5950" spans="27:32" x14ac:dyDescent="0.3">
      <c r="AA5950" s="3">
        <v>-8791.2800000000007</v>
      </c>
      <c r="AB5950">
        <v>1E-4</v>
      </c>
      <c r="AC5950">
        <v>9</v>
      </c>
      <c r="AD5950" s="5">
        <v>5.1502089088605327</v>
      </c>
      <c r="AE5950" s="5">
        <v>2.2169832494423347</v>
      </c>
      <c r="AF5950">
        <v>1</v>
      </c>
    </row>
    <row r="5951" spans="27:32" x14ac:dyDescent="0.3">
      <c r="AA5951" s="3">
        <v>4545.1000000000004</v>
      </c>
      <c r="AB5951">
        <v>1E-4</v>
      </c>
      <c r="AC5951">
        <v>8</v>
      </c>
      <c r="AD5951" s="5">
        <v>4.8977239374118051</v>
      </c>
      <c r="AE5951" s="5">
        <v>2.1747574830725651</v>
      </c>
      <c r="AF5951">
        <v>1</v>
      </c>
    </row>
    <row r="5952" spans="27:32" x14ac:dyDescent="0.3">
      <c r="AA5952" s="3">
        <v>8887.8700000000008</v>
      </c>
      <c r="AB5952">
        <v>1E-4</v>
      </c>
      <c r="AC5952">
        <v>8</v>
      </c>
      <c r="AD5952" s="5">
        <v>4.9612847821878852</v>
      </c>
      <c r="AE5952" s="5">
        <v>2.1722180786694532</v>
      </c>
      <c r="AF5952">
        <v>1</v>
      </c>
    </row>
    <row r="5953" spans="27:32" x14ac:dyDescent="0.3">
      <c r="AA5953" s="3">
        <v>48432.43</v>
      </c>
      <c r="AB5953">
        <v>1E-4</v>
      </c>
      <c r="AC5953">
        <v>6</v>
      </c>
      <c r="AD5953" s="5">
        <v>5.0534129233054266</v>
      </c>
      <c r="AE5953" s="5">
        <v>2.1482754949661516</v>
      </c>
      <c r="AF5953">
        <v>1</v>
      </c>
    </row>
    <row r="5954" spans="27:32" x14ac:dyDescent="0.3">
      <c r="AA5954" s="3">
        <v>24150.34</v>
      </c>
      <c r="AB5954">
        <v>1E-4</v>
      </c>
      <c r="AC5954">
        <v>8</v>
      </c>
      <c r="AD5954" s="5">
        <v>5.1598629968228042</v>
      </c>
      <c r="AE5954" s="5">
        <v>2.1980160048857984</v>
      </c>
      <c r="AF5954">
        <v>1</v>
      </c>
    </row>
    <row r="5955" spans="27:32" x14ac:dyDescent="0.3">
      <c r="AA5955" s="3">
        <v>7459.5</v>
      </c>
      <c r="AB5955">
        <v>1E-4</v>
      </c>
      <c r="AC5955">
        <v>8</v>
      </c>
      <c r="AD5955" s="5">
        <v>4.9412408744238689</v>
      </c>
      <c r="AE5955" s="5">
        <v>2.2399705511220875</v>
      </c>
      <c r="AF5955">
        <v>1</v>
      </c>
    </row>
    <row r="5956" spans="27:32" x14ac:dyDescent="0.3">
      <c r="AA5956" s="3">
        <v>41884.480000000003</v>
      </c>
      <c r="AB5956">
        <v>1E-4</v>
      </c>
      <c r="AC5956">
        <v>7</v>
      </c>
      <c r="AD5956" s="5">
        <v>5.117633827860355</v>
      </c>
      <c r="AE5956" s="5">
        <v>2.1971916287139619</v>
      </c>
      <c r="AF5956">
        <v>1</v>
      </c>
    </row>
    <row r="5957" spans="27:32" x14ac:dyDescent="0.3">
      <c r="AA5957" s="3">
        <v>32777.82</v>
      </c>
      <c r="AB5957">
        <v>1E-4</v>
      </c>
      <c r="AC5957">
        <v>7</v>
      </c>
      <c r="AD5957" s="5">
        <v>4.8835361892946754</v>
      </c>
      <c r="AE5957" s="5">
        <v>2.1981208011587534</v>
      </c>
      <c r="AF5957">
        <v>1</v>
      </c>
    </row>
    <row r="5958" spans="27:32" x14ac:dyDescent="0.3">
      <c r="AA5958" s="3">
        <v>34533.97</v>
      </c>
      <c r="AB5958">
        <v>1E-4</v>
      </c>
      <c r="AC5958">
        <v>7</v>
      </c>
      <c r="AD5958" s="5">
        <v>4.9479373055860423</v>
      </c>
      <c r="AE5958" s="5">
        <v>2.1757571830158975</v>
      </c>
      <c r="AF5958">
        <v>1</v>
      </c>
    </row>
    <row r="5959" spans="27:32" x14ac:dyDescent="0.3">
      <c r="AA5959" s="3">
        <v>48814.03</v>
      </c>
      <c r="AB5959">
        <v>1E-4</v>
      </c>
      <c r="AC5959">
        <v>7</v>
      </c>
      <c r="AD5959" s="5">
        <v>4.9629176915059867</v>
      </c>
      <c r="AE5959" s="5">
        <v>2.1403136727274368</v>
      </c>
      <c r="AF5959">
        <v>1</v>
      </c>
    </row>
    <row r="5960" spans="27:32" x14ac:dyDescent="0.3">
      <c r="AA5960" s="3">
        <v>36046.720000000001</v>
      </c>
      <c r="AB5960">
        <v>1E-4</v>
      </c>
      <c r="AC5960">
        <v>7</v>
      </c>
      <c r="AD5960" s="5">
        <v>5.1108552855366263</v>
      </c>
      <c r="AE5960" s="5">
        <v>2.1312442071340612</v>
      </c>
      <c r="AF5960">
        <v>1</v>
      </c>
    </row>
    <row r="5961" spans="27:32" x14ac:dyDescent="0.3">
      <c r="AA5961" s="3">
        <v>-28330.371783897808</v>
      </c>
      <c r="AB5961">
        <v>1E-4</v>
      </c>
      <c r="AC5961">
        <v>9</v>
      </c>
      <c r="AD5961" s="5">
        <v>4.9420006807708043</v>
      </c>
      <c r="AE5961" s="5">
        <v>2.2133103621920998</v>
      </c>
      <c r="AF5961">
        <v>0</v>
      </c>
    </row>
    <row r="5962" spans="27:32" x14ac:dyDescent="0.3">
      <c r="AA5962" s="3">
        <v>29841.42</v>
      </c>
      <c r="AB5962">
        <v>1E-4</v>
      </c>
      <c r="AC5962">
        <v>8</v>
      </c>
      <c r="AD5962" s="5">
        <v>5.0570716844334846</v>
      </c>
      <c r="AE5962" s="5">
        <v>2.1080664356057701</v>
      </c>
      <c r="AF5962">
        <v>1</v>
      </c>
    </row>
    <row r="5963" spans="27:32" x14ac:dyDescent="0.3">
      <c r="AA5963" s="3">
        <v>-42238.662207495392</v>
      </c>
      <c r="AB5963">
        <v>1E-4</v>
      </c>
      <c r="AC5963">
        <v>9</v>
      </c>
      <c r="AD5963" s="5">
        <v>4.803231230868203</v>
      </c>
      <c r="AE5963" s="5">
        <v>2.2615694538258673</v>
      </c>
      <c r="AF5963">
        <v>0</v>
      </c>
    </row>
    <row r="5964" spans="27:32" x14ac:dyDescent="0.3">
      <c r="AA5964" s="3">
        <v>20811.03</v>
      </c>
      <c r="AB5964">
        <v>1E-4</v>
      </c>
      <c r="AC5964">
        <v>8</v>
      </c>
      <c r="AD5964" s="5">
        <v>5.0587370713223523</v>
      </c>
      <c r="AE5964" s="5">
        <v>2.2684993042890085</v>
      </c>
      <c r="AF5964">
        <v>1</v>
      </c>
    </row>
    <row r="5965" spans="27:32" x14ac:dyDescent="0.3">
      <c r="AA5965" s="3">
        <v>9255.24</v>
      </c>
      <c r="AB5965">
        <v>1E-4</v>
      </c>
      <c r="AC5965">
        <v>8</v>
      </c>
      <c r="AD5965" s="5">
        <v>4.9925359201883959</v>
      </c>
      <c r="AE5965" s="5">
        <v>2.181693289566434</v>
      </c>
      <c r="AF5965">
        <v>1</v>
      </c>
    </row>
    <row r="5966" spans="27:32" x14ac:dyDescent="0.3">
      <c r="AA5966" s="3">
        <v>46468.77</v>
      </c>
      <c r="AB5966">
        <v>1E-4</v>
      </c>
      <c r="AC5966">
        <v>6</v>
      </c>
      <c r="AD5966" s="5">
        <v>5.0432859267415608</v>
      </c>
      <c r="AE5966" s="5">
        <v>2.205956755302966</v>
      </c>
      <c r="AF5966">
        <v>1</v>
      </c>
    </row>
    <row r="5967" spans="27:32" x14ac:dyDescent="0.3">
      <c r="AA5967" s="3">
        <v>19405.939999999999</v>
      </c>
      <c r="AB5967">
        <v>1E-4</v>
      </c>
      <c r="AC5967">
        <v>8</v>
      </c>
      <c r="AD5967" s="5">
        <v>5.026060211721882</v>
      </c>
      <c r="AE5967" s="5">
        <v>2.1903345335154363</v>
      </c>
      <c r="AF5967">
        <v>1</v>
      </c>
    </row>
    <row r="5968" spans="27:32" x14ac:dyDescent="0.3">
      <c r="AA5968" s="3">
        <v>23741.09</v>
      </c>
      <c r="AB5968">
        <v>1E-4</v>
      </c>
      <c r="AC5968">
        <v>8</v>
      </c>
      <c r="AD5968" s="5">
        <v>5.0264363751776457</v>
      </c>
      <c r="AE5968" s="5">
        <v>2.2629355092957675</v>
      </c>
      <c r="AF5968">
        <v>1</v>
      </c>
    </row>
    <row r="5969" spans="27:32" x14ac:dyDescent="0.3">
      <c r="AA5969" s="3">
        <v>20837.27</v>
      </c>
      <c r="AB5969">
        <v>1E-4</v>
      </c>
      <c r="AC5969">
        <v>8</v>
      </c>
      <c r="AD5969" s="5">
        <v>4.922889557701752</v>
      </c>
      <c r="AE5969" s="5">
        <v>2.1660389585596711</v>
      </c>
      <c r="AF5969">
        <v>1</v>
      </c>
    </row>
    <row r="5970" spans="27:32" x14ac:dyDescent="0.3">
      <c r="AA5970" s="3">
        <v>10777.78</v>
      </c>
      <c r="AB5970">
        <v>1E-4</v>
      </c>
      <c r="AC5970">
        <v>8</v>
      </c>
      <c r="AD5970" s="5">
        <v>4.9291950405603346</v>
      </c>
      <c r="AE5970" s="5">
        <v>2.1483516779927752</v>
      </c>
      <c r="AF5970">
        <v>1</v>
      </c>
    </row>
    <row r="5971" spans="27:32" x14ac:dyDescent="0.3">
      <c r="AA5971" s="3">
        <v>14872.96</v>
      </c>
      <c r="AB5971">
        <v>1E-4</v>
      </c>
      <c r="AC5971">
        <v>8</v>
      </c>
      <c r="AD5971" s="5">
        <v>4.9798508892948323</v>
      </c>
      <c r="AE5971" s="5">
        <v>2.1531537410749464</v>
      </c>
      <c r="AF5971">
        <v>1</v>
      </c>
    </row>
    <row r="5972" spans="27:32" x14ac:dyDescent="0.3">
      <c r="AA5972" s="3">
        <v>4531.18</v>
      </c>
      <c r="AB5972">
        <v>1E-4</v>
      </c>
      <c r="AC5972">
        <v>8</v>
      </c>
      <c r="AD5972" s="5">
        <v>5.053609985894246</v>
      </c>
      <c r="AE5972" s="5">
        <v>2.199129889639718</v>
      </c>
      <c r="AF5972">
        <v>1</v>
      </c>
    </row>
    <row r="5973" spans="27:32" x14ac:dyDescent="0.3">
      <c r="AA5973" s="3">
        <v>7534.75</v>
      </c>
      <c r="AB5973">
        <v>1E-4</v>
      </c>
      <c r="AC5973">
        <v>8</v>
      </c>
      <c r="AD5973" s="5">
        <v>5.0279217026575163</v>
      </c>
      <c r="AE5973" s="5">
        <v>2.1986454129210884</v>
      </c>
      <c r="AF5973">
        <v>1</v>
      </c>
    </row>
    <row r="5974" spans="27:32" x14ac:dyDescent="0.3">
      <c r="AA5974" s="3">
        <v>23494.78</v>
      </c>
      <c r="AB5974">
        <v>1E-4</v>
      </c>
      <c r="AC5974">
        <v>8</v>
      </c>
      <c r="AD5974" s="5">
        <v>4.9773247851379834</v>
      </c>
      <c r="AE5974" s="5">
        <v>2.1939776164602236</v>
      </c>
      <c r="AF5974">
        <v>1</v>
      </c>
    </row>
    <row r="5975" spans="27:32" x14ac:dyDescent="0.3">
      <c r="AA5975" s="3">
        <v>7713.71</v>
      </c>
      <c r="AB5975">
        <v>1E-4</v>
      </c>
      <c r="AC5975">
        <v>8</v>
      </c>
      <c r="AD5975" s="5">
        <v>4.9641739403084824</v>
      </c>
      <c r="AE5975" s="5">
        <v>2.2376473676071233</v>
      </c>
      <c r="AF5975">
        <v>1</v>
      </c>
    </row>
    <row r="5976" spans="27:32" x14ac:dyDescent="0.3">
      <c r="AA5976" s="3">
        <v>5271.3106743543303</v>
      </c>
      <c r="AB5976">
        <v>1E-4</v>
      </c>
      <c r="AC5976">
        <v>8</v>
      </c>
      <c r="AD5976" s="5">
        <v>5.0148646698470518</v>
      </c>
      <c r="AE5976" s="5">
        <v>2.2163436056526171</v>
      </c>
      <c r="AF5976">
        <v>0</v>
      </c>
    </row>
    <row r="5977" spans="27:32" x14ac:dyDescent="0.3">
      <c r="AA5977" s="3">
        <v>1177.3699999999999</v>
      </c>
      <c r="AB5977">
        <v>1E-4</v>
      </c>
      <c r="AC5977">
        <v>8</v>
      </c>
      <c r="AD5977" s="5">
        <v>5.0573132489641335</v>
      </c>
      <c r="AE5977" s="5">
        <v>2.2162322658583622</v>
      </c>
      <c r="AF5977">
        <v>1</v>
      </c>
    </row>
    <row r="5978" spans="27:32" x14ac:dyDescent="0.3">
      <c r="AA5978" s="3">
        <v>13812.54</v>
      </c>
      <c r="AB5978">
        <v>1E-4</v>
      </c>
      <c r="AC5978">
        <v>8</v>
      </c>
      <c r="AD5978" s="5">
        <v>4.9259134549485317</v>
      </c>
      <c r="AE5978" s="5">
        <v>2.2045034352838475</v>
      </c>
      <c r="AF5978">
        <v>1</v>
      </c>
    </row>
    <row r="5979" spans="27:32" x14ac:dyDescent="0.3">
      <c r="AA5979" s="3">
        <v>13727.96</v>
      </c>
      <c r="AB5979">
        <v>1E-4</v>
      </c>
      <c r="AC5979">
        <v>8</v>
      </c>
      <c r="AD5979" s="5">
        <v>4.940376289671633</v>
      </c>
      <c r="AE5979" s="5">
        <v>2.1893391129191655</v>
      </c>
      <c r="AF5979">
        <v>1</v>
      </c>
    </row>
    <row r="5980" spans="27:32" x14ac:dyDescent="0.3">
      <c r="AA5980" s="3">
        <v>9445.09</v>
      </c>
      <c r="AB5980">
        <v>1E-4</v>
      </c>
      <c r="AC5980">
        <v>8</v>
      </c>
      <c r="AD5980" s="5">
        <v>5.0215336171270559</v>
      </c>
      <c r="AE5980" s="5">
        <v>2.2738856592535157</v>
      </c>
      <c r="AF5980">
        <v>1</v>
      </c>
    </row>
    <row r="5981" spans="27:32" x14ac:dyDescent="0.3">
      <c r="AA5981" s="3">
        <v>31497.5</v>
      </c>
      <c r="AB5981">
        <v>1E-4</v>
      </c>
      <c r="AC5981">
        <v>7</v>
      </c>
      <c r="AD5981" s="5">
        <v>4.9367266976888695</v>
      </c>
      <c r="AE5981" s="5">
        <v>2.1533471929932371</v>
      </c>
      <c r="AF5981">
        <v>1</v>
      </c>
    </row>
    <row r="5982" spans="27:32" x14ac:dyDescent="0.3">
      <c r="AA5982" s="3">
        <v>31389.4</v>
      </c>
      <c r="AB5982">
        <v>1E-4</v>
      </c>
      <c r="AC5982">
        <v>7</v>
      </c>
      <c r="AD5982" s="5">
        <v>4.909011498394519</v>
      </c>
      <c r="AE5982" s="5">
        <v>2.1383218736053631</v>
      </c>
      <c r="AF5982">
        <v>1</v>
      </c>
    </row>
    <row r="5983" spans="27:32" x14ac:dyDescent="0.3">
      <c r="AA5983" s="3">
        <v>37811.919999999998</v>
      </c>
      <c r="AB5983">
        <v>1E-4</v>
      </c>
      <c r="AC5983">
        <v>7</v>
      </c>
      <c r="AD5983" s="5">
        <v>5.1397575221875043</v>
      </c>
      <c r="AE5983" s="5">
        <v>2.1617040599589261</v>
      </c>
      <c r="AF5983">
        <v>1</v>
      </c>
    </row>
    <row r="5984" spans="27:32" x14ac:dyDescent="0.3">
      <c r="AA5984" s="3">
        <v>5784.15</v>
      </c>
      <c r="AB5984">
        <v>1E-4</v>
      </c>
      <c r="AC5984">
        <v>8</v>
      </c>
      <c r="AD5984" s="5">
        <v>5.0414966886746573</v>
      </c>
      <c r="AE5984" s="5">
        <v>2.1873374352437689</v>
      </c>
      <c r="AF5984">
        <v>1</v>
      </c>
    </row>
    <row r="5985" spans="27:32" x14ac:dyDescent="0.3">
      <c r="AA5985" s="3">
        <v>34930.080000000002</v>
      </c>
      <c r="AB5985">
        <v>1E-4</v>
      </c>
      <c r="AC5985">
        <v>7</v>
      </c>
      <c r="AD5985" s="5">
        <v>4.8582149885275436</v>
      </c>
      <c r="AE5985" s="5">
        <v>2.241752072305029</v>
      </c>
      <c r="AF5985">
        <v>1</v>
      </c>
    </row>
    <row r="5986" spans="27:32" x14ac:dyDescent="0.3">
      <c r="AA5986" s="3">
        <v>13245.29</v>
      </c>
      <c r="AB5986">
        <v>1E-4</v>
      </c>
      <c r="AC5986">
        <v>8</v>
      </c>
      <c r="AD5986" s="5">
        <v>4.8925230219133322</v>
      </c>
      <c r="AE5986" s="5">
        <v>2.2170976472830808</v>
      </c>
      <c r="AF5986">
        <v>1</v>
      </c>
    </row>
    <row r="5987" spans="27:32" x14ac:dyDescent="0.3">
      <c r="AA5987" s="3">
        <v>15687.07</v>
      </c>
      <c r="AB5987">
        <v>1E-4</v>
      </c>
      <c r="AC5987">
        <v>8</v>
      </c>
      <c r="AD5987" s="5">
        <v>4.8564177622799063</v>
      </c>
      <c r="AE5987" s="5">
        <v>2.216004442214945</v>
      </c>
      <c r="AF5987">
        <v>1</v>
      </c>
    </row>
    <row r="5988" spans="27:32" x14ac:dyDescent="0.3">
      <c r="AA5988" s="3">
        <v>12232.52</v>
      </c>
      <c r="AB5988">
        <v>1E-4</v>
      </c>
      <c r="AC5988">
        <v>8</v>
      </c>
      <c r="AD5988" s="5">
        <v>5.1142408423759429</v>
      </c>
      <c r="AE5988" s="5">
        <v>2.2603339287321194</v>
      </c>
      <c r="AF5988">
        <v>1</v>
      </c>
    </row>
    <row r="5989" spans="27:32" x14ac:dyDescent="0.3">
      <c r="AA5989" s="3">
        <v>19257.78</v>
      </c>
      <c r="AB5989">
        <v>1E-4</v>
      </c>
      <c r="AC5989">
        <v>8</v>
      </c>
      <c r="AD5989" s="5">
        <v>5.0541063198429388</v>
      </c>
      <c r="AE5989" s="5">
        <v>2.1951075682099979</v>
      </c>
      <c r="AF5989">
        <v>1</v>
      </c>
    </row>
    <row r="5990" spans="27:32" x14ac:dyDescent="0.3">
      <c r="AA5990" s="3">
        <v>57446.43</v>
      </c>
      <c r="AB5990">
        <v>1E-4</v>
      </c>
      <c r="AC5990">
        <v>6</v>
      </c>
      <c r="AD5990" s="5">
        <v>5.0554575502910257</v>
      </c>
      <c r="AE5990" s="5">
        <v>2.1589500858248893</v>
      </c>
      <c r="AF5990">
        <v>1</v>
      </c>
    </row>
    <row r="5991" spans="27:32" x14ac:dyDescent="0.3">
      <c r="AA5991" s="3">
        <v>11109.2</v>
      </c>
      <c r="AB5991">
        <v>1E-4</v>
      </c>
      <c r="AC5991">
        <v>8</v>
      </c>
      <c r="AD5991" s="5">
        <v>4.9846556737250785</v>
      </c>
      <c r="AE5991" s="5">
        <v>2.1987979612478568</v>
      </c>
      <c r="AF5991">
        <v>1</v>
      </c>
    </row>
    <row r="5992" spans="27:32" x14ac:dyDescent="0.3">
      <c r="AA5992" s="3">
        <v>12481.48</v>
      </c>
      <c r="AB5992">
        <v>1E-4</v>
      </c>
      <c r="AC5992">
        <v>8</v>
      </c>
      <c r="AD5992" s="5">
        <v>4.8917624454076396</v>
      </c>
      <c r="AE5992" s="5">
        <v>2.1738969549200942</v>
      </c>
      <c r="AF5992">
        <v>1</v>
      </c>
    </row>
    <row r="5993" spans="27:32" x14ac:dyDescent="0.3">
      <c r="AA5993" s="3">
        <v>-438.37</v>
      </c>
      <c r="AB5993">
        <v>1E-4</v>
      </c>
      <c r="AC5993">
        <v>9</v>
      </c>
      <c r="AD5993" s="5">
        <v>5.1103254209051068</v>
      </c>
      <c r="AE5993" s="5">
        <v>2.2981214503542144</v>
      </c>
      <c r="AF5993">
        <v>1</v>
      </c>
    </row>
    <row r="5994" spans="27:32" x14ac:dyDescent="0.3">
      <c r="AA5994" s="3">
        <v>27760.46</v>
      </c>
      <c r="AB5994">
        <v>1E-4</v>
      </c>
      <c r="AC5994">
        <v>8</v>
      </c>
      <c r="AD5994" s="5">
        <v>4.8710495461709851</v>
      </c>
      <c r="AE5994" s="5">
        <v>2.2196585100175255</v>
      </c>
      <c r="AF5994">
        <v>1</v>
      </c>
    </row>
    <row r="5995" spans="27:32" x14ac:dyDescent="0.3">
      <c r="AA5995" s="3">
        <v>-2837.32</v>
      </c>
      <c r="AB5995">
        <v>1E-4</v>
      </c>
      <c r="AC5995">
        <v>9</v>
      </c>
      <c r="AD5995" s="5">
        <v>4.7829866421984395</v>
      </c>
      <c r="AE5995" s="5">
        <v>2.2106408684005907</v>
      </c>
      <c r="AF5995">
        <v>1</v>
      </c>
    </row>
    <row r="5996" spans="27:32" x14ac:dyDescent="0.3">
      <c r="AA5996" s="3">
        <v>24051.49</v>
      </c>
      <c r="AB5996">
        <v>1E-4</v>
      </c>
      <c r="AC5996">
        <v>8</v>
      </c>
      <c r="AD5996" s="5">
        <v>4.9003448177213702</v>
      </c>
      <c r="AE5996" s="5">
        <v>2.2158985032528222</v>
      </c>
      <c r="AF5996">
        <v>1</v>
      </c>
    </row>
    <row r="5997" spans="27:32" x14ac:dyDescent="0.3">
      <c r="AA5997" s="3">
        <v>-6976.19</v>
      </c>
      <c r="AB5997">
        <v>1E-4</v>
      </c>
      <c r="AC5997">
        <v>9</v>
      </c>
      <c r="AD5997" s="5">
        <v>4.8478824280232118</v>
      </c>
      <c r="AE5997" s="5">
        <v>2.1550720279225235</v>
      </c>
      <c r="AF5997">
        <v>1</v>
      </c>
    </row>
    <row r="5998" spans="27:32" x14ac:dyDescent="0.3">
      <c r="AA5998" s="3">
        <v>15242.11</v>
      </c>
      <c r="AB5998">
        <v>1E-4</v>
      </c>
      <c r="AC5998">
        <v>8</v>
      </c>
      <c r="AD5998" s="5">
        <v>4.9836647520287825</v>
      </c>
      <c r="AE5998" s="5">
        <v>2.3042094733011074</v>
      </c>
      <c r="AF5998">
        <v>1</v>
      </c>
    </row>
    <row r="5999" spans="27:32" x14ac:dyDescent="0.3">
      <c r="AA5999" s="3">
        <v>31988.37</v>
      </c>
      <c r="AB5999">
        <v>1E-4</v>
      </c>
      <c r="AC5999">
        <v>7</v>
      </c>
      <c r="AD5999" s="5">
        <v>5.048394918092372</v>
      </c>
      <c r="AE5999" s="5">
        <v>2.2107553122386707</v>
      </c>
      <c r="AF5999">
        <v>1</v>
      </c>
    </row>
    <row r="6000" spans="27:32" x14ac:dyDescent="0.3">
      <c r="AA6000" s="3">
        <v>10840.87</v>
      </c>
      <c r="AB6000">
        <v>1E-4</v>
      </c>
      <c r="AC6000">
        <v>8</v>
      </c>
      <c r="AD6000" s="5">
        <v>4.9411883184732686</v>
      </c>
      <c r="AE6000" s="5">
        <v>2.260656886254091</v>
      </c>
      <c r="AF6000">
        <v>1</v>
      </c>
    </row>
    <row r="6001" spans="27:32" x14ac:dyDescent="0.3">
      <c r="AA6001" s="3">
        <v>-25105.08</v>
      </c>
      <c r="AB6001">
        <v>1E-4</v>
      </c>
      <c r="AC6001">
        <v>9</v>
      </c>
      <c r="AD6001" s="5">
        <v>4.9956741587316245</v>
      </c>
      <c r="AE6001" s="5">
        <v>2.2527036832221623</v>
      </c>
      <c r="AF6001">
        <v>1</v>
      </c>
    </row>
    <row r="6002" spans="27:32" x14ac:dyDescent="0.3">
      <c r="AA6002" s="3">
        <v>14846.55</v>
      </c>
      <c r="AB6002">
        <v>1E-4</v>
      </c>
      <c r="AC6002">
        <v>8</v>
      </c>
      <c r="AD6002" s="5">
        <v>4.9888028968319054</v>
      </c>
      <c r="AE6002" s="5">
        <v>2.1106326002378024</v>
      </c>
      <c r="AF6002">
        <v>1</v>
      </c>
    </row>
    <row r="6003" spans="27:32" x14ac:dyDescent="0.3">
      <c r="AA6003" s="3">
        <v>18629.89</v>
      </c>
      <c r="AB6003">
        <v>1E-4</v>
      </c>
      <c r="AC6003">
        <v>8</v>
      </c>
      <c r="AD6003" s="5">
        <v>4.9050156518065675</v>
      </c>
      <c r="AE6003" s="5">
        <v>2.2649623141518109</v>
      </c>
      <c r="AF6003">
        <v>1</v>
      </c>
    </row>
    <row r="6004" spans="27:32" x14ac:dyDescent="0.3">
      <c r="AA6004" s="3">
        <v>31921.19</v>
      </c>
      <c r="AB6004">
        <v>1E-4</v>
      </c>
      <c r="AC6004">
        <v>7</v>
      </c>
      <c r="AD6004" s="5">
        <v>5.0302806514714948</v>
      </c>
      <c r="AE6004" s="5">
        <v>2.1536112627814084</v>
      </c>
      <c r="AF6004">
        <v>1</v>
      </c>
    </row>
    <row r="6005" spans="27:32" x14ac:dyDescent="0.3">
      <c r="AA6005" s="3">
        <v>8442.09</v>
      </c>
      <c r="AB6005">
        <v>1E-4</v>
      </c>
      <c r="AC6005">
        <v>8</v>
      </c>
      <c r="AD6005" s="5">
        <v>4.9245487759300248</v>
      </c>
      <c r="AE6005" s="5">
        <v>2.1702111307008556</v>
      </c>
      <c r="AF6005">
        <v>1</v>
      </c>
    </row>
    <row r="6006" spans="27:32" x14ac:dyDescent="0.3">
      <c r="AA6006" s="3">
        <v>4674.6899999999996</v>
      </c>
      <c r="AB6006">
        <v>1E-4</v>
      </c>
      <c r="AC6006">
        <v>8</v>
      </c>
      <c r="AD6006" s="5">
        <v>5.0753606785061871</v>
      </c>
      <c r="AE6006" s="5">
        <v>2.1554720246275738</v>
      </c>
      <c r="AF6006">
        <v>1</v>
      </c>
    </row>
    <row r="6007" spans="27:32" x14ac:dyDescent="0.3">
      <c r="AA6007" s="3">
        <v>3381.25</v>
      </c>
      <c r="AB6007">
        <v>1E-4</v>
      </c>
      <c r="AC6007">
        <v>8</v>
      </c>
      <c r="AD6007" s="5">
        <v>5.0873599953309983</v>
      </c>
      <c r="AE6007" s="5">
        <v>2.2545310479517457</v>
      </c>
      <c r="AF6007">
        <v>1</v>
      </c>
    </row>
    <row r="6008" spans="27:32" x14ac:dyDescent="0.3">
      <c r="AA6008" s="3">
        <v>13146.15</v>
      </c>
      <c r="AB6008">
        <v>1E-4</v>
      </c>
      <c r="AC6008">
        <v>8</v>
      </c>
      <c r="AD6008" s="5">
        <v>4.8488384025372522</v>
      </c>
      <c r="AE6008" s="5">
        <v>2.2484716241992388</v>
      </c>
      <c r="AF6008">
        <v>1</v>
      </c>
    </row>
    <row r="6009" spans="27:32" x14ac:dyDescent="0.3">
      <c r="AA6009" s="3">
        <v>22300.959999999999</v>
      </c>
      <c r="AB6009">
        <v>1E-4</v>
      </c>
      <c r="AC6009">
        <v>8</v>
      </c>
      <c r="AD6009" s="5">
        <v>5.0625457052386151</v>
      </c>
      <c r="AE6009" s="5">
        <v>2.1892552974656683</v>
      </c>
      <c r="AF6009">
        <v>1</v>
      </c>
    </row>
    <row r="6010" spans="27:32" x14ac:dyDescent="0.3">
      <c r="AA6010" s="3">
        <v>-369</v>
      </c>
      <c r="AB6010">
        <v>1E-4</v>
      </c>
      <c r="AC6010">
        <v>9</v>
      </c>
      <c r="AD6010" s="5">
        <v>4.8336333770833173</v>
      </c>
      <c r="AE6010" s="5">
        <v>2.2051813005566374</v>
      </c>
      <c r="AF6010">
        <v>1</v>
      </c>
    </row>
    <row r="6011" spans="27:32" x14ac:dyDescent="0.3">
      <c r="AA6011" s="3">
        <v>21660.12</v>
      </c>
      <c r="AB6011">
        <v>1E-4</v>
      </c>
      <c r="AC6011">
        <v>8</v>
      </c>
      <c r="AD6011" s="5">
        <v>5.0587146192192431</v>
      </c>
      <c r="AE6011" s="5">
        <v>2.1915960778582884</v>
      </c>
      <c r="AF6011">
        <v>1</v>
      </c>
    </row>
    <row r="6012" spans="27:32" x14ac:dyDescent="0.3">
      <c r="AA6012" s="3">
        <v>31976.89</v>
      </c>
      <c r="AB6012">
        <v>1E-4</v>
      </c>
      <c r="AC6012">
        <v>7</v>
      </c>
      <c r="AD6012" s="5">
        <v>5.0556101718028534</v>
      </c>
      <c r="AE6012" s="5">
        <v>2.1563074137105098</v>
      </c>
      <c r="AF6012">
        <v>1</v>
      </c>
    </row>
    <row r="6013" spans="27:32" x14ac:dyDescent="0.3">
      <c r="AA6013" s="3">
        <v>12915.59</v>
      </c>
      <c r="AB6013">
        <v>1E-4</v>
      </c>
      <c r="AC6013">
        <v>8</v>
      </c>
      <c r="AD6013" s="5">
        <v>4.9904960174757731</v>
      </c>
      <c r="AE6013" s="5">
        <v>2.1801998738815662</v>
      </c>
      <c r="AF6013">
        <v>1</v>
      </c>
    </row>
    <row r="6014" spans="27:32" x14ac:dyDescent="0.3">
      <c r="AA6014" s="3">
        <v>-12922.824582365043</v>
      </c>
      <c r="AB6014">
        <v>1E-4</v>
      </c>
      <c r="AC6014">
        <v>8</v>
      </c>
      <c r="AD6014" s="5">
        <v>4.866253486180498</v>
      </c>
      <c r="AE6014" s="5">
        <v>2.1788461131362888</v>
      </c>
      <c r="AF6014">
        <v>0</v>
      </c>
    </row>
    <row r="6015" spans="27:32" x14ac:dyDescent="0.3">
      <c r="AA6015" s="3">
        <v>20126.66</v>
      </c>
      <c r="AB6015">
        <v>1E-4</v>
      </c>
      <c r="AC6015">
        <v>8</v>
      </c>
      <c r="AD6015" s="5">
        <v>4.7983878554988264</v>
      </c>
      <c r="AE6015" s="5">
        <v>2.1572172337935385</v>
      </c>
      <c r="AF6015">
        <v>1</v>
      </c>
    </row>
    <row r="6016" spans="27:32" x14ac:dyDescent="0.3">
      <c r="AA6016" s="3">
        <v>11026.79</v>
      </c>
      <c r="AB6016">
        <v>1E-4</v>
      </c>
      <c r="AC6016">
        <v>8</v>
      </c>
      <c r="AD6016" s="5">
        <v>5.0362728804581574</v>
      </c>
      <c r="AE6016" s="5">
        <v>2.1966183356973366</v>
      </c>
      <c r="AF6016">
        <v>1</v>
      </c>
    </row>
    <row r="6017" spans="27:32" x14ac:dyDescent="0.3">
      <c r="AA6017" s="3">
        <v>-6491.07</v>
      </c>
      <c r="AB6017">
        <v>1E-4</v>
      </c>
      <c r="AC6017">
        <v>9</v>
      </c>
      <c r="AD6017" s="5">
        <v>4.9973017574392324</v>
      </c>
      <c r="AE6017" s="5">
        <v>2.163698898023823</v>
      </c>
      <c r="AF6017">
        <v>1</v>
      </c>
    </row>
    <row r="6018" spans="27:32" x14ac:dyDescent="0.3">
      <c r="AA6018" s="3">
        <v>31445.89</v>
      </c>
      <c r="AB6018">
        <v>1E-4</v>
      </c>
      <c r="AC6018">
        <v>7</v>
      </c>
      <c r="AD6018" s="5">
        <v>4.9279450673097758</v>
      </c>
      <c r="AE6018" s="5">
        <v>2.2250068377714092</v>
      </c>
      <c r="AF6018">
        <v>1</v>
      </c>
    </row>
    <row r="6019" spans="27:32" x14ac:dyDescent="0.3">
      <c r="AA6019" s="3">
        <v>28303.97</v>
      </c>
      <c r="AB6019">
        <v>1E-4</v>
      </c>
      <c r="AC6019">
        <v>8</v>
      </c>
      <c r="AD6019" s="5">
        <v>5.0657051743128267</v>
      </c>
      <c r="AE6019" s="5">
        <v>2.1563342545661519</v>
      </c>
      <c r="AF6019">
        <v>1</v>
      </c>
    </row>
    <row r="6020" spans="27:32" x14ac:dyDescent="0.3">
      <c r="AA6020" s="3">
        <v>4480.49</v>
      </c>
      <c r="AB6020">
        <v>1E-4</v>
      </c>
      <c r="AC6020">
        <v>8</v>
      </c>
      <c r="AD6020" s="5">
        <v>4.9912443049741331</v>
      </c>
      <c r="AE6020" s="5">
        <v>2.1818956962494016</v>
      </c>
      <c r="AF6020">
        <v>1</v>
      </c>
    </row>
    <row r="6021" spans="27:32" x14ac:dyDescent="0.3">
      <c r="AA6021" s="3">
        <v>13486.12</v>
      </c>
      <c r="AB6021">
        <v>1E-4</v>
      </c>
      <c r="AC6021">
        <v>8</v>
      </c>
      <c r="AD6021" s="5">
        <v>4.9848808575601655</v>
      </c>
      <c r="AE6021" s="5">
        <v>2.1799321788926673</v>
      </c>
      <c r="AF6021">
        <v>1</v>
      </c>
    </row>
    <row r="6022" spans="27:32" x14ac:dyDescent="0.3">
      <c r="AA6022" s="3">
        <v>59645.42</v>
      </c>
      <c r="AB6022">
        <v>1E-4</v>
      </c>
      <c r="AC6022">
        <v>6</v>
      </c>
      <c r="AD6022" s="5">
        <v>5.1283295134357489</v>
      </c>
      <c r="AE6022" s="5">
        <v>2.2003860225235163</v>
      </c>
      <c r="AF6022">
        <v>1</v>
      </c>
    </row>
    <row r="6023" spans="27:32" x14ac:dyDescent="0.3">
      <c r="AA6023" s="3">
        <v>26121.17</v>
      </c>
      <c r="AB6023">
        <v>1E-4</v>
      </c>
      <c r="AC6023">
        <v>8</v>
      </c>
      <c r="AD6023" s="5">
        <v>5.0319528203073132</v>
      </c>
      <c r="AE6023" s="5">
        <v>2.1124990661269618</v>
      </c>
      <c r="AF6023">
        <v>1</v>
      </c>
    </row>
    <row r="6024" spans="27:32" x14ac:dyDescent="0.3">
      <c r="AA6024" s="3">
        <v>13350.46</v>
      </c>
      <c r="AB6024">
        <v>1E-4</v>
      </c>
      <c r="AC6024">
        <v>8</v>
      </c>
      <c r="AD6024" s="5">
        <v>4.9884904625515691</v>
      </c>
      <c r="AE6024" s="5">
        <v>2.2204710540765151</v>
      </c>
      <c r="AF6024">
        <v>1</v>
      </c>
    </row>
    <row r="6025" spans="27:32" x14ac:dyDescent="0.3">
      <c r="AA6025" s="3">
        <v>2470.71</v>
      </c>
      <c r="AB6025">
        <v>1E-4</v>
      </c>
      <c r="AC6025">
        <v>8</v>
      </c>
      <c r="AD6025" s="5">
        <v>4.9601763216114891</v>
      </c>
      <c r="AE6025" s="5">
        <v>2.2305432179252671</v>
      </c>
      <c r="AF6025">
        <v>1</v>
      </c>
    </row>
    <row r="6026" spans="27:32" x14ac:dyDescent="0.3">
      <c r="AA6026" s="3">
        <v>60457.09</v>
      </c>
      <c r="AB6026">
        <v>1E-4</v>
      </c>
      <c r="AC6026">
        <v>6</v>
      </c>
      <c r="AD6026" s="5">
        <v>5.2010685105907672</v>
      </c>
      <c r="AE6026" s="5">
        <v>2.1189039108569623</v>
      </c>
      <c r="AF6026">
        <v>1</v>
      </c>
    </row>
    <row r="6027" spans="27:32" x14ac:dyDescent="0.3">
      <c r="AA6027" s="3">
        <v>23811.5</v>
      </c>
      <c r="AB6027">
        <v>1E-4</v>
      </c>
      <c r="AC6027">
        <v>8</v>
      </c>
      <c r="AD6027" s="5">
        <v>5.124907117092854</v>
      </c>
      <c r="AE6027" s="5">
        <v>2.2763758633747497</v>
      </c>
      <c r="AF6027">
        <v>1</v>
      </c>
    </row>
    <row r="6028" spans="27:32" x14ac:dyDescent="0.3">
      <c r="AA6028" s="3">
        <v>9232.98</v>
      </c>
      <c r="AB6028">
        <v>1E-4</v>
      </c>
      <c r="AC6028">
        <v>8</v>
      </c>
      <c r="AD6028" s="5">
        <v>5.0613287658930135</v>
      </c>
      <c r="AE6028" s="5">
        <v>2.1078329309179562</v>
      </c>
      <c r="AF6028">
        <v>1</v>
      </c>
    </row>
    <row r="6029" spans="27:32" x14ac:dyDescent="0.3">
      <c r="AA6029" s="3">
        <v>21353.82</v>
      </c>
      <c r="AB6029">
        <v>1E-4</v>
      </c>
      <c r="AC6029">
        <v>8</v>
      </c>
      <c r="AD6029" s="5">
        <v>4.9945943540399567</v>
      </c>
      <c r="AE6029" s="5">
        <v>2.1503601348119044</v>
      </c>
      <c r="AF6029">
        <v>1</v>
      </c>
    </row>
    <row r="6030" spans="27:32" x14ac:dyDescent="0.3">
      <c r="AA6030" s="3">
        <v>-19767.546747596323</v>
      </c>
      <c r="AB6030">
        <v>1E-4</v>
      </c>
      <c r="AC6030">
        <v>8</v>
      </c>
      <c r="AD6030" s="5">
        <v>5.1757422983804613</v>
      </c>
      <c r="AE6030" s="5">
        <v>2.2132672200691075</v>
      </c>
      <c r="AF6030">
        <v>0</v>
      </c>
    </row>
    <row r="6031" spans="27:32" x14ac:dyDescent="0.3">
      <c r="AA6031" s="3">
        <v>20853.23</v>
      </c>
      <c r="AB6031">
        <v>1E-4</v>
      </c>
      <c r="AC6031">
        <v>8</v>
      </c>
      <c r="AD6031" s="5">
        <v>5.0509718637469705</v>
      </c>
      <c r="AE6031" s="5">
        <v>2.2825591694615994</v>
      </c>
      <c r="AF6031">
        <v>1</v>
      </c>
    </row>
    <row r="6032" spans="27:32" x14ac:dyDescent="0.3">
      <c r="AA6032" s="3">
        <v>32055.23</v>
      </c>
      <c r="AB6032">
        <v>1E-4</v>
      </c>
      <c r="AC6032">
        <v>7</v>
      </c>
      <c r="AD6032" s="5">
        <v>4.8868774679471745</v>
      </c>
      <c r="AE6032" s="5">
        <v>2.2843820798391139</v>
      </c>
      <c r="AF6032">
        <v>1</v>
      </c>
    </row>
    <row r="6033" spans="27:32" x14ac:dyDescent="0.3">
      <c r="AA6033" s="3">
        <v>-19395.419999999998</v>
      </c>
      <c r="AB6033">
        <v>1E-4</v>
      </c>
      <c r="AC6033">
        <v>9</v>
      </c>
      <c r="AD6033" s="5">
        <v>4.8059170403224876</v>
      </c>
      <c r="AE6033" s="5">
        <v>2.1893849194154802</v>
      </c>
      <c r="AF6033">
        <v>1</v>
      </c>
    </row>
    <row r="6034" spans="27:32" x14ac:dyDescent="0.3">
      <c r="AA6034" s="3">
        <v>70917.41</v>
      </c>
      <c r="AB6034">
        <v>1E-4</v>
      </c>
      <c r="AC6034">
        <v>5</v>
      </c>
      <c r="AD6034" s="5">
        <v>5.0248043023271656</v>
      </c>
      <c r="AE6034" s="5">
        <v>2.1531613918754533</v>
      </c>
      <c r="AF6034">
        <v>1</v>
      </c>
    </row>
    <row r="6035" spans="27:32" x14ac:dyDescent="0.3">
      <c r="AA6035" s="3">
        <v>20184.169999999998</v>
      </c>
      <c r="AB6035">
        <v>1E-4</v>
      </c>
      <c r="AC6035">
        <v>8</v>
      </c>
      <c r="AD6035" s="5">
        <v>4.9198997162300167</v>
      </c>
      <c r="AE6035" s="5">
        <v>2.1495769933854341</v>
      </c>
      <c r="AF6035">
        <v>1</v>
      </c>
    </row>
    <row r="6036" spans="27:32" x14ac:dyDescent="0.3">
      <c r="AA6036" s="3">
        <v>16997.419999999998</v>
      </c>
      <c r="AB6036">
        <v>1E-4</v>
      </c>
      <c r="AC6036">
        <v>8</v>
      </c>
      <c r="AD6036" s="5">
        <v>4.9829521201728877</v>
      </c>
      <c r="AE6036" s="5">
        <v>2.2820758944040462</v>
      </c>
      <c r="AF6036">
        <v>1</v>
      </c>
    </row>
    <row r="6037" spans="27:32" x14ac:dyDescent="0.3">
      <c r="AA6037" s="3">
        <v>-10636.9</v>
      </c>
      <c r="AB6037">
        <v>1E-4</v>
      </c>
      <c r="AC6037">
        <v>9</v>
      </c>
      <c r="AD6037" s="5">
        <v>5.018066761617594</v>
      </c>
      <c r="AE6037" s="5">
        <v>2.3007399086386582</v>
      </c>
      <c r="AF6037">
        <v>1</v>
      </c>
    </row>
    <row r="6038" spans="27:32" x14ac:dyDescent="0.3">
      <c r="AA6038" s="3">
        <v>28807.25</v>
      </c>
      <c r="AB6038">
        <v>1E-4</v>
      </c>
      <c r="AC6038">
        <v>7</v>
      </c>
      <c r="AD6038" s="5">
        <v>4.9328521410178547</v>
      </c>
      <c r="AE6038" s="5">
        <v>2.1189685859308645</v>
      </c>
      <c r="AF6038">
        <v>1</v>
      </c>
    </row>
    <row r="6039" spans="27:32" x14ac:dyDescent="0.3">
      <c r="AA6039" s="3">
        <v>4585.1000000000004</v>
      </c>
      <c r="AB6039">
        <v>1E-4</v>
      </c>
      <c r="AC6039">
        <v>8</v>
      </c>
      <c r="AD6039" s="5">
        <v>4.9937036444037579</v>
      </c>
      <c r="AE6039" s="5">
        <v>2.2423862168554418</v>
      </c>
      <c r="AF6039">
        <v>1</v>
      </c>
    </row>
    <row r="6040" spans="27:32" x14ac:dyDescent="0.3">
      <c r="AA6040" s="3">
        <v>-1311.29</v>
      </c>
      <c r="AB6040">
        <v>1E-4</v>
      </c>
      <c r="AC6040">
        <v>9</v>
      </c>
      <c r="AD6040" s="5">
        <v>4.9709173768275559</v>
      </c>
      <c r="AE6040" s="5">
        <v>2.2820947396728704</v>
      </c>
      <c r="AF6040">
        <v>1</v>
      </c>
    </row>
    <row r="6041" spans="27:32" x14ac:dyDescent="0.3">
      <c r="AA6041" s="3">
        <v>20859.16</v>
      </c>
      <c r="AB6041">
        <v>1E-4</v>
      </c>
      <c r="AC6041">
        <v>8</v>
      </c>
      <c r="AD6041" s="5">
        <v>5.0740289272552719</v>
      </c>
      <c r="AE6041" s="5">
        <v>2.1959018821047334</v>
      </c>
      <c r="AF6041">
        <v>1</v>
      </c>
    </row>
    <row r="6042" spans="27:32" x14ac:dyDescent="0.3">
      <c r="AA6042" s="3">
        <v>14239.97</v>
      </c>
      <c r="AB6042">
        <v>1E-4</v>
      </c>
      <c r="AC6042">
        <v>8</v>
      </c>
      <c r="AD6042" s="5">
        <v>4.9098568964340217</v>
      </c>
      <c r="AE6042" s="5">
        <v>2.2034619373792044</v>
      </c>
      <c r="AF6042">
        <v>1</v>
      </c>
    </row>
    <row r="6043" spans="27:32" x14ac:dyDescent="0.3">
      <c r="AA6043" s="3">
        <v>30629.82</v>
      </c>
      <c r="AB6043">
        <v>1E-4</v>
      </c>
      <c r="AC6043">
        <v>7</v>
      </c>
      <c r="AD6043" s="5">
        <v>4.9850850336762331</v>
      </c>
      <c r="AE6043" s="5">
        <v>2.2111581960914513</v>
      </c>
      <c r="AF6043">
        <v>1</v>
      </c>
    </row>
    <row r="6044" spans="27:32" x14ac:dyDescent="0.3">
      <c r="AA6044" s="3">
        <v>32031.97</v>
      </c>
      <c r="AB6044">
        <v>1E-4</v>
      </c>
      <c r="AC6044">
        <v>7</v>
      </c>
      <c r="AD6044" s="5">
        <v>4.9388031198662139</v>
      </c>
      <c r="AE6044" s="5">
        <v>2.2134704924873052</v>
      </c>
      <c r="AF6044">
        <v>1</v>
      </c>
    </row>
    <row r="6045" spans="27:32" x14ac:dyDescent="0.3">
      <c r="AA6045" s="3">
        <v>34545.919999999998</v>
      </c>
      <c r="AB6045">
        <v>1E-4</v>
      </c>
      <c r="AC6045">
        <v>7</v>
      </c>
      <c r="AD6045" s="5">
        <v>5.0871076203589949</v>
      </c>
      <c r="AE6045" s="5">
        <v>2.209045213615906</v>
      </c>
      <c r="AF6045">
        <v>1</v>
      </c>
    </row>
    <row r="6046" spans="27:32" x14ac:dyDescent="0.3">
      <c r="AA6046" s="3">
        <v>26728.31</v>
      </c>
      <c r="AB6046">
        <v>1E-4</v>
      </c>
      <c r="AC6046">
        <v>8</v>
      </c>
      <c r="AD6046" s="5">
        <v>5.0979208832358962</v>
      </c>
      <c r="AE6046" s="5">
        <v>2.2062173894798347</v>
      </c>
      <c r="AF6046">
        <v>1</v>
      </c>
    </row>
    <row r="6047" spans="27:32" x14ac:dyDescent="0.3">
      <c r="AA6047" s="3">
        <v>23237.96</v>
      </c>
      <c r="AB6047">
        <v>1E-4</v>
      </c>
      <c r="AC6047">
        <v>8</v>
      </c>
      <c r="AD6047" s="5">
        <v>5.0358961145828438</v>
      </c>
      <c r="AE6047" s="5">
        <v>2.230861473889425</v>
      </c>
      <c r="AF6047">
        <v>1</v>
      </c>
    </row>
    <row r="6048" spans="27:32" x14ac:dyDescent="0.3">
      <c r="AA6048" s="3">
        <v>23936.15</v>
      </c>
      <c r="AB6048">
        <v>1E-4</v>
      </c>
      <c r="AC6048">
        <v>8</v>
      </c>
      <c r="AD6048" s="5">
        <v>4.9540132704775157</v>
      </c>
      <c r="AE6048" s="5">
        <v>2.2039036916488803</v>
      </c>
      <c r="AF6048">
        <v>1</v>
      </c>
    </row>
    <row r="6049" spans="27:32" x14ac:dyDescent="0.3">
      <c r="AA6049" s="3">
        <v>50201.37</v>
      </c>
      <c r="AB6049">
        <v>1E-4</v>
      </c>
      <c r="AC6049">
        <v>7</v>
      </c>
      <c r="AD6049" s="5">
        <v>5.0954189573806987</v>
      </c>
      <c r="AE6049" s="5">
        <v>2.1333192088377384</v>
      </c>
      <c r="AF6049">
        <v>1</v>
      </c>
    </row>
    <row r="6050" spans="27:32" x14ac:dyDescent="0.3">
      <c r="AA6050" s="3">
        <v>9240.42</v>
      </c>
      <c r="AB6050">
        <v>1E-4</v>
      </c>
      <c r="AC6050">
        <v>8</v>
      </c>
      <c r="AD6050" s="5">
        <v>4.9861024165441608</v>
      </c>
      <c r="AE6050" s="5">
        <v>2.0966733846111145</v>
      </c>
      <c r="AF6050">
        <v>1</v>
      </c>
    </row>
    <row r="6051" spans="27:32" x14ac:dyDescent="0.3">
      <c r="AA6051" s="3">
        <v>47855.75</v>
      </c>
      <c r="AB6051">
        <v>1E-4</v>
      </c>
      <c r="AC6051">
        <v>6</v>
      </c>
      <c r="AD6051" s="5">
        <v>4.9280884730719556</v>
      </c>
      <c r="AE6051" s="5">
        <v>2.139425331544254</v>
      </c>
      <c r="AF6051">
        <v>1</v>
      </c>
    </row>
    <row r="6052" spans="27:32" x14ac:dyDescent="0.3">
      <c r="AA6052" s="3">
        <v>-1664.56</v>
      </c>
      <c r="AB6052">
        <v>1E-4</v>
      </c>
      <c r="AC6052">
        <v>9</v>
      </c>
      <c r="AD6052" s="5">
        <v>4.8645302483948889</v>
      </c>
      <c r="AE6052" s="5">
        <v>2.2059552750428324</v>
      </c>
      <c r="AF6052">
        <v>1</v>
      </c>
    </row>
    <row r="6053" spans="27:32" x14ac:dyDescent="0.3">
      <c r="AA6053" s="3">
        <v>-7276.67</v>
      </c>
      <c r="AB6053">
        <v>1E-4</v>
      </c>
      <c r="AC6053">
        <v>9</v>
      </c>
      <c r="AD6053" s="5">
        <v>4.9982433233470385</v>
      </c>
      <c r="AE6053" s="5">
        <v>2.2519287839065258</v>
      </c>
      <c r="AF6053">
        <v>1</v>
      </c>
    </row>
    <row r="6054" spans="27:32" x14ac:dyDescent="0.3">
      <c r="AA6054" s="3">
        <v>28443.54</v>
      </c>
      <c r="AB6054">
        <v>1E-4</v>
      </c>
      <c r="AC6054">
        <v>8</v>
      </c>
      <c r="AD6054" s="5">
        <v>5.1068798223236467</v>
      </c>
      <c r="AE6054" s="5">
        <v>2.1211044765508245</v>
      </c>
      <c r="AF6054">
        <v>1</v>
      </c>
    </row>
    <row r="6055" spans="27:32" x14ac:dyDescent="0.3">
      <c r="AA6055" s="3">
        <v>13599.49</v>
      </c>
      <c r="AB6055">
        <v>1E-4</v>
      </c>
      <c r="AC6055">
        <v>8</v>
      </c>
      <c r="AD6055" s="5">
        <v>4.8882583268570192</v>
      </c>
      <c r="AE6055" s="5">
        <v>2.1834550627240348</v>
      </c>
      <c r="AF6055">
        <v>1</v>
      </c>
    </row>
    <row r="6056" spans="27:32" x14ac:dyDescent="0.3">
      <c r="AA6056" s="3">
        <v>1850.05</v>
      </c>
      <c r="AB6056">
        <v>1E-4</v>
      </c>
      <c r="AC6056">
        <v>8</v>
      </c>
      <c r="AD6056" s="5">
        <v>4.9132640394879088</v>
      </c>
      <c r="AE6056" s="5">
        <v>2.1941549774575928</v>
      </c>
      <c r="AF6056">
        <v>1</v>
      </c>
    </row>
    <row r="6057" spans="27:32" x14ac:dyDescent="0.3">
      <c r="AA6057" s="3">
        <v>14658.73</v>
      </c>
      <c r="AB6057">
        <v>1E-4</v>
      </c>
      <c r="AC6057">
        <v>8</v>
      </c>
      <c r="AD6057" s="5">
        <v>4.9509190457165646</v>
      </c>
      <c r="AE6057" s="5">
        <v>2.1025192161157147</v>
      </c>
      <c r="AF6057">
        <v>1</v>
      </c>
    </row>
    <row r="6058" spans="27:32" x14ac:dyDescent="0.3">
      <c r="AA6058" s="3">
        <v>19882.89</v>
      </c>
      <c r="AB6058">
        <v>1E-4</v>
      </c>
      <c r="AC6058">
        <v>8</v>
      </c>
      <c r="AD6058" s="5">
        <v>5.0689740563810437</v>
      </c>
      <c r="AE6058" s="5">
        <v>2.2803605504047044</v>
      </c>
      <c r="AF6058">
        <v>1</v>
      </c>
    </row>
    <row r="6059" spans="27:32" x14ac:dyDescent="0.3">
      <c r="AA6059" s="3">
        <v>-17511.43</v>
      </c>
      <c r="AB6059">
        <v>1E-4</v>
      </c>
      <c r="AC6059">
        <v>9</v>
      </c>
      <c r="AD6059" s="5">
        <v>4.8864134285188623</v>
      </c>
      <c r="AE6059" s="5">
        <v>2.1538168096919645</v>
      </c>
      <c r="AF6059">
        <v>1</v>
      </c>
    </row>
    <row r="6060" spans="27:32" x14ac:dyDescent="0.3">
      <c r="AA6060" s="3">
        <v>23166.63</v>
      </c>
      <c r="AB6060">
        <v>1E-4</v>
      </c>
      <c r="AC6060">
        <v>8</v>
      </c>
      <c r="AD6060" s="5">
        <v>5.086556977985687</v>
      </c>
      <c r="AE6060" s="5">
        <v>2.1589746603217712</v>
      </c>
      <c r="AF6060">
        <v>1</v>
      </c>
    </row>
    <row r="6061" spans="27:32" x14ac:dyDescent="0.3">
      <c r="AA6061" s="3">
        <v>20534.38</v>
      </c>
      <c r="AB6061">
        <v>1E-4</v>
      </c>
      <c r="AC6061">
        <v>8</v>
      </c>
      <c r="AD6061" s="5">
        <v>5.1562026688474756</v>
      </c>
      <c r="AE6061" s="5">
        <v>2.2126473390735675</v>
      </c>
      <c r="AF6061">
        <v>1</v>
      </c>
    </row>
    <row r="6062" spans="27:32" x14ac:dyDescent="0.3">
      <c r="AA6062" s="3">
        <v>21058.39</v>
      </c>
      <c r="AB6062">
        <v>1E-4</v>
      </c>
      <c r="AC6062">
        <v>8</v>
      </c>
      <c r="AD6062" s="5">
        <v>4.9592231645232294</v>
      </c>
      <c r="AE6062" s="5">
        <v>2.1564881108411282</v>
      </c>
      <c r="AF6062">
        <v>1</v>
      </c>
    </row>
    <row r="6063" spans="27:32" x14ac:dyDescent="0.3">
      <c r="AA6063" s="3">
        <v>14441.85</v>
      </c>
      <c r="AB6063">
        <v>1E-4</v>
      </c>
      <c r="AC6063">
        <v>8</v>
      </c>
      <c r="AD6063" s="5">
        <v>4.9778803848269515</v>
      </c>
      <c r="AE6063" s="5">
        <v>2.0869124688822542</v>
      </c>
      <c r="AF6063">
        <v>1</v>
      </c>
    </row>
    <row r="6064" spans="27:32" x14ac:dyDescent="0.3">
      <c r="AA6064" s="3">
        <v>43040.45</v>
      </c>
      <c r="AB6064">
        <v>1E-4</v>
      </c>
      <c r="AC6064">
        <v>6</v>
      </c>
      <c r="AD6064" s="5">
        <v>4.8258461308915557</v>
      </c>
      <c r="AE6064" s="5">
        <v>2.1763625267429889</v>
      </c>
      <c r="AF6064">
        <v>1</v>
      </c>
    </row>
    <row r="6065" spans="27:32" x14ac:dyDescent="0.3">
      <c r="AA6065" s="3">
        <v>-11553.27</v>
      </c>
      <c r="AB6065">
        <v>1E-4</v>
      </c>
      <c r="AC6065">
        <v>9</v>
      </c>
      <c r="AD6065" s="5">
        <v>4.8629737151720089</v>
      </c>
      <c r="AE6065" s="5">
        <v>2.1902155749321661</v>
      </c>
      <c r="AF6065">
        <v>1</v>
      </c>
    </row>
    <row r="6066" spans="27:32" x14ac:dyDescent="0.3">
      <c r="AA6066" s="3">
        <v>5657.87</v>
      </c>
      <c r="AB6066">
        <v>1E-4</v>
      </c>
      <c r="AC6066">
        <v>8</v>
      </c>
      <c r="AD6066" s="5">
        <v>4.9373831599281548</v>
      </c>
      <c r="AE6066" s="5">
        <v>2.0919973924119559</v>
      </c>
      <c r="AF6066">
        <v>1</v>
      </c>
    </row>
    <row r="6067" spans="27:32" x14ac:dyDescent="0.3">
      <c r="AA6067" s="3">
        <v>17508.560000000001</v>
      </c>
      <c r="AB6067">
        <v>1E-4</v>
      </c>
      <c r="AC6067">
        <v>8</v>
      </c>
      <c r="AD6067" s="5">
        <v>4.9032983662641092</v>
      </c>
      <c r="AE6067" s="5">
        <v>2.2098931637497521</v>
      </c>
      <c r="AF6067">
        <v>1</v>
      </c>
    </row>
    <row r="6068" spans="27:32" x14ac:dyDescent="0.3">
      <c r="AA6068" s="3">
        <v>25838.5</v>
      </c>
      <c r="AB6068">
        <v>1E-4</v>
      </c>
      <c r="AC6068">
        <v>8</v>
      </c>
      <c r="AD6068" s="5">
        <v>5.0120322407335944</v>
      </c>
      <c r="AE6068" s="5">
        <v>2.2110101170864507</v>
      </c>
      <c r="AF6068">
        <v>1</v>
      </c>
    </row>
    <row r="6069" spans="27:32" x14ac:dyDescent="0.3">
      <c r="AA6069" s="3">
        <v>26089.58</v>
      </c>
      <c r="AB6069">
        <v>1E-4</v>
      </c>
      <c r="AC6069">
        <v>8</v>
      </c>
      <c r="AD6069" s="5">
        <v>5.039074441303713</v>
      </c>
      <c r="AE6069" s="5">
        <v>2.1643323287646186</v>
      </c>
      <c r="AF6069">
        <v>1</v>
      </c>
    </row>
    <row r="6070" spans="27:32" x14ac:dyDescent="0.3">
      <c r="AA6070" s="3">
        <v>14450.28</v>
      </c>
      <c r="AB6070">
        <v>1E-4</v>
      </c>
      <c r="AC6070">
        <v>8</v>
      </c>
      <c r="AD6070" s="5">
        <v>4.9538155318519541</v>
      </c>
      <c r="AE6070" s="5">
        <v>2.2159178384315559</v>
      </c>
      <c r="AF6070">
        <v>1</v>
      </c>
    </row>
    <row r="6071" spans="27:32" x14ac:dyDescent="0.3">
      <c r="AA6071" s="3">
        <v>11808.21</v>
      </c>
      <c r="AB6071">
        <v>1E-4</v>
      </c>
      <c r="AC6071">
        <v>8</v>
      </c>
      <c r="AD6071" s="5">
        <v>5.0873249616231675</v>
      </c>
      <c r="AE6071" s="5">
        <v>2.1922215167647394</v>
      </c>
      <c r="AF6071">
        <v>1</v>
      </c>
    </row>
    <row r="6072" spans="27:32" x14ac:dyDescent="0.3">
      <c r="AA6072" s="3">
        <v>455.64</v>
      </c>
      <c r="AB6072">
        <v>1E-4</v>
      </c>
      <c r="AC6072">
        <v>8</v>
      </c>
      <c r="AD6072" s="5">
        <v>4.9422631691541197</v>
      </c>
      <c r="AE6072" s="5">
        <v>2.2109344879192974</v>
      </c>
      <c r="AF6072">
        <v>1</v>
      </c>
    </row>
    <row r="6073" spans="27:32" x14ac:dyDescent="0.3">
      <c r="AA6073" s="3">
        <v>42560.33</v>
      </c>
      <c r="AB6073">
        <v>1E-4</v>
      </c>
      <c r="AC6073">
        <v>7</v>
      </c>
      <c r="AD6073" s="5">
        <v>5.0744355988894005</v>
      </c>
      <c r="AE6073" s="5">
        <v>2.1662888504165934</v>
      </c>
      <c r="AF6073">
        <v>1</v>
      </c>
    </row>
    <row r="6074" spans="27:32" x14ac:dyDescent="0.3">
      <c r="AA6074" s="3">
        <v>28667.39</v>
      </c>
      <c r="AB6074">
        <v>1E-4</v>
      </c>
      <c r="AC6074">
        <v>8</v>
      </c>
      <c r="AD6074" s="5">
        <v>5.0493607980665791</v>
      </c>
      <c r="AE6074" s="5">
        <v>2.163674622755424</v>
      </c>
      <c r="AF6074">
        <v>1</v>
      </c>
    </row>
    <row r="6075" spans="27:32" x14ac:dyDescent="0.3">
      <c r="AA6075" s="3">
        <v>11060.9</v>
      </c>
      <c r="AB6075">
        <v>1E-4</v>
      </c>
      <c r="AC6075">
        <v>8</v>
      </c>
      <c r="AD6075" s="5">
        <v>5.0450072454345083</v>
      </c>
      <c r="AE6075" s="5">
        <v>2.1923130082160323</v>
      </c>
      <c r="AF6075">
        <v>1</v>
      </c>
    </row>
    <row r="6076" spans="27:32" x14ac:dyDescent="0.3">
      <c r="AA6076" s="3">
        <v>25952.32</v>
      </c>
      <c r="AB6076">
        <v>1E-4</v>
      </c>
      <c r="AC6076">
        <v>8</v>
      </c>
      <c r="AD6076" s="5">
        <v>5.0294771178649027</v>
      </c>
      <c r="AE6076" s="5">
        <v>2.2305784037548437</v>
      </c>
      <c r="AF6076">
        <v>1</v>
      </c>
    </row>
    <row r="6077" spans="27:32" x14ac:dyDescent="0.3">
      <c r="AA6077" s="3">
        <v>8051.75</v>
      </c>
      <c r="AB6077">
        <v>1E-4</v>
      </c>
      <c r="AC6077">
        <v>8</v>
      </c>
      <c r="AD6077" s="5">
        <v>5.0810121374002772</v>
      </c>
      <c r="AE6077" s="5">
        <v>2.1714569087739237</v>
      </c>
      <c r="AF6077">
        <v>1</v>
      </c>
    </row>
    <row r="6078" spans="27:32" x14ac:dyDescent="0.3">
      <c r="AA6078" s="3">
        <v>23235.26</v>
      </c>
      <c r="AB6078">
        <v>1E-4</v>
      </c>
      <c r="AC6078">
        <v>8</v>
      </c>
      <c r="AD6078" s="5">
        <v>4.9296286013863257</v>
      </c>
      <c r="AE6078" s="5">
        <v>2.2312252035320816</v>
      </c>
      <c r="AF6078">
        <v>1</v>
      </c>
    </row>
    <row r="6079" spans="27:32" x14ac:dyDescent="0.3">
      <c r="AA6079" s="3">
        <v>8540.3700000000008</v>
      </c>
      <c r="AB6079">
        <v>1E-4</v>
      </c>
      <c r="AC6079">
        <v>8</v>
      </c>
      <c r="AD6079" s="5">
        <v>5.1107191805834171</v>
      </c>
      <c r="AE6079" s="5">
        <v>2.1978393003958914</v>
      </c>
      <c r="AF6079">
        <v>1</v>
      </c>
    </row>
    <row r="6080" spans="27:32" x14ac:dyDescent="0.3">
      <c r="AA6080" s="3">
        <v>22424.880000000001</v>
      </c>
      <c r="AB6080">
        <v>1E-4</v>
      </c>
      <c r="AC6080">
        <v>8</v>
      </c>
      <c r="AD6080" s="5">
        <v>4.9340212368454148</v>
      </c>
      <c r="AE6080" s="5">
        <v>2.1719483187248048</v>
      </c>
      <c r="AF6080">
        <v>1</v>
      </c>
    </row>
    <row r="6081" spans="27:32" x14ac:dyDescent="0.3">
      <c r="AA6081" s="3">
        <v>-1408.1</v>
      </c>
      <c r="AB6081">
        <v>1E-4</v>
      </c>
      <c r="AC6081">
        <v>9</v>
      </c>
      <c r="AD6081" s="5">
        <v>4.9545085328572487</v>
      </c>
      <c r="AE6081" s="5">
        <v>2.1676837617983753</v>
      </c>
      <c r="AF6081">
        <v>1</v>
      </c>
    </row>
    <row r="6082" spans="27:32" x14ac:dyDescent="0.3">
      <c r="AA6082" s="3">
        <v>39873.18</v>
      </c>
      <c r="AB6082">
        <v>1E-4</v>
      </c>
      <c r="AC6082">
        <v>7</v>
      </c>
      <c r="AD6082" s="5">
        <v>4.9662052167602866</v>
      </c>
      <c r="AE6082" s="5">
        <v>2.2413928798959892</v>
      </c>
      <c r="AF6082">
        <v>1</v>
      </c>
    </row>
    <row r="6083" spans="27:32" x14ac:dyDescent="0.3">
      <c r="AA6083" s="3">
        <v>14969.61</v>
      </c>
      <c r="AB6083">
        <v>1E-4</v>
      </c>
      <c r="AC6083">
        <v>8</v>
      </c>
      <c r="AD6083" s="5">
        <v>5.0083145851572981</v>
      </c>
      <c r="AE6083" s="5">
        <v>2.2057492163593593</v>
      </c>
      <c r="AF6083">
        <v>1</v>
      </c>
    </row>
    <row r="6084" spans="27:32" x14ac:dyDescent="0.3">
      <c r="AA6084" s="3">
        <v>15208.56</v>
      </c>
      <c r="AB6084">
        <v>1E-4</v>
      </c>
      <c r="AC6084">
        <v>8</v>
      </c>
      <c r="AD6084" s="5">
        <v>5.0136136051836608</v>
      </c>
      <c r="AE6084" s="5">
        <v>2.219865506235851</v>
      </c>
      <c r="AF6084">
        <v>1</v>
      </c>
    </row>
    <row r="6085" spans="27:32" x14ac:dyDescent="0.3">
      <c r="AA6085" s="3">
        <v>43034.11</v>
      </c>
      <c r="AB6085">
        <v>1E-4</v>
      </c>
      <c r="AC6085">
        <v>7</v>
      </c>
      <c r="AD6085" s="5">
        <v>5.320107674494416</v>
      </c>
      <c r="AE6085" s="5">
        <v>2.0735217086920876</v>
      </c>
      <c r="AF6085">
        <v>1</v>
      </c>
    </row>
    <row r="6086" spans="27:32" x14ac:dyDescent="0.3">
      <c r="AA6086" s="3">
        <v>18870.05</v>
      </c>
      <c r="AB6086">
        <v>1E-4</v>
      </c>
      <c r="AC6086">
        <v>8</v>
      </c>
      <c r="AD6086" s="5">
        <v>5.0142947371765478</v>
      </c>
      <c r="AE6086" s="5">
        <v>2.1963900332186235</v>
      </c>
      <c r="AF6086">
        <v>1</v>
      </c>
    </row>
    <row r="6087" spans="27:32" x14ac:dyDescent="0.3">
      <c r="AA6087" s="3">
        <v>38938.089999999997</v>
      </c>
      <c r="AB6087">
        <v>1E-4</v>
      </c>
      <c r="AC6087">
        <v>7</v>
      </c>
      <c r="AD6087" s="5">
        <v>5.026903621356297</v>
      </c>
      <c r="AE6087" s="5">
        <v>2.2237946979318579</v>
      </c>
      <c r="AF6087">
        <v>1</v>
      </c>
    </row>
    <row r="6088" spans="27:32" x14ac:dyDescent="0.3">
      <c r="AA6088" s="3">
        <v>28809.360000000001</v>
      </c>
      <c r="AB6088">
        <v>1E-4</v>
      </c>
      <c r="AC6088">
        <v>8</v>
      </c>
      <c r="AD6088" s="5">
        <v>4.9977638667436768</v>
      </c>
      <c r="AE6088" s="5">
        <v>2.2282059109429007</v>
      </c>
      <c r="AF6088">
        <v>1</v>
      </c>
    </row>
    <row r="6089" spans="27:32" x14ac:dyDescent="0.3">
      <c r="AA6089" s="3">
        <v>-1996.32</v>
      </c>
      <c r="AB6089">
        <v>1E-4</v>
      </c>
      <c r="AC6089">
        <v>9</v>
      </c>
      <c r="AD6089" s="5">
        <v>5.0240265916138069</v>
      </c>
      <c r="AE6089" s="5">
        <v>2.224752799684123</v>
      </c>
      <c r="AF6089">
        <v>1</v>
      </c>
    </row>
    <row r="6090" spans="27:32" x14ac:dyDescent="0.3">
      <c r="AA6090" s="3">
        <v>8787.2199999999993</v>
      </c>
      <c r="AB6090">
        <v>1E-4</v>
      </c>
      <c r="AC6090">
        <v>8</v>
      </c>
      <c r="AD6090" s="5">
        <v>5.0000363663783096</v>
      </c>
      <c r="AE6090" s="5">
        <v>2.237072329359862</v>
      </c>
      <c r="AF6090">
        <v>1</v>
      </c>
    </row>
    <row r="6091" spans="27:32" x14ac:dyDescent="0.3">
      <c r="AA6091" s="3">
        <v>-5533.57</v>
      </c>
      <c r="AB6091">
        <v>1E-4</v>
      </c>
      <c r="AC6091">
        <v>9</v>
      </c>
      <c r="AD6091" s="5">
        <v>4.8493950067621405</v>
      </c>
      <c r="AE6091" s="5">
        <v>2.2729452466799334</v>
      </c>
      <c r="AF6091">
        <v>1</v>
      </c>
    </row>
    <row r="6092" spans="27:32" x14ac:dyDescent="0.3">
      <c r="AA6092" s="3">
        <v>9931.68</v>
      </c>
      <c r="AB6092">
        <v>1E-4</v>
      </c>
      <c r="AC6092">
        <v>8</v>
      </c>
      <c r="AD6092" s="5">
        <v>4.9149763879591593</v>
      </c>
      <c r="AE6092" s="5">
        <v>2.2655034463815658</v>
      </c>
      <c r="AF6092">
        <v>1</v>
      </c>
    </row>
    <row r="6093" spans="27:32" x14ac:dyDescent="0.3">
      <c r="AA6093" s="3">
        <v>-14572.83</v>
      </c>
      <c r="AB6093">
        <v>1E-4</v>
      </c>
      <c r="AC6093">
        <v>9</v>
      </c>
      <c r="AD6093" s="5">
        <v>4.9352470015278334</v>
      </c>
      <c r="AE6093" s="5">
        <v>2.1980549486423322</v>
      </c>
      <c r="AF6093">
        <v>1</v>
      </c>
    </row>
    <row r="6094" spans="27:32" x14ac:dyDescent="0.3">
      <c r="AA6094" s="3">
        <v>-722.97</v>
      </c>
      <c r="AB6094">
        <v>1E-4</v>
      </c>
      <c r="AC6094">
        <v>9</v>
      </c>
      <c r="AD6094" s="5">
        <v>4.9327776585408598</v>
      </c>
      <c r="AE6094" s="5">
        <v>2.2665256256815449</v>
      </c>
      <c r="AF6094">
        <v>1</v>
      </c>
    </row>
    <row r="6095" spans="27:32" x14ac:dyDescent="0.3">
      <c r="AA6095" s="3">
        <v>213.68</v>
      </c>
      <c r="AB6095">
        <v>1E-4</v>
      </c>
      <c r="AC6095">
        <v>8</v>
      </c>
      <c r="AD6095" s="5">
        <v>4.9182057577166134</v>
      </c>
      <c r="AE6095" s="5">
        <v>2.1843795492628963</v>
      </c>
      <c r="AF6095">
        <v>1</v>
      </c>
    </row>
    <row r="6096" spans="27:32" x14ac:dyDescent="0.3">
      <c r="AA6096" s="3">
        <v>35917.9</v>
      </c>
      <c r="AB6096">
        <v>1E-4</v>
      </c>
      <c r="AC6096">
        <v>7</v>
      </c>
      <c r="AD6096" s="5">
        <v>5.0324460738836301</v>
      </c>
      <c r="AE6096" s="5">
        <v>2.1950357312541069</v>
      </c>
      <c r="AF6096">
        <v>1</v>
      </c>
    </row>
    <row r="6097" spans="27:32" x14ac:dyDescent="0.3">
      <c r="AA6097" s="3">
        <v>27968.080000000002</v>
      </c>
      <c r="AB6097">
        <v>1E-4</v>
      </c>
      <c r="AC6097">
        <v>8</v>
      </c>
      <c r="AD6097" s="5">
        <v>5.0992158160744756</v>
      </c>
      <c r="AE6097" s="5">
        <v>2.2022439844079549</v>
      </c>
      <c r="AF6097">
        <v>1</v>
      </c>
    </row>
    <row r="6098" spans="27:32" x14ac:dyDescent="0.3">
      <c r="AA6098" s="3">
        <v>23423.72</v>
      </c>
      <c r="AB6098">
        <v>1E-4</v>
      </c>
      <c r="AC6098">
        <v>8</v>
      </c>
      <c r="AD6098" s="5">
        <v>4.9972751553350978</v>
      </c>
      <c r="AE6098" s="5">
        <v>2.1971292978552976</v>
      </c>
      <c r="AF6098">
        <v>1</v>
      </c>
    </row>
    <row r="6099" spans="27:32" x14ac:dyDescent="0.3">
      <c r="AA6099" s="3">
        <v>24087.34</v>
      </c>
      <c r="AB6099">
        <v>1E-4</v>
      </c>
      <c r="AC6099">
        <v>8</v>
      </c>
      <c r="AD6099" s="5">
        <v>5.0058562611843964</v>
      </c>
      <c r="AE6099" s="5">
        <v>2.1893504423956367</v>
      </c>
      <c r="AF6099">
        <v>1</v>
      </c>
    </row>
    <row r="6100" spans="27:32" x14ac:dyDescent="0.3">
      <c r="AA6100" s="3">
        <v>23783.84</v>
      </c>
      <c r="AB6100">
        <v>1E-4</v>
      </c>
      <c r="AC6100">
        <v>8</v>
      </c>
      <c r="AD6100" s="5">
        <v>5.0085624443843892</v>
      </c>
      <c r="AE6100" s="5">
        <v>2.2433626969050722</v>
      </c>
      <c r="AF6100">
        <v>1</v>
      </c>
    </row>
    <row r="6101" spans="27:32" x14ac:dyDescent="0.3">
      <c r="AA6101" s="3">
        <v>23852.47</v>
      </c>
      <c r="AB6101">
        <v>1E-4</v>
      </c>
      <c r="AC6101">
        <v>8</v>
      </c>
      <c r="AD6101" s="5">
        <v>5.0275426419415421</v>
      </c>
      <c r="AE6101" s="5">
        <v>2.1810345944762077</v>
      </c>
      <c r="AF6101">
        <v>1</v>
      </c>
    </row>
    <row r="6102" spans="27:32" x14ac:dyDescent="0.3">
      <c r="AA6102" s="3">
        <v>-863.34</v>
      </c>
      <c r="AB6102">
        <v>1E-4</v>
      </c>
      <c r="AC6102">
        <v>9</v>
      </c>
      <c r="AD6102" s="5">
        <v>4.9740809945541233</v>
      </c>
      <c r="AE6102" s="5">
        <v>2.2164363221099599</v>
      </c>
      <c r="AF6102">
        <v>1</v>
      </c>
    </row>
    <row r="6103" spans="27:32" x14ac:dyDescent="0.3">
      <c r="AA6103" s="3">
        <v>24315.05</v>
      </c>
      <c r="AB6103">
        <v>1E-4</v>
      </c>
      <c r="AC6103">
        <v>8</v>
      </c>
      <c r="AD6103" s="5">
        <v>5.0464120797700271</v>
      </c>
      <c r="AE6103" s="5">
        <v>2.1824486798346929</v>
      </c>
      <c r="AF6103">
        <v>1</v>
      </c>
    </row>
    <row r="6104" spans="27:32" x14ac:dyDescent="0.3">
      <c r="AA6104" s="3">
        <v>42523.68</v>
      </c>
      <c r="AB6104">
        <v>1E-4</v>
      </c>
      <c r="AC6104">
        <v>7</v>
      </c>
      <c r="AD6104" s="5">
        <v>5.0869215543647028</v>
      </c>
      <c r="AE6104" s="5">
        <v>2.1192428556990426</v>
      </c>
      <c r="AF6104">
        <v>1</v>
      </c>
    </row>
    <row r="6105" spans="27:32" x14ac:dyDescent="0.3">
      <c r="AA6105" s="3">
        <v>32458.13</v>
      </c>
      <c r="AB6105">
        <v>1E-4</v>
      </c>
      <c r="AC6105">
        <v>7</v>
      </c>
      <c r="AD6105" s="5">
        <v>5.0460747386996303</v>
      </c>
      <c r="AE6105" s="5">
        <v>2.1416538331954844</v>
      </c>
      <c r="AF6105">
        <v>1</v>
      </c>
    </row>
    <row r="6106" spans="27:32" x14ac:dyDescent="0.3">
      <c r="AA6106" s="3">
        <v>18153.8</v>
      </c>
      <c r="AB6106">
        <v>1E-4</v>
      </c>
      <c r="AC6106">
        <v>8</v>
      </c>
      <c r="AD6106" s="5">
        <v>5.0289959562690791</v>
      </c>
      <c r="AE6106" s="5">
        <v>2.148364656183789</v>
      </c>
      <c r="AF6106">
        <v>1</v>
      </c>
    </row>
    <row r="6107" spans="27:32" x14ac:dyDescent="0.3">
      <c r="AA6107" s="3">
        <v>26324.81</v>
      </c>
      <c r="AB6107">
        <v>1E-4</v>
      </c>
      <c r="AC6107">
        <v>8</v>
      </c>
      <c r="AD6107" s="5">
        <v>5.0483969717987431</v>
      </c>
      <c r="AE6107" s="5">
        <v>2.1556245838450279</v>
      </c>
      <c r="AF6107">
        <v>1</v>
      </c>
    </row>
    <row r="6108" spans="27:32" x14ac:dyDescent="0.3">
      <c r="AA6108" s="3">
        <v>29868.03</v>
      </c>
      <c r="AB6108">
        <v>1E-4</v>
      </c>
      <c r="AC6108">
        <v>8</v>
      </c>
      <c r="AD6108" s="5">
        <v>4.9535897450122119</v>
      </c>
      <c r="AE6108" s="5">
        <v>2.157121333772642</v>
      </c>
      <c r="AF6108">
        <v>1</v>
      </c>
    </row>
    <row r="6109" spans="27:32" x14ac:dyDescent="0.3">
      <c r="AA6109" s="3">
        <v>24859.11</v>
      </c>
      <c r="AB6109">
        <v>1E-4</v>
      </c>
      <c r="AC6109">
        <v>8</v>
      </c>
      <c r="AD6109" s="5">
        <v>4.9858867164160294</v>
      </c>
      <c r="AE6109" s="5">
        <v>2.1840853591707563</v>
      </c>
      <c r="AF6109">
        <v>1</v>
      </c>
    </row>
    <row r="6110" spans="27:32" x14ac:dyDescent="0.3">
      <c r="AA6110" s="3">
        <v>-33985.863695283653</v>
      </c>
      <c r="AB6110">
        <v>1E-4</v>
      </c>
      <c r="AC6110">
        <v>9</v>
      </c>
      <c r="AD6110" s="5">
        <v>5.1225273574483214</v>
      </c>
      <c r="AE6110" s="5">
        <v>2.1885141789988802</v>
      </c>
      <c r="AF6110">
        <v>0</v>
      </c>
    </row>
    <row r="6111" spans="27:32" x14ac:dyDescent="0.3">
      <c r="AA6111" s="3">
        <v>28169.26</v>
      </c>
      <c r="AB6111">
        <v>1E-4</v>
      </c>
      <c r="AC6111">
        <v>8</v>
      </c>
      <c r="AD6111" s="5">
        <v>5.1925868318456798</v>
      </c>
      <c r="AE6111" s="5">
        <v>2.2715902808468744</v>
      </c>
      <c r="AF6111">
        <v>1</v>
      </c>
    </row>
    <row r="6112" spans="27:32" x14ac:dyDescent="0.3">
      <c r="AA6112" s="3">
        <v>24586.53</v>
      </c>
      <c r="AB6112">
        <v>1E-4</v>
      </c>
      <c r="AC6112">
        <v>8</v>
      </c>
      <c r="AD6112" s="5">
        <v>4.9749242273709511</v>
      </c>
      <c r="AE6112" s="5">
        <v>2.0689539141589921</v>
      </c>
      <c r="AF6112">
        <v>1</v>
      </c>
    </row>
    <row r="6113" spans="27:32" x14ac:dyDescent="0.3">
      <c r="AA6113" s="3">
        <v>7086.83</v>
      </c>
      <c r="AB6113">
        <v>1E-4</v>
      </c>
      <c r="AC6113">
        <v>8</v>
      </c>
      <c r="AD6113" s="5">
        <v>5.0402766357375066</v>
      </c>
      <c r="AE6113" s="5">
        <v>2.2458393057691826</v>
      </c>
      <c r="AF6113">
        <v>1</v>
      </c>
    </row>
    <row r="6114" spans="27:32" x14ac:dyDescent="0.3">
      <c r="AA6114" s="3">
        <v>-4915.26</v>
      </c>
      <c r="AB6114">
        <v>1E-4</v>
      </c>
      <c r="AC6114">
        <v>9</v>
      </c>
      <c r="AD6114" s="5">
        <v>4.9939029649970452</v>
      </c>
      <c r="AE6114" s="5">
        <v>2.286923996702134</v>
      </c>
      <c r="AF6114">
        <v>1</v>
      </c>
    </row>
    <row r="6115" spans="27:32" x14ac:dyDescent="0.3">
      <c r="AA6115" s="3">
        <v>21843.94</v>
      </c>
      <c r="AB6115">
        <v>1E-4</v>
      </c>
      <c r="AC6115">
        <v>8</v>
      </c>
      <c r="AD6115" s="5">
        <v>4.9017432207206104</v>
      </c>
      <c r="AE6115" s="5">
        <v>2.2348126747461339</v>
      </c>
      <c r="AF6115">
        <v>1</v>
      </c>
    </row>
    <row r="6116" spans="27:32" x14ac:dyDescent="0.3">
      <c r="AA6116" s="3">
        <v>-7179.45</v>
      </c>
      <c r="AB6116">
        <v>1E-4</v>
      </c>
      <c r="AC6116">
        <v>9</v>
      </c>
      <c r="AD6116" s="5">
        <v>4.9285779999051176</v>
      </c>
      <c r="AE6116" s="5">
        <v>2.1329138366347573</v>
      </c>
      <c r="AF6116">
        <v>1</v>
      </c>
    </row>
    <row r="6117" spans="27:32" x14ac:dyDescent="0.3">
      <c r="AA6117" s="3">
        <v>16735.02</v>
      </c>
      <c r="AB6117">
        <v>1E-4</v>
      </c>
      <c r="AC6117">
        <v>8</v>
      </c>
      <c r="AD6117" s="5">
        <v>5.0021354050910078</v>
      </c>
      <c r="AE6117" s="5">
        <v>2.1527858301673501</v>
      </c>
      <c r="AF6117">
        <v>1</v>
      </c>
    </row>
    <row r="6118" spans="27:32" x14ac:dyDescent="0.3">
      <c r="AA6118" s="3">
        <v>3450.4</v>
      </c>
      <c r="AB6118">
        <v>1E-4</v>
      </c>
      <c r="AC6118">
        <v>8</v>
      </c>
      <c r="AD6118" s="5">
        <v>4.9559688564751667</v>
      </c>
      <c r="AE6118" s="5">
        <v>2.2108214406923898</v>
      </c>
      <c r="AF6118">
        <v>1</v>
      </c>
    </row>
    <row r="6119" spans="27:32" x14ac:dyDescent="0.3">
      <c r="AA6119" s="3">
        <v>-5190.74</v>
      </c>
      <c r="AB6119">
        <v>1E-4</v>
      </c>
      <c r="AC6119">
        <v>9</v>
      </c>
      <c r="AD6119" s="5">
        <v>4.8625920788647612</v>
      </c>
      <c r="AE6119" s="5">
        <v>2.1233427017099218</v>
      </c>
      <c r="AF6119">
        <v>1</v>
      </c>
    </row>
    <row r="6120" spans="27:32" x14ac:dyDescent="0.3">
      <c r="AA6120" s="3">
        <v>13321.69</v>
      </c>
      <c r="AB6120">
        <v>1E-4</v>
      </c>
      <c r="AC6120">
        <v>8</v>
      </c>
      <c r="AD6120" s="5">
        <v>4.9279853722476021</v>
      </c>
      <c r="AE6120" s="5">
        <v>2.1681513794446525</v>
      </c>
      <c r="AF6120">
        <v>1</v>
      </c>
    </row>
    <row r="6121" spans="27:32" x14ac:dyDescent="0.3">
      <c r="AA6121" s="3">
        <v>-8805.4599999999991</v>
      </c>
      <c r="AB6121">
        <v>1E-4</v>
      </c>
      <c r="AC6121">
        <v>9</v>
      </c>
      <c r="AD6121" s="5">
        <v>4.8869036343277328</v>
      </c>
      <c r="AE6121" s="5">
        <v>2.3014797141607755</v>
      </c>
      <c r="AF6121">
        <v>1</v>
      </c>
    </row>
    <row r="6122" spans="27:32" x14ac:dyDescent="0.3">
      <c r="AA6122" s="3">
        <v>16200.66</v>
      </c>
      <c r="AB6122">
        <v>1E-4</v>
      </c>
      <c r="AC6122">
        <v>8</v>
      </c>
      <c r="AD6122" s="5">
        <v>4.9000558667680743</v>
      </c>
      <c r="AE6122" s="5">
        <v>2.1991522092761913</v>
      </c>
      <c r="AF6122">
        <v>1</v>
      </c>
    </row>
    <row r="6123" spans="27:32" x14ac:dyDescent="0.3">
      <c r="AA6123" s="3">
        <v>18440.88</v>
      </c>
      <c r="AB6123">
        <v>1E-4</v>
      </c>
      <c r="AC6123">
        <v>8</v>
      </c>
      <c r="AD6123" s="5">
        <v>5.0144161529124442</v>
      </c>
      <c r="AE6123" s="5">
        <v>2.2085527905194451</v>
      </c>
      <c r="AF6123">
        <v>1</v>
      </c>
    </row>
    <row r="6124" spans="27:32" x14ac:dyDescent="0.3">
      <c r="AA6124" s="3">
        <v>11753.1</v>
      </c>
      <c r="AB6124">
        <v>1E-4</v>
      </c>
      <c r="AC6124">
        <v>8</v>
      </c>
      <c r="AD6124" s="5">
        <v>5.1171952712416235</v>
      </c>
      <c r="AE6124" s="5">
        <v>2.2560463946359612</v>
      </c>
      <c r="AF6124">
        <v>1</v>
      </c>
    </row>
    <row r="6125" spans="27:32" x14ac:dyDescent="0.3">
      <c r="AA6125" s="3">
        <v>21729.35</v>
      </c>
      <c r="AB6125">
        <v>1E-4</v>
      </c>
      <c r="AC6125">
        <v>8</v>
      </c>
      <c r="AD6125" s="5">
        <v>4.8542578613603045</v>
      </c>
      <c r="AE6125" s="5">
        <v>2.1324960555112491</v>
      </c>
      <c r="AF6125">
        <v>1</v>
      </c>
    </row>
    <row r="6126" spans="27:32" x14ac:dyDescent="0.3">
      <c r="AA6126" s="3">
        <v>-3977.45</v>
      </c>
      <c r="AB6126">
        <v>1E-4</v>
      </c>
      <c r="AC6126">
        <v>9</v>
      </c>
      <c r="AD6126" s="5">
        <v>4.8880479693972569</v>
      </c>
      <c r="AE6126" s="5">
        <v>2.2158725804000925</v>
      </c>
      <c r="AF6126">
        <v>1</v>
      </c>
    </row>
    <row r="6127" spans="27:32" x14ac:dyDescent="0.3">
      <c r="AA6127" s="3">
        <v>26221.439999999999</v>
      </c>
      <c r="AB6127">
        <v>1E-4</v>
      </c>
      <c r="AC6127">
        <v>8</v>
      </c>
      <c r="AD6127" s="5">
        <v>5.1573270722412801</v>
      </c>
      <c r="AE6127" s="5">
        <v>2.1389341000662641</v>
      </c>
      <c r="AF6127">
        <v>1</v>
      </c>
    </row>
    <row r="6128" spans="27:32" x14ac:dyDescent="0.3">
      <c r="AA6128" s="3">
        <v>41231.4</v>
      </c>
      <c r="AB6128">
        <v>1E-4</v>
      </c>
      <c r="AC6128">
        <v>7</v>
      </c>
      <c r="AD6128" s="5">
        <v>5.2856385974459483</v>
      </c>
      <c r="AE6128" s="5">
        <v>2.2022789162210668</v>
      </c>
      <c r="AF6128">
        <v>1</v>
      </c>
    </row>
    <row r="6129" spans="27:32" x14ac:dyDescent="0.3">
      <c r="AA6129" s="3">
        <v>-10959.12</v>
      </c>
      <c r="AB6129">
        <v>1E-4</v>
      </c>
      <c r="AC6129">
        <v>9</v>
      </c>
      <c r="AD6129" s="5">
        <v>4.8661115172775986</v>
      </c>
      <c r="AE6129" s="5">
        <v>2.1372319101837265</v>
      </c>
      <c r="AF6129">
        <v>1</v>
      </c>
    </row>
    <row r="6130" spans="27:32" x14ac:dyDescent="0.3">
      <c r="AA6130" s="3">
        <v>4394.42</v>
      </c>
      <c r="AB6130">
        <v>1E-4</v>
      </c>
      <c r="AC6130">
        <v>8</v>
      </c>
      <c r="AD6130" s="5">
        <v>4.9412156525858926</v>
      </c>
      <c r="AE6130" s="5">
        <v>2.1620638795057032</v>
      </c>
      <c r="AF6130">
        <v>1</v>
      </c>
    </row>
    <row r="6131" spans="27:32" x14ac:dyDescent="0.3">
      <c r="AA6131" s="3">
        <v>6872.82</v>
      </c>
      <c r="AB6131">
        <v>1E-4</v>
      </c>
      <c r="AC6131">
        <v>8</v>
      </c>
      <c r="AD6131" s="5">
        <v>5.0752875231289591</v>
      </c>
      <c r="AE6131" s="5">
        <v>2.2408522002363132</v>
      </c>
      <c r="AF6131">
        <v>1</v>
      </c>
    </row>
    <row r="6132" spans="27:32" x14ac:dyDescent="0.3">
      <c r="AA6132" s="3">
        <v>-3783.65</v>
      </c>
      <c r="AB6132">
        <v>1E-4</v>
      </c>
      <c r="AC6132">
        <v>9</v>
      </c>
      <c r="AD6132" s="5">
        <v>4.8425365822696174</v>
      </c>
      <c r="AE6132" s="5">
        <v>2.2469813592730934</v>
      </c>
      <c r="AF6132">
        <v>1</v>
      </c>
    </row>
    <row r="6133" spans="27:32" x14ac:dyDescent="0.3">
      <c r="AA6133" s="3">
        <v>55497.95</v>
      </c>
      <c r="AB6133">
        <v>1E-4</v>
      </c>
      <c r="AC6133">
        <v>6</v>
      </c>
      <c r="AD6133" s="5">
        <v>5.2180866329129048</v>
      </c>
      <c r="AE6133" s="5">
        <v>2.2010468764884816</v>
      </c>
      <c r="AF6133">
        <v>1</v>
      </c>
    </row>
    <row r="6134" spans="27:32" x14ac:dyDescent="0.3">
      <c r="AA6134" s="3">
        <v>35727.839999999997</v>
      </c>
      <c r="AB6134">
        <v>1E-4</v>
      </c>
      <c r="AC6134">
        <v>7</v>
      </c>
      <c r="AD6134" s="5">
        <v>4.8784674888383206</v>
      </c>
      <c r="AE6134" s="5">
        <v>2.1985275859920437</v>
      </c>
      <c r="AF6134">
        <v>1</v>
      </c>
    </row>
    <row r="6135" spans="27:32" x14ac:dyDescent="0.3">
      <c r="AA6135" s="3">
        <v>8319.0400000000009</v>
      </c>
      <c r="AB6135">
        <v>1E-4</v>
      </c>
      <c r="AC6135">
        <v>8</v>
      </c>
      <c r="AD6135" s="5">
        <v>4.93951136521307</v>
      </c>
      <c r="AE6135" s="5">
        <v>2.274911640460223</v>
      </c>
      <c r="AF6135">
        <v>1</v>
      </c>
    </row>
    <row r="6136" spans="27:32" x14ac:dyDescent="0.3">
      <c r="AA6136" s="3">
        <v>8241.85</v>
      </c>
      <c r="AB6136">
        <v>1E-4</v>
      </c>
      <c r="AC6136">
        <v>8</v>
      </c>
      <c r="AD6136" s="5">
        <v>4.8983298343465158</v>
      </c>
      <c r="AE6136" s="5">
        <v>2.2122787089649494</v>
      </c>
      <c r="AF6136">
        <v>1</v>
      </c>
    </row>
    <row r="6137" spans="27:32" x14ac:dyDescent="0.3">
      <c r="AA6137" s="3">
        <v>-1369.65</v>
      </c>
      <c r="AB6137">
        <v>1E-4</v>
      </c>
      <c r="AC6137">
        <v>9</v>
      </c>
      <c r="AD6137" s="5">
        <v>5.0049372962669008</v>
      </c>
      <c r="AE6137" s="5">
        <v>2.2603437659299526</v>
      </c>
      <c r="AF6137">
        <v>1</v>
      </c>
    </row>
    <row r="6138" spans="27:32" x14ac:dyDescent="0.3">
      <c r="AA6138" s="3">
        <v>30073.74</v>
      </c>
      <c r="AB6138">
        <v>1E-4</v>
      </c>
      <c r="AC6138">
        <v>7</v>
      </c>
      <c r="AD6138" s="5">
        <v>4.8886172173919107</v>
      </c>
      <c r="AE6138" s="5">
        <v>2.1199239436514854</v>
      </c>
      <c r="AF6138">
        <v>1</v>
      </c>
    </row>
    <row r="6139" spans="27:32" x14ac:dyDescent="0.3">
      <c r="AA6139" s="3">
        <v>13673.72</v>
      </c>
      <c r="AB6139">
        <v>1E-4</v>
      </c>
      <c r="AC6139">
        <v>8</v>
      </c>
      <c r="AD6139" s="5">
        <v>4.9090621023371002</v>
      </c>
      <c r="AE6139" s="5">
        <v>2.228917270972278</v>
      </c>
      <c r="AF6139">
        <v>1</v>
      </c>
    </row>
    <row r="6140" spans="27:32" x14ac:dyDescent="0.3">
      <c r="AA6140" s="3">
        <v>40570.93</v>
      </c>
      <c r="AB6140">
        <v>1E-4</v>
      </c>
      <c r="AC6140">
        <v>7</v>
      </c>
      <c r="AD6140" s="5">
        <v>5.0609383967846062</v>
      </c>
      <c r="AE6140" s="5">
        <v>2.1847306783156566</v>
      </c>
      <c r="AF6140">
        <v>1</v>
      </c>
    </row>
    <row r="6141" spans="27:32" x14ac:dyDescent="0.3">
      <c r="AA6141" s="3">
        <v>15623.55</v>
      </c>
      <c r="AB6141">
        <v>1E-4</v>
      </c>
      <c r="AC6141">
        <v>8</v>
      </c>
      <c r="AD6141" s="5">
        <v>4.8683175081457897</v>
      </c>
      <c r="AE6141" s="5">
        <v>2.2074519378973725</v>
      </c>
      <c r="AF6141">
        <v>1</v>
      </c>
    </row>
    <row r="6142" spans="27:32" x14ac:dyDescent="0.3">
      <c r="AA6142" s="3">
        <v>-6593.64</v>
      </c>
      <c r="AB6142">
        <v>1E-4</v>
      </c>
      <c r="AC6142">
        <v>9</v>
      </c>
      <c r="AD6142" s="5">
        <v>4.8743988688928006</v>
      </c>
      <c r="AE6142" s="5">
        <v>2.1967185121792072</v>
      </c>
      <c r="AF6142">
        <v>1</v>
      </c>
    </row>
    <row r="6143" spans="27:32" x14ac:dyDescent="0.3">
      <c r="AA6143" s="3">
        <v>17182.939999999999</v>
      </c>
      <c r="AB6143">
        <v>1E-4</v>
      </c>
      <c r="AC6143">
        <v>8</v>
      </c>
      <c r="AD6143" s="5">
        <v>5.0354532284150437</v>
      </c>
      <c r="AE6143" s="5">
        <v>2.1825421007419501</v>
      </c>
      <c r="AF6143">
        <v>1</v>
      </c>
    </row>
    <row r="6144" spans="27:32" x14ac:dyDescent="0.3">
      <c r="AA6144" s="3">
        <v>-13107.99</v>
      </c>
      <c r="AB6144">
        <v>1E-4</v>
      </c>
      <c r="AC6144">
        <v>9</v>
      </c>
      <c r="AD6144" s="5">
        <v>4.8972210725748262</v>
      </c>
      <c r="AE6144" s="5">
        <v>2.2302417608038363</v>
      </c>
      <c r="AF6144">
        <v>1</v>
      </c>
    </row>
    <row r="6145" spans="27:32" x14ac:dyDescent="0.3">
      <c r="AA6145" s="3">
        <v>30460.25</v>
      </c>
      <c r="AB6145">
        <v>1E-4</v>
      </c>
      <c r="AC6145">
        <v>7</v>
      </c>
      <c r="AD6145" s="5">
        <v>4.9293035819657041</v>
      </c>
      <c r="AE6145" s="5">
        <v>2.1904904005567585</v>
      </c>
      <c r="AF6145">
        <v>1</v>
      </c>
    </row>
    <row r="6146" spans="27:32" x14ac:dyDescent="0.3">
      <c r="AA6146" s="3">
        <v>19511.400000000001</v>
      </c>
      <c r="AB6146">
        <v>1E-4</v>
      </c>
      <c r="AC6146">
        <v>8</v>
      </c>
      <c r="AD6146" s="5">
        <v>4.9507450599666987</v>
      </c>
      <c r="AE6146" s="5">
        <v>2.2771513685192732</v>
      </c>
      <c r="AF6146">
        <v>1</v>
      </c>
    </row>
    <row r="6147" spans="27:32" x14ac:dyDescent="0.3">
      <c r="AA6147" s="3">
        <v>6778.06</v>
      </c>
      <c r="AB6147">
        <v>1E-4</v>
      </c>
      <c r="AC6147">
        <v>8</v>
      </c>
      <c r="AD6147" s="5">
        <v>5.0331762475953656</v>
      </c>
      <c r="AE6147" s="5">
        <v>2.1041940776174113</v>
      </c>
      <c r="AF6147">
        <v>1</v>
      </c>
    </row>
    <row r="6148" spans="27:32" x14ac:dyDescent="0.3">
      <c r="AA6148" s="3">
        <v>34534.49</v>
      </c>
      <c r="AB6148">
        <v>1E-4</v>
      </c>
      <c r="AC6148">
        <v>7</v>
      </c>
      <c r="AD6148" s="5">
        <v>4.9174300989606978</v>
      </c>
      <c r="AE6148" s="5">
        <v>2.2039501812795432</v>
      </c>
      <c r="AF6148">
        <v>1</v>
      </c>
    </row>
    <row r="6149" spans="27:32" x14ac:dyDescent="0.3">
      <c r="AA6149" s="3">
        <v>41707.4</v>
      </c>
      <c r="AB6149">
        <v>1E-4</v>
      </c>
      <c r="AC6149">
        <v>7</v>
      </c>
      <c r="AD6149" s="5">
        <v>4.9672005814031639</v>
      </c>
      <c r="AE6149" s="5">
        <v>2.1966646722343706</v>
      </c>
      <c r="AF6149">
        <v>1</v>
      </c>
    </row>
    <row r="6150" spans="27:32" x14ac:dyDescent="0.3">
      <c r="AA6150" s="3">
        <v>17760.939999999999</v>
      </c>
      <c r="AB6150">
        <v>1E-4</v>
      </c>
      <c r="AC6150">
        <v>8</v>
      </c>
      <c r="AD6150" s="5">
        <v>5.0876447951211565</v>
      </c>
      <c r="AE6150" s="5">
        <v>2.2213951630021156</v>
      </c>
      <c r="AF6150">
        <v>1</v>
      </c>
    </row>
    <row r="6151" spans="27:32" x14ac:dyDescent="0.3">
      <c r="AA6151" s="3">
        <v>16516.38</v>
      </c>
      <c r="AB6151">
        <v>1E-4</v>
      </c>
      <c r="AC6151">
        <v>8</v>
      </c>
      <c r="AD6151" s="5">
        <v>5.0625014148838332</v>
      </c>
      <c r="AE6151" s="5">
        <v>2.2457167891403751</v>
      </c>
      <c r="AF6151">
        <v>1</v>
      </c>
    </row>
    <row r="6152" spans="27:32" x14ac:dyDescent="0.3">
      <c r="AA6152" s="3">
        <v>10971.14</v>
      </c>
      <c r="AB6152">
        <v>1E-4</v>
      </c>
      <c r="AC6152">
        <v>8</v>
      </c>
      <c r="AD6152" s="5">
        <v>4.9793794030996645</v>
      </c>
      <c r="AE6152" s="5">
        <v>2.2651737495084907</v>
      </c>
      <c r="AF6152">
        <v>1</v>
      </c>
    </row>
    <row r="6153" spans="27:32" x14ac:dyDescent="0.3">
      <c r="AA6153" s="3">
        <v>2262.56</v>
      </c>
      <c r="AB6153">
        <v>1E-4</v>
      </c>
      <c r="AC6153">
        <v>8</v>
      </c>
      <c r="AD6153" s="5">
        <v>5.0309184325002665</v>
      </c>
      <c r="AE6153" s="5">
        <v>2.221012055876769</v>
      </c>
      <c r="AF6153">
        <v>1</v>
      </c>
    </row>
    <row r="6154" spans="27:32" x14ac:dyDescent="0.3">
      <c r="AA6154" s="3">
        <v>25653.08</v>
      </c>
      <c r="AB6154">
        <v>1E-4</v>
      </c>
      <c r="AC6154">
        <v>8</v>
      </c>
      <c r="AD6154" s="5">
        <v>5.0852339163192486</v>
      </c>
      <c r="AE6154" s="5">
        <v>2.1914904182566293</v>
      </c>
      <c r="AF6154">
        <v>1</v>
      </c>
    </row>
    <row r="6155" spans="27:32" x14ac:dyDescent="0.3">
      <c r="AA6155" s="3">
        <v>21597.51</v>
      </c>
      <c r="AB6155">
        <v>1E-4</v>
      </c>
      <c r="AC6155">
        <v>8</v>
      </c>
      <c r="AD6155" s="5">
        <v>4.9640327546358689</v>
      </c>
      <c r="AE6155" s="5">
        <v>2.1974929464946578</v>
      </c>
      <c r="AF6155">
        <v>1</v>
      </c>
    </row>
    <row r="6156" spans="27:32" x14ac:dyDescent="0.3">
      <c r="AA6156" s="3">
        <v>23356.7</v>
      </c>
      <c r="AB6156">
        <v>1E-4</v>
      </c>
      <c r="AC6156">
        <v>8</v>
      </c>
      <c r="AD6156" s="5">
        <v>5.035212366959291</v>
      </c>
      <c r="AE6156" s="5">
        <v>2.1830299714920005</v>
      </c>
      <c r="AF6156">
        <v>1</v>
      </c>
    </row>
    <row r="6157" spans="27:32" x14ac:dyDescent="0.3">
      <c r="AA6157" s="3">
        <v>4595.3599999999997</v>
      </c>
      <c r="AB6157">
        <v>1E-4</v>
      </c>
      <c r="AC6157">
        <v>8</v>
      </c>
      <c r="AD6157" s="5">
        <v>5.0239446164905104</v>
      </c>
      <c r="AE6157" s="5">
        <v>2.1561991501137485</v>
      </c>
      <c r="AF6157">
        <v>1</v>
      </c>
    </row>
    <row r="6158" spans="27:32" x14ac:dyDescent="0.3">
      <c r="AA6158" s="3">
        <v>14579.96</v>
      </c>
      <c r="AB6158">
        <v>1E-4</v>
      </c>
      <c r="AC6158">
        <v>8</v>
      </c>
      <c r="AD6158" s="5">
        <v>5.1039256735891865</v>
      </c>
      <c r="AE6158" s="5">
        <v>2.2754297089240043</v>
      </c>
      <c r="AF6158">
        <v>1</v>
      </c>
    </row>
    <row r="6159" spans="27:32" x14ac:dyDescent="0.3">
      <c r="AA6159" s="3">
        <v>-24410.140410747634</v>
      </c>
      <c r="AB6159">
        <v>1E-4</v>
      </c>
      <c r="AC6159">
        <v>9</v>
      </c>
      <c r="AD6159" s="5">
        <v>5.0393336859823021</v>
      </c>
      <c r="AE6159" s="5">
        <v>2.1707249896105196</v>
      </c>
      <c r="AF6159">
        <v>0</v>
      </c>
    </row>
    <row r="6160" spans="27:32" x14ac:dyDescent="0.3">
      <c r="AA6160" s="3">
        <v>27786.84</v>
      </c>
      <c r="AB6160">
        <v>1E-4</v>
      </c>
      <c r="AC6160">
        <v>8</v>
      </c>
      <c r="AD6160" s="5">
        <v>4.8534919441280646</v>
      </c>
      <c r="AE6160" s="5">
        <v>2.2283691316305756</v>
      </c>
      <c r="AF6160">
        <v>1</v>
      </c>
    </row>
    <row r="6161" spans="27:32" x14ac:dyDescent="0.3">
      <c r="AA6161" s="3">
        <v>1349.93</v>
      </c>
      <c r="AB6161">
        <v>1E-4</v>
      </c>
      <c r="AC6161">
        <v>8</v>
      </c>
      <c r="AD6161" s="5">
        <v>5.0452726616684336</v>
      </c>
      <c r="AE6161" s="5">
        <v>2.2233582010338733</v>
      </c>
      <c r="AF6161">
        <v>1</v>
      </c>
    </row>
    <row r="6162" spans="27:32" x14ac:dyDescent="0.3">
      <c r="AA6162" s="3">
        <v>10122.4</v>
      </c>
      <c r="AB6162">
        <v>1E-4</v>
      </c>
      <c r="AC6162">
        <v>8</v>
      </c>
      <c r="AD6162" s="5">
        <v>5.0574742729431161</v>
      </c>
      <c r="AE6162" s="5">
        <v>2.2956862253343919</v>
      </c>
      <c r="AF6162">
        <v>1</v>
      </c>
    </row>
    <row r="6163" spans="27:32" x14ac:dyDescent="0.3">
      <c r="AA6163" s="3">
        <v>31939.31</v>
      </c>
      <c r="AB6163">
        <v>1E-4</v>
      </c>
      <c r="AC6163">
        <v>7</v>
      </c>
      <c r="AD6163" s="5">
        <v>4.9954001137138642</v>
      </c>
      <c r="AE6163" s="5">
        <v>2.2319257638039565</v>
      </c>
      <c r="AF6163">
        <v>1</v>
      </c>
    </row>
    <row r="6164" spans="27:32" x14ac:dyDescent="0.3">
      <c r="AA6164" s="3">
        <v>-18702.86</v>
      </c>
      <c r="AB6164">
        <v>1E-4</v>
      </c>
      <c r="AC6164">
        <v>9</v>
      </c>
      <c r="AD6164" s="5">
        <v>5.0233903837600753</v>
      </c>
      <c r="AE6164" s="5">
        <v>2.2426048547708302</v>
      </c>
      <c r="AF6164">
        <v>1</v>
      </c>
    </row>
    <row r="6165" spans="27:32" x14ac:dyDescent="0.3">
      <c r="AA6165" s="3">
        <v>1588.16</v>
      </c>
      <c r="AB6165">
        <v>1E-4</v>
      </c>
      <c r="AC6165">
        <v>8</v>
      </c>
      <c r="AD6165" s="5">
        <v>4.9030923598426979</v>
      </c>
      <c r="AE6165" s="5">
        <v>2.3101944472797973</v>
      </c>
      <c r="AF6165">
        <v>1</v>
      </c>
    </row>
    <row r="6166" spans="27:32" x14ac:dyDescent="0.3">
      <c r="AA6166" s="3">
        <v>14278.74</v>
      </c>
      <c r="AB6166">
        <v>1E-4</v>
      </c>
      <c r="AC6166">
        <v>8</v>
      </c>
      <c r="AD6166" s="5">
        <v>5.0027366337854247</v>
      </c>
      <c r="AE6166" s="5">
        <v>2.2103208444142881</v>
      </c>
      <c r="AF6166">
        <v>1</v>
      </c>
    </row>
    <row r="6167" spans="27:32" x14ac:dyDescent="0.3">
      <c r="AA6167" s="3">
        <v>11622.03</v>
      </c>
      <c r="AB6167">
        <v>1E-4</v>
      </c>
      <c r="AC6167">
        <v>8</v>
      </c>
      <c r="AD6167" s="5">
        <v>5.0249076188059911</v>
      </c>
      <c r="AE6167" s="5">
        <v>2.1372555678998126</v>
      </c>
      <c r="AF6167">
        <v>1</v>
      </c>
    </row>
    <row r="6168" spans="27:32" x14ac:dyDescent="0.3">
      <c r="AA6168" s="3">
        <v>-8787.99</v>
      </c>
      <c r="AB6168">
        <v>1E-4</v>
      </c>
      <c r="AC6168">
        <v>9</v>
      </c>
      <c r="AD6168" s="5">
        <v>4.9394976021831951</v>
      </c>
      <c r="AE6168" s="5">
        <v>2.2491130277139453</v>
      </c>
      <c r="AF6168">
        <v>1</v>
      </c>
    </row>
    <row r="6169" spans="27:32" x14ac:dyDescent="0.3">
      <c r="AA6169" s="3">
        <v>5588.89</v>
      </c>
      <c r="AB6169">
        <v>1E-4</v>
      </c>
      <c r="AC6169">
        <v>8</v>
      </c>
      <c r="AD6169" s="5">
        <v>4.909346256147856</v>
      </c>
      <c r="AE6169" s="5">
        <v>2.2168577544454502</v>
      </c>
      <c r="AF6169">
        <v>1</v>
      </c>
    </row>
    <row r="6170" spans="27:32" x14ac:dyDescent="0.3">
      <c r="AA6170" s="3">
        <v>22360.78</v>
      </c>
      <c r="AB6170">
        <v>1E-4</v>
      </c>
      <c r="AC6170">
        <v>8</v>
      </c>
      <c r="AD6170" s="5">
        <v>5.0575069832647417</v>
      </c>
      <c r="AE6170" s="5">
        <v>2.1990274539503307</v>
      </c>
      <c r="AF6170">
        <v>1</v>
      </c>
    </row>
    <row r="6171" spans="27:32" x14ac:dyDescent="0.3">
      <c r="AA6171" s="3">
        <v>21387.759999999998</v>
      </c>
      <c r="AB6171">
        <v>1E-4</v>
      </c>
      <c r="AC6171">
        <v>8</v>
      </c>
      <c r="AD6171" s="5">
        <v>4.958815833887849</v>
      </c>
      <c r="AE6171" s="5">
        <v>2.0844701600949262</v>
      </c>
      <c r="AF6171">
        <v>1</v>
      </c>
    </row>
    <row r="6172" spans="27:32" x14ac:dyDescent="0.3">
      <c r="AA6172" s="3">
        <v>39605.379999999997</v>
      </c>
      <c r="AB6172">
        <v>1E-4</v>
      </c>
      <c r="AC6172">
        <v>7</v>
      </c>
      <c r="AD6172" s="5">
        <v>4.9553094083060465</v>
      </c>
      <c r="AE6172" s="5">
        <v>2.205346491235352</v>
      </c>
      <c r="AF6172">
        <v>1</v>
      </c>
    </row>
    <row r="6173" spans="27:32" x14ac:dyDescent="0.3">
      <c r="AA6173" s="3">
        <v>31648.57</v>
      </c>
      <c r="AB6173">
        <v>1E-4</v>
      </c>
      <c r="AC6173">
        <v>7</v>
      </c>
      <c r="AD6173" s="5">
        <v>4.944076144838415</v>
      </c>
      <c r="AE6173" s="5">
        <v>2.1650523305794143</v>
      </c>
      <c r="AF6173">
        <v>1</v>
      </c>
    </row>
    <row r="6174" spans="27:32" x14ac:dyDescent="0.3">
      <c r="AA6174" s="3">
        <v>-7133.68</v>
      </c>
      <c r="AB6174">
        <v>1E-4</v>
      </c>
      <c r="AC6174">
        <v>9</v>
      </c>
      <c r="AD6174" s="5">
        <v>5.0037126579850479</v>
      </c>
      <c r="AE6174" s="5">
        <v>2.1205131438652636</v>
      </c>
      <c r="AF6174">
        <v>1</v>
      </c>
    </row>
    <row r="6175" spans="27:32" x14ac:dyDescent="0.3">
      <c r="AA6175" s="3">
        <v>4573.5</v>
      </c>
      <c r="AB6175">
        <v>1E-4</v>
      </c>
      <c r="AC6175">
        <v>8</v>
      </c>
      <c r="AD6175" s="5">
        <v>4.8064808370454974</v>
      </c>
      <c r="AE6175" s="5">
        <v>2.1900862522549103</v>
      </c>
      <c r="AF6175">
        <v>1</v>
      </c>
    </row>
    <row r="6176" spans="27:32" x14ac:dyDescent="0.3">
      <c r="AA6176" s="3">
        <v>35626.92</v>
      </c>
      <c r="AB6176">
        <v>1E-4</v>
      </c>
      <c r="AC6176">
        <v>7</v>
      </c>
      <c r="AD6176" s="5">
        <v>5.0162690954406726</v>
      </c>
      <c r="AE6176" s="5">
        <v>2.215198896811537</v>
      </c>
      <c r="AF6176">
        <v>1</v>
      </c>
    </row>
    <row r="6177" spans="27:32" x14ac:dyDescent="0.3">
      <c r="AA6177" s="3">
        <v>-289.58</v>
      </c>
      <c r="AB6177">
        <v>1E-4</v>
      </c>
      <c r="AC6177">
        <v>9</v>
      </c>
      <c r="AD6177" s="5">
        <v>4.7748069194708869</v>
      </c>
      <c r="AE6177" s="5">
        <v>2.1511069212572762</v>
      </c>
      <c r="AF6177">
        <v>1</v>
      </c>
    </row>
    <row r="6178" spans="27:32" x14ac:dyDescent="0.3">
      <c r="AA6178" s="3">
        <v>33168.25</v>
      </c>
      <c r="AB6178">
        <v>1E-4</v>
      </c>
      <c r="AC6178">
        <v>7</v>
      </c>
      <c r="AD6178" s="5">
        <v>4.9998528979698076</v>
      </c>
      <c r="AE6178" s="5">
        <v>2.2090632660834926</v>
      </c>
      <c r="AF6178">
        <v>1</v>
      </c>
    </row>
    <row r="6179" spans="27:32" x14ac:dyDescent="0.3">
      <c r="AA6179" s="3">
        <v>27552.23</v>
      </c>
      <c r="AB6179">
        <v>1E-4</v>
      </c>
      <c r="AC6179">
        <v>8</v>
      </c>
      <c r="AD6179" s="5">
        <v>5.0689826498444353</v>
      </c>
      <c r="AE6179" s="5">
        <v>2.181480752479847</v>
      </c>
      <c r="AF6179">
        <v>1</v>
      </c>
    </row>
    <row r="6180" spans="27:32" x14ac:dyDescent="0.3">
      <c r="AA6180" s="3">
        <v>32919.08</v>
      </c>
      <c r="AB6180">
        <v>1E-4</v>
      </c>
      <c r="AC6180">
        <v>7</v>
      </c>
      <c r="AD6180" s="5">
        <v>5.2134654499395099</v>
      </c>
      <c r="AE6180" s="5">
        <v>2.1883376916786519</v>
      </c>
      <c r="AF6180">
        <v>1</v>
      </c>
    </row>
    <row r="6181" spans="27:32" x14ac:dyDescent="0.3">
      <c r="AA6181" s="3">
        <v>-2799.45</v>
      </c>
      <c r="AB6181">
        <v>1E-4</v>
      </c>
      <c r="AC6181">
        <v>9</v>
      </c>
      <c r="AD6181" s="5">
        <v>4.9459955056212275</v>
      </c>
      <c r="AE6181" s="5">
        <v>2.229298066679493</v>
      </c>
      <c r="AF6181">
        <v>1</v>
      </c>
    </row>
    <row r="6182" spans="27:32" x14ac:dyDescent="0.3">
      <c r="AA6182" s="3">
        <v>7352.42</v>
      </c>
      <c r="AB6182">
        <v>1E-4</v>
      </c>
      <c r="AC6182">
        <v>8</v>
      </c>
      <c r="AD6182" s="5">
        <v>4.8348360849399104</v>
      </c>
      <c r="AE6182" s="5">
        <v>2.1827298826894337</v>
      </c>
      <c r="AF6182">
        <v>1</v>
      </c>
    </row>
    <row r="6183" spans="27:32" x14ac:dyDescent="0.3">
      <c r="AA6183" s="3">
        <v>-816.47</v>
      </c>
      <c r="AB6183">
        <v>1E-4</v>
      </c>
      <c r="AC6183">
        <v>9</v>
      </c>
      <c r="AD6183" s="5">
        <v>4.9562799910609163</v>
      </c>
      <c r="AE6183" s="5">
        <v>2.2688262085762725</v>
      </c>
      <c r="AF6183">
        <v>1</v>
      </c>
    </row>
    <row r="6184" spans="27:32" x14ac:dyDescent="0.3">
      <c r="AA6184" s="3">
        <v>24724.49</v>
      </c>
      <c r="AB6184">
        <v>1E-4</v>
      </c>
      <c r="AC6184">
        <v>8</v>
      </c>
      <c r="AD6184" s="5">
        <v>5.136241280380049</v>
      </c>
      <c r="AE6184" s="5">
        <v>2.185656528768809</v>
      </c>
      <c r="AF6184">
        <v>1</v>
      </c>
    </row>
    <row r="6185" spans="27:32" x14ac:dyDescent="0.3">
      <c r="AA6185" s="3">
        <v>5382.62</v>
      </c>
      <c r="AB6185">
        <v>1E-4</v>
      </c>
      <c r="AC6185">
        <v>8</v>
      </c>
      <c r="AD6185" s="5">
        <v>5.0589256192709096</v>
      </c>
      <c r="AE6185" s="5">
        <v>2.2834224668311012</v>
      </c>
      <c r="AF6185">
        <v>1</v>
      </c>
    </row>
    <row r="6186" spans="27:32" x14ac:dyDescent="0.3">
      <c r="AA6186" s="3">
        <v>27225.99</v>
      </c>
      <c r="AB6186">
        <v>1E-4</v>
      </c>
      <c r="AC6186">
        <v>8</v>
      </c>
      <c r="AD6186" s="5">
        <v>5.1104740685303343</v>
      </c>
      <c r="AE6186" s="5">
        <v>2.2667447305244339</v>
      </c>
      <c r="AF6186">
        <v>1</v>
      </c>
    </row>
    <row r="6187" spans="27:32" x14ac:dyDescent="0.3">
      <c r="AA6187" s="3">
        <v>-1517.85</v>
      </c>
      <c r="AB6187">
        <v>1E-4</v>
      </c>
      <c r="AC6187">
        <v>9</v>
      </c>
      <c r="AD6187" s="5">
        <v>5.0189792453703292</v>
      </c>
      <c r="AE6187" s="5">
        <v>2.2311583071982422</v>
      </c>
      <c r="AF6187">
        <v>1</v>
      </c>
    </row>
    <row r="6188" spans="27:32" x14ac:dyDescent="0.3">
      <c r="AA6188" s="3">
        <v>25343.01</v>
      </c>
      <c r="AB6188">
        <v>1E-4</v>
      </c>
      <c r="AC6188">
        <v>8</v>
      </c>
      <c r="AD6188" s="5">
        <v>4.9454921974405925</v>
      </c>
      <c r="AE6188" s="5">
        <v>2.2297139443100513</v>
      </c>
      <c r="AF6188">
        <v>1</v>
      </c>
    </row>
    <row r="6189" spans="27:32" x14ac:dyDescent="0.3">
      <c r="AA6189" s="3">
        <v>32285.73</v>
      </c>
      <c r="AB6189">
        <v>1E-4</v>
      </c>
      <c r="AC6189">
        <v>7</v>
      </c>
      <c r="AD6189" s="5">
        <v>4.9762323592968389</v>
      </c>
      <c r="AE6189" s="5">
        <v>2.1505567880939829</v>
      </c>
      <c r="AF6189">
        <v>1</v>
      </c>
    </row>
    <row r="6190" spans="27:32" x14ac:dyDescent="0.3">
      <c r="AA6190" s="3">
        <v>14033.65</v>
      </c>
      <c r="AB6190">
        <v>1E-4</v>
      </c>
      <c r="AC6190">
        <v>8</v>
      </c>
      <c r="AD6190" s="5">
        <v>4.9749978909268755</v>
      </c>
      <c r="AE6190" s="5">
        <v>2.1872239602444452</v>
      </c>
      <c r="AF6190">
        <v>1</v>
      </c>
    </row>
    <row r="6191" spans="27:32" x14ac:dyDescent="0.3">
      <c r="AA6191" s="3">
        <v>-5973.03</v>
      </c>
      <c r="AB6191">
        <v>1E-4</v>
      </c>
      <c r="AC6191">
        <v>9</v>
      </c>
      <c r="AD6191" s="5">
        <v>4.8894426927270187</v>
      </c>
      <c r="AE6191" s="5">
        <v>2.1840775159066714</v>
      </c>
      <c r="AF6191">
        <v>1</v>
      </c>
    </row>
    <row r="6192" spans="27:32" x14ac:dyDescent="0.3">
      <c r="AA6192" s="3">
        <v>19614.41</v>
      </c>
      <c r="AB6192">
        <v>1E-4</v>
      </c>
      <c r="AC6192">
        <v>8</v>
      </c>
      <c r="AD6192" s="5">
        <v>4.9498356389706339</v>
      </c>
      <c r="AE6192" s="5">
        <v>2.1508653046656021</v>
      </c>
      <c r="AF6192">
        <v>1</v>
      </c>
    </row>
    <row r="6193" spans="27:32" x14ac:dyDescent="0.3">
      <c r="AA6193" s="3">
        <v>-5566.9</v>
      </c>
      <c r="AB6193">
        <v>1E-4</v>
      </c>
      <c r="AC6193">
        <v>9</v>
      </c>
      <c r="AD6193" s="5">
        <v>4.9644920685582123</v>
      </c>
      <c r="AE6193" s="5">
        <v>2.1811253091890568</v>
      </c>
      <c r="AF6193">
        <v>1</v>
      </c>
    </row>
    <row r="6194" spans="27:32" x14ac:dyDescent="0.3">
      <c r="AA6194" s="3">
        <v>23600.91</v>
      </c>
      <c r="AB6194">
        <v>1E-4</v>
      </c>
      <c r="AC6194">
        <v>8</v>
      </c>
      <c r="AD6194" s="5">
        <v>5.0427513126656685</v>
      </c>
      <c r="AE6194" s="5">
        <v>2.1733216134380289</v>
      </c>
      <c r="AF6194">
        <v>1</v>
      </c>
    </row>
    <row r="6195" spans="27:32" x14ac:dyDescent="0.3">
      <c r="AA6195" s="3">
        <v>27087.23</v>
      </c>
      <c r="AB6195">
        <v>1E-4</v>
      </c>
      <c r="AC6195">
        <v>8</v>
      </c>
      <c r="AD6195" s="5">
        <v>4.8530856870568257</v>
      </c>
      <c r="AE6195" s="5">
        <v>2.1733967370441154</v>
      </c>
      <c r="AF6195">
        <v>1</v>
      </c>
    </row>
    <row r="6196" spans="27:32" x14ac:dyDescent="0.3">
      <c r="AA6196" s="3">
        <v>20514.830000000002</v>
      </c>
      <c r="AB6196">
        <v>1E-4</v>
      </c>
      <c r="AC6196">
        <v>8</v>
      </c>
      <c r="AD6196" s="5">
        <v>5.0077184380041491</v>
      </c>
      <c r="AE6196" s="5">
        <v>2.1525891761820688</v>
      </c>
      <c r="AF6196">
        <v>1</v>
      </c>
    </row>
    <row r="6197" spans="27:32" x14ac:dyDescent="0.3">
      <c r="AA6197" s="3">
        <v>26859.87</v>
      </c>
      <c r="AB6197">
        <v>1E-4</v>
      </c>
      <c r="AC6197">
        <v>7</v>
      </c>
      <c r="AD6197" s="5">
        <v>5.13115015167116</v>
      </c>
      <c r="AE6197" s="5">
        <v>2.2204000148780976</v>
      </c>
      <c r="AF6197">
        <v>1</v>
      </c>
    </row>
    <row r="6198" spans="27:32" x14ac:dyDescent="0.3">
      <c r="AA6198" s="3">
        <v>-2533.4899999999998</v>
      </c>
      <c r="AB6198">
        <v>1E-4</v>
      </c>
      <c r="AC6198">
        <v>9</v>
      </c>
      <c r="AD6198" s="5">
        <v>5.0083554872169804</v>
      </c>
      <c r="AE6198" s="5">
        <v>2.3229707470218686</v>
      </c>
      <c r="AF6198">
        <v>1</v>
      </c>
    </row>
    <row r="6199" spans="27:32" x14ac:dyDescent="0.3">
      <c r="AA6199" s="3">
        <v>14307.57</v>
      </c>
      <c r="AB6199">
        <v>1E-4</v>
      </c>
      <c r="AC6199">
        <v>8</v>
      </c>
      <c r="AD6199" s="5">
        <v>5.1452449394477773</v>
      </c>
      <c r="AE6199" s="5">
        <v>2.1942338939676227</v>
      </c>
      <c r="AF6199">
        <v>1</v>
      </c>
    </row>
    <row r="6200" spans="27:32" x14ac:dyDescent="0.3">
      <c r="AA6200" s="3">
        <v>-6117.88</v>
      </c>
      <c r="AB6200">
        <v>1E-4</v>
      </c>
      <c r="AC6200">
        <v>9</v>
      </c>
      <c r="AD6200" s="5">
        <v>4.9773906167217161</v>
      </c>
      <c r="AE6200" s="5">
        <v>2.3001932846235418</v>
      </c>
      <c r="AF6200">
        <v>1</v>
      </c>
    </row>
    <row r="6201" spans="27:32" x14ac:dyDescent="0.3">
      <c r="AA6201" s="3">
        <v>29699.19</v>
      </c>
      <c r="AB6201">
        <v>1E-4</v>
      </c>
      <c r="AC6201">
        <v>8</v>
      </c>
      <c r="AD6201" s="5">
        <v>5.0565220211656747</v>
      </c>
      <c r="AE6201" s="5">
        <v>2.1271319905529067</v>
      </c>
      <c r="AF6201">
        <v>1</v>
      </c>
    </row>
    <row r="6202" spans="27:32" x14ac:dyDescent="0.3">
      <c r="AA6202" s="3">
        <v>30388.35</v>
      </c>
      <c r="AB6202">
        <v>1E-4</v>
      </c>
      <c r="AC6202">
        <v>7</v>
      </c>
      <c r="AD6202" s="5">
        <v>5.1061775817297672</v>
      </c>
      <c r="AE6202" s="5">
        <v>2.1946084016290484</v>
      </c>
      <c r="AF6202">
        <v>1</v>
      </c>
    </row>
    <row r="6203" spans="27:32" x14ac:dyDescent="0.3">
      <c r="AA6203" s="3">
        <v>14485.42</v>
      </c>
      <c r="AB6203">
        <v>1E-4</v>
      </c>
      <c r="AC6203">
        <v>8</v>
      </c>
      <c r="AD6203" s="5">
        <v>5.0062754707949058</v>
      </c>
      <c r="AE6203" s="5">
        <v>2.2022897022011065</v>
      </c>
      <c r="AF6203">
        <v>1</v>
      </c>
    </row>
    <row r="6204" spans="27:32" x14ac:dyDescent="0.3">
      <c r="AA6204" s="3">
        <v>19854.12</v>
      </c>
      <c r="AB6204">
        <v>1E-4</v>
      </c>
      <c r="AC6204">
        <v>8</v>
      </c>
      <c r="AD6204" s="5">
        <v>5.1452914777317726</v>
      </c>
      <c r="AE6204" s="5">
        <v>2.1196481787284442</v>
      </c>
      <c r="AF6204">
        <v>1</v>
      </c>
    </row>
    <row r="6205" spans="27:32" x14ac:dyDescent="0.3">
      <c r="AA6205" s="3">
        <v>1827.84</v>
      </c>
      <c r="AB6205">
        <v>1E-4</v>
      </c>
      <c r="AC6205">
        <v>8</v>
      </c>
      <c r="AD6205" s="5">
        <v>5.0173598708302753</v>
      </c>
      <c r="AE6205" s="5">
        <v>2.2393763620546245</v>
      </c>
      <c r="AF6205">
        <v>1</v>
      </c>
    </row>
    <row r="6206" spans="27:32" x14ac:dyDescent="0.3">
      <c r="AA6206" s="3">
        <v>50008.25</v>
      </c>
      <c r="AB6206">
        <v>1E-4</v>
      </c>
      <c r="AC6206">
        <v>6</v>
      </c>
      <c r="AD6206" s="5">
        <v>5.0996942864720225</v>
      </c>
      <c r="AE6206" s="5">
        <v>2.1495433824470358</v>
      </c>
      <c r="AF6206">
        <v>1</v>
      </c>
    </row>
    <row r="6207" spans="27:32" x14ac:dyDescent="0.3">
      <c r="AA6207" s="3">
        <v>-16076.28</v>
      </c>
      <c r="AB6207">
        <v>1E-4</v>
      </c>
      <c r="AC6207">
        <v>9</v>
      </c>
      <c r="AD6207" s="5">
        <v>4.8747004496105477</v>
      </c>
      <c r="AE6207" s="5">
        <v>2.2537677957056701</v>
      </c>
      <c r="AF6207">
        <v>1</v>
      </c>
    </row>
    <row r="6208" spans="27:32" x14ac:dyDescent="0.3">
      <c r="AA6208" s="3">
        <v>41458.65</v>
      </c>
      <c r="AB6208">
        <v>1E-4</v>
      </c>
      <c r="AC6208">
        <v>7</v>
      </c>
      <c r="AD6208" s="5">
        <v>5.0728766435459454</v>
      </c>
      <c r="AE6208" s="5">
        <v>2.1728700965011365</v>
      </c>
      <c r="AF6208">
        <v>1</v>
      </c>
    </row>
    <row r="6209" spans="27:32" x14ac:dyDescent="0.3">
      <c r="AA6209" s="3">
        <v>30508.76</v>
      </c>
      <c r="AB6209">
        <v>1E-4</v>
      </c>
      <c r="AC6209">
        <v>7</v>
      </c>
      <c r="AD6209" s="5">
        <v>5.0306617084415057</v>
      </c>
      <c r="AE6209" s="5">
        <v>2.2258731840429813</v>
      </c>
      <c r="AF6209">
        <v>1</v>
      </c>
    </row>
    <row r="6210" spans="27:32" x14ac:dyDescent="0.3">
      <c r="AA6210" s="3">
        <v>36872.11</v>
      </c>
      <c r="AB6210">
        <v>1E-4</v>
      </c>
      <c r="AC6210">
        <v>7</v>
      </c>
      <c r="AD6210" s="5">
        <v>5.1558910919174696</v>
      </c>
      <c r="AE6210" s="5">
        <v>2.1711398764797107</v>
      </c>
      <c r="AF6210">
        <v>1</v>
      </c>
    </row>
    <row r="6211" spans="27:32" x14ac:dyDescent="0.3">
      <c r="AA6211" s="3">
        <v>13898.33</v>
      </c>
      <c r="AB6211">
        <v>1E-4</v>
      </c>
      <c r="AC6211">
        <v>8</v>
      </c>
      <c r="AD6211" s="5">
        <v>5.0582545054536334</v>
      </c>
      <c r="AE6211" s="5">
        <v>2.0854365761039708</v>
      </c>
      <c r="AF6211">
        <v>1</v>
      </c>
    </row>
    <row r="6212" spans="27:32" x14ac:dyDescent="0.3">
      <c r="AA6212" s="3">
        <v>-22520.36</v>
      </c>
      <c r="AB6212">
        <v>1E-4</v>
      </c>
      <c r="AC6212">
        <v>9</v>
      </c>
      <c r="AD6212" s="5">
        <v>4.8025350196379666</v>
      </c>
      <c r="AE6212" s="5">
        <v>2.1972440642064819</v>
      </c>
      <c r="AF6212">
        <v>1</v>
      </c>
    </row>
    <row r="6213" spans="27:32" x14ac:dyDescent="0.3">
      <c r="AA6213" s="3">
        <v>-4745.5200000000004</v>
      </c>
      <c r="AB6213">
        <v>1E-4</v>
      </c>
      <c r="AC6213">
        <v>9</v>
      </c>
      <c r="AD6213" s="5">
        <v>4.837582036949919</v>
      </c>
      <c r="AE6213" s="5">
        <v>2.3240560513345336</v>
      </c>
      <c r="AF6213">
        <v>1</v>
      </c>
    </row>
    <row r="6214" spans="27:32" x14ac:dyDescent="0.3">
      <c r="AA6214" s="3">
        <v>13344.29</v>
      </c>
      <c r="AB6214">
        <v>1E-4</v>
      </c>
      <c r="AC6214">
        <v>8</v>
      </c>
      <c r="AD6214" s="5">
        <v>4.9935199976705231</v>
      </c>
      <c r="AE6214" s="5">
        <v>2.2320688101316812</v>
      </c>
      <c r="AF6214">
        <v>1</v>
      </c>
    </row>
    <row r="6215" spans="27:32" x14ac:dyDescent="0.3">
      <c r="AA6215" s="3">
        <v>25198.9</v>
      </c>
      <c r="AB6215">
        <v>1E-4</v>
      </c>
      <c r="AC6215">
        <v>8</v>
      </c>
      <c r="AD6215" s="5">
        <v>4.9537550421475887</v>
      </c>
      <c r="AE6215" s="5">
        <v>2.2464155987387948</v>
      </c>
      <c r="AF6215">
        <v>1</v>
      </c>
    </row>
    <row r="6216" spans="27:32" x14ac:dyDescent="0.3">
      <c r="AA6216" s="3">
        <v>16889.28</v>
      </c>
      <c r="AB6216">
        <v>1E-4</v>
      </c>
      <c r="AC6216">
        <v>8</v>
      </c>
      <c r="AD6216" s="5">
        <v>4.9772294936485331</v>
      </c>
      <c r="AE6216" s="5">
        <v>2.241159283661895</v>
      </c>
      <c r="AF6216">
        <v>1</v>
      </c>
    </row>
    <row r="6217" spans="27:32" x14ac:dyDescent="0.3">
      <c r="AA6217" s="3">
        <v>7880.41</v>
      </c>
      <c r="AB6217">
        <v>1E-4</v>
      </c>
      <c r="AC6217">
        <v>8</v>
      </c>
      <c r="AD6217" s="5">
        <v>4.8884741312751814</v>
      </c>
      <c r="AE6217" s="5">
        <v>2.201416231213043</v>
      </c>
      <c r="AF6217">
        <v>1</v>
      </c>
    </row>
    <row r="6218" spans="27:32" x14ac:dyDescent="0.3">
      <c r="AA6218" s="3">
        <v>13371.87</v>
      </c>
      <c r="AB6218">
        <v>1E-4</v>
      </c>
      <c r="AC6218">
        <v>8</v>
      </c>
      <c r="AD6218" s="5">
        <v>5.0290699284293687</v>
      </c>
      <c r="AE6218" s="5">
        <v>2.1922620825496879</v>
      </c>
      <c r="AF6218">
        <v>1</v>
      </c>
    </row>
    <row r="6219" spans="27:32" x14ac:dyDescent="0.3">
      <c r="AA6219" s="3">
        <v>7378.97</v>
      </c>
      <c r="AB6219">
        <v>1E-4</v>
      </c>
      <c r="AC6219">
        <v>8</v>
      </c>
      <c r="AD6219" s="5">
        <v>4.8090299956284017</v>
      </c>
      <c r="AE6219" s="5">
        <v>2.2060235619133368</v>
      </c>
      <c r="AF6219">
        <v>1</v>
      </c>
    </row>
    <row r="6220" spans="27:32" x14ac:dyDescent="0.3">
      <c r="AA6220" s="3">
        <v>12157.2</v>
      </c>
      <c r="AB6220">
        <v>1E-4</v>
      </c>
      <c r="AC6220">
        <v>8</v>
      </c>
      <c r="AD6220" s="5">
        <v>4.9918955807369789</v>
      </c>
      <c r="AE6220" s="5">
        <v>2.289344198784709</v>
      </c>
      <c r="AF6220">
        <v>1</v>
      </c>
    </row>
    <row r="6221" spans="27:32" x14ac:dyDescent="0.3">
      <c r="AA6221" s="3">
        <v>-3126.53</v>
      </c>
      <c r="AB6221">
        <v>1E-4</v>
      </c>
      <c r="AC6221">
        <v>9</v>
      </c>
      <c r="AD6221" s="5">
        <v>5.0475805210564735</v>
      </c>
      <c r="AE6221" s="5">
        <v>2.2426071629480786</v>
      </c>
      <c r="AF6221">
        <v>1</v>
      </c>
    </row>
    <row r="6222" spans="27:32" x14ac:dyDescent="0.3">
      <c r="AA6222" s="3">
        <v>18315.8</v>
      </c>
      <c r="AB6222">
        <v>1E-4</v>
      </c>
      <c r="AC6222">
        <v>8</v>
      </c>
      <c r="AD6222" s="5">
        <v>5.0775542397434368</v>
      </c>
      <c r="AE6222" s="5">
        <v>2.1492381851167699</v>
      </c>
      <c r="AF6222">
        <v>1</v>
      </c>
    </row>
    <row r="6223" spans="27:32" x14ac:dyDescent="0.3">
      <c r="AA6223" s="3">
        <v>21359.05</v>
      </c>
      <c r="AB6223">
        <v>1E-4</v>
      </c>
      <c r="AC6223">
        <v>8</v>
      </c>
      <c r="AD6223" s="5">
        <v>4.867479835058572</v>
      </c>
      <c r="AE6223" s="5">
        <v>2.1745272448206716</v>
      </c>
      <c r="AF6223">
        <v>1</v>
      </c>
    </row>
    <row r="6224" spans="27:32" x14ac:dyDescent="0.3">
      <c r="AA6224" s="3">
        <v>39234.81</v>
      </c>
      <c r="AB6224">
        <v>1E-4</v>
      </c>
      <c r="AC6224">
        <v>7</v>
      </c>
      <c r="AD6224" s="5">
        <v>5.0930277968255027</v>
      </c>
      <c r="AE6224" s="5">
        <v>2.2313707593597805</v>
      </c>
      <c r="AF6224">
        <v>1</v>
      </c>
    </row>
    <row r="6225" spans="27:32" x14ac:dyDescent="0.3">
      <c r="AA6225" s="3">
        <v>22066.14</v>
      </c>
      <c r="AB6225">
        <v>1E-4</v>
      </c>
      <c r="AC6225">
        <v>8</v>
      </c>
      <c r="AD6225" s="5">
        <v>5.0549191736187851</v>
      </c>
      <c r="AE6225" s="5">
        <v>2.1220405819006571</v>
      </c>
      <c r="AF6225">
        <v>1</v>
      </c>
    </row>
    <row r="6226" spans="27:32" x14ac:dyDescent="0.3">
      <c r="AA6226" s="3">
        <v>-127.29</v>
      </c>
      <c r="AB6226">
        <v>1E-4</v>
      </c>
      <c r="AC6226">
        <v>9</v>
      </c>
      <c r="AD6226" s="5">
        <v>4.9028035499655545</v>
      </c>
      <c r="AE6226" s="5">
        <v>2.2252183299866952</v>
      </c>
      <c r="AF6226">
        <v>1</v>
      </c>
    </row>
    <row r="6227" spans="27:32" x14ac:dyDescent="0.3">
      <c r="AA6227" s="3">
        <v>-183.93</v>
      </c>
      <c r="AB6227">
        <v>1E-4</v>
      </c>
      <c r="AC6227">
        <v>9</v>
      </c>
      <c r="AD6227" s="5">
        <v>4.9975483070930018</v>
      </c>
      <c r="AE6227" s="5">
        <v>2.2481767345968779</v>
      </c>
      <c r="AF6227">
        <v>1</v>
      </c>
    </row>
    <row r="6228" spans="27:32" x14ac:dyDescent="0.3">
      <c r="AA6228" s="3">
        <v>44408.91</v>
      </c>
      <c r="AB6228">
        <v>1E-4</v>
      </c>
      <c r="AC6228">
        <v>7</v>
      </c>
      <c r="AD6228" s="5">
        <v>4.9562421991293339</v>
      </c>
      <c r="AE6228" s="5">
        <v>2.1792061836305101</v>
      </c>
      <c r="AF6228">
        <v>1</v>
      </c>
    </row>
    <row r="6229" spans="27:32" x14ac:dyDescent="0.3">
      <c r="AA6229" s="3">
        <v>26208.09</v>
      </c>
      <c r="AB6229">
        <v>1E-4</v>
      </c>
      <c r="AC6229">
        <v>8</v>
      </c>
      <c r="AD6229" s="5">
        <v>5.0588574899350336</v>
      </c>
      <c r="AE6229" s="5">
        <v>2.1568867065923167</v>
      </c>
      <c r="AF6229">
        <v>1</v>
      </c>
    </row>
    <row r="6230" spans="27:32" x14ac:dyDescent="0.3">
      <c r="AA6230" s="3">
        <v>13862.93</v>
      </c>
      <c r="AB6230">
        <v>1E-4</v>
      </c>
      <c r="AC6230">
        <v>8</v>
      </c>
      <c r="AD6230" s="5">
        <v>5.0370349689101896</v>
      </c>
      <c r="AE6230" s="5">
        <v>2.2097647937518676</v>
      </c>
      <c r="AF6230">
        <v>1</v>
      </c>
    </row>
    <row r="6231" spans="27:32" x14ac:dyDescent="0.3">
      <c r="AA6231" s="3">
        <v>979.29</v>
      </c>
      <c r="AB6231">
        <v>1E-4</v>
      </c>
      <c r="AC6231">
        <v>8</v>
      </c>
      <c r="AD6231" s="5">
        <v>4.9199873482042014</v>
      </c>
      <c r="AE6231" s="5">
        <v>2.2852852976118063</v>
      </c>
      <c r="AF6231">
        <v>1</v>
      </c>
    </row>
    <row r="6232" spans="27:32" x14ac:dyDescent="0.3">
      <c r="AA6232" s="3">
        <v>10357.299999999999</v>
      </c>
      <c r="AB6232">
        <v>1E-4</v>
      </c>
      <c r="AC6232">
        <v>8</v>
      </c>
      <c r="AD6232" s="5">
        <v>4.9138921945905452</v>
      </c>
      <c r="AE6232" s="5">
        <v>2.1782754789579948</v>
      </c>
      <c r="AF6232">
        <v>1</v>
      </c>
    </row>
    <row r="6233" spans="27:32" x14ac:dyDescent="0.3">
      <c r="AA6233" s="3">
        <v>21822.9</v>
      </c>
      <c r="AB6233">
        <v>1E-4</v>
      </c>
      <c r="AC6233">
        <v>8</v>
      </c>
      <c r="AD6233" s="5">
        <v>5.2007485402283553</v>
      </c>
      <c r="AE6233" s="5">
        <v>2.3036785021666719</v>
      </c>
      <c r="AF6233">
        <v>1</v>
      </c>
    </row>
    <row r="6234" spans="27:32" x14ac:dyDescent="0.3">
      <c r="AA6234" s="3">
        <v>32839.910000000003</v>
      </c>
      <c r="AB6234">
        <v>1E-4</v>
      </c>
      <c r="AC6234">
        <v>7</v>
      </c>
      <c r="AD6234" s="5">
        <v>4.9489419394090657</v>
      </c>
      <c r="AE6234" s="5">
        <v>2.251518126004397</v>
      </c>
      <c r="AF6234">
        <v>1</v>
      </c>
    </row>
    <row r="6235" spans="27:32" x14ac:dyDescent="0.3">
      <c r="AA6235" s="3">
        <v>46674.63</v>
      </c>
      <c r="AB6235">
        <v>1E-4</v>
      </c>
      <c r="AC6235">
        <v>6</v>
      </c>
      <c r="AD6235" s="5">
        <v>5.0115240944308601</v>
      </c>
      <c r="AE6235" s="5">
        <v>2.2327772786942508</v>
      </c>
      <c r="AF6235">
        <v>1</v>
      </c>
    </row>
    <row r="6236" spans="27:32" x14ac:dyDescent="0.3">
      <c r="AA6236" s="3">
        <v>34576.36</v>
      </c>
      <c r="AB6236">
        <v>1E-4</v>
      </c>
      <c r="AC6236">
        <v>7</v>
      </c>
      <c r="AD6236" s="5">
        <v>5.1278898582633179</v>
      </c>
      <c r="AE6236" s="5">
        <v>2.1112879194698579</v>
      </c>
      <c r="AF6236">
        <v>1</v>
      </c>
    </row>
    <row r="6237" spans="27:32" x14ac:dyDescent="0.3">
      <c r="AA6237" s="3">
        <v>10620.85</v>
      </c>
      <c r="AB6237">
        <v>1E-4</v>
      </c>
      <c r="AC6237">
        <v>8</v>
      </c>
      <c r="AD6237" s="5">
        <v>4.9471114318666993</v>
      </c>
      <c r="AE6237" s="5">
        <v>2.2376651202666458</v>
      </c>
      <c r="AF6237">
        <v>1</v>
      </c>
    </row>
    <row r="6238" spans="27:32" x14ac:dyDescent="0.3">
      <c r="AA6238" s="3">
        <v>19669.03</v>
      </c>
      <c r="AB6238">
        <v>1E-4</v>
      </c>
      <c r="AC6238">
        <v>8</v>
      </c>
      <c r="AD6238" s="5">
        <v>4.9860660664141809</v>
      </c>
      <c r="AE6238" s="5">
        <v>2.2232538915335902</v>
      </c>
      <c r="AF6238">
        <v>1</v>
      </c>
    </row>
    <row r="6239" spans="27:32" x14ac:dyDescent="0.3">
      <c r="AA6239" s="3">
        <v>-14085.71</v>
      </c>
      <c r="AB6239">
        <v>1E-4</v>
      </c>
      <c r="AC6239">
        <v>9</v>
      </c>
      <c r="AD6239" s="5">
        <v>4.8406932211642975</v>
      </c>
      <c r="AE6239" s="5">
        <v>2.2229754766198044</v>
      </c>
      <c r="AF6239">
        <v>1</v>
      </c>
    </row>
    <row r="6240" spans="27:32" x14ac:dyDescent="0.3">
      <c r="AA6240" s="3">
        <v>-90.81</v>
      </c>
      <c r="AB6240">
        <v>1E-4</v>
      </c>
      <c r="AC6240">
        <v>9</v>
      </c>
      <c r="AD6240" s="5">
        <v>4.9604224837223772</v>
      </c>
      <c r="AE6240" s="5">
        <v>2.1029254724529269</v>
      </c>
      <c r="AF6240">
        <v>1</v>
      </c>
    </row>
    <row r="6241" spans="27:32" x14ac:dyDescent="0.3">
      <c r="AA6241" s="3">
        <v>-4853.01</v>
      </c>
      <c r="AB6241">
        <v>1E-4</v>
      </c>
      <c r="AC6241">
        <v>9</v>
      </c>
      <c r="AD6241" s="5">
        <v>4.8351596669015393</v>
      </c>
      <c r="AE6241" s="5">
        <v>2.1686166972410761</v>
      </c>
      <c r="AF6241">
        <v>1</v>
      </c>
    </row>
    <row r="6242" spans="27:32" x14ac:dyDescent="0.3">
      <c r="AA6242" s="3">
        <v>7573.34</v>
      </c>
      <c r="AB6242">
        <v>1E-4</v>
      </c>
      <c r="AC6242">
        <v>8</v>
      </c>
      <c r="AD6242" s="5">
        <v>5.000259449852571</v>
      </c>
      <c r="AE6242" s="5">
        <v>2.0969263333536396</v>
      </c>
      <c r="AF6242">
        <v>1</v>
      </c>
    </row>
    <row r="6243" spans="27:32" x14ac:dyDescent="0.3">
      <c r="AA6243" s="3">
        <v>-7459.26</v>
      </c>
      <c r="AB6243">
        <v>1E-4</v>
      </c>
      <c r="AC6243">
        <v>9</v>
      </c>
      <c r="AD6243" s="5">
        <v>4.9695722365989914</v>
      </c>
      <c r="AE6243" s="5">
        <v>2.1266169285690903</v>
      </c>
      <c r="AF6243">
        <v>1</v>
      </c>
    </row>
    <row r="6244" spans="27:32" x14ac:dyDescent="0.3">
      <c r="AA6244" s="3">
        <v>23887.06</v>
      </c>
      <c r="AB6244">
        <v>1E-4</v>
      </c>
      <c r="AC6244">
        <v>8</v>
      </c>
      <c r="AD6244" s="5">
        <v>4.9845220692892642</v>
      </c>
      <c r="AE6244" s="5">
        <v>2.0930341055618751</v>
      </c>
      <c r="AF6244">
        <v>1</v>
      </c>
    </row>
    <row r="6245" spans="27:32" x14ac:dyDescent="0.3">
      <c r="AA6245" s="3">
        <v>14746.74</v>
      </c>
      <c r="AB6245">
        <v>1E-4</v>
      </c>
      <c r="AC6245">
        <v>8</v>
      </c>
      <c r="AD6245" s="5">
        <v>5.0985805362178942</v>
      </c>
      <c r="AE6245" s="5">
        <v>2.1509454292176322</v>
      </c>
      <c r="AF6245">
        <v>1</v>
      </c>
    </row>
    <row r="6246" spans="27:32" x14ac:dyDescent="0.3">
      <c r="AA6246" s="3">
        <v>13313.22</v>
      </c>
      <c r="AB6246">
        <v>1E-4</v>
      </c>
      <c r="AC6246">
        <v>8</v>
      </c>
      <c r="AD6246" s="5">
        <v>5.0753821350515267</v>
      </c>
      <c r="AE6246" s="5">
        <v>2.1675839009983906</v>
      </c>
      <c r="AF6246">
        <v>1</v>
      </c>
    </row>
    <row r="6247" spans="27:32" x14ac:dyDescent="0.3">
      <c r="AA6247" s="3">
        <v>-22626.01</v>
      </c>
      <c r="AB6247">
        <v>1E-4</v>
      </c>
      <c r="AC6247">
        <v>9</v>
      </c>
      <c r="AD6247" s="5">
        <v>4.9221455571655683</v>
      </c>
      <c r="AE6247" s="5">
        <v>2.2471005116796618</v>
      </c>
      <c r="AF6247">
        <v>1</v>
      </c>
    </row>
    <row r="6248" spans="27:32" x14ac:dyDescent="0.3">
      <c r="AA6248" s="3">
        <v>38497.75</v>
      </c>
      <c r="AB6248">
        <v>1E-4</v>
      </c>
      <c r="AC6248">
        <v>7</v>
      </c>
      <c r="AD6248" s="5">
        <v>5.0247461797064288</v>
      </c>
      <c r="AE6248" s="5">
        <v>2.0607374049313667</v>
      </c>
      <c r="AF6248">
        <v>1</v>
      </c>
    </row>
    <row r="6249" spans="27:32" x14ac:dyDescent="0.3">
      <c r="AA6249" s="3">
        <v>37107.440000000002</v>
      </c>
      <c r="AB6249">
        <v>1E-4</v>
      </c>
      <c r="AC6249">
        <v>7</v>
      </c>
      <c r="AD6249" s="5">
        <v>5.1378303079141263</v>
      </c>
      <c r="AE6249" s="5">
        <v>2.1753016149547406</v>
      </c>
      <c r="AF6249">
        <v>1</v>
      </c>
    </row>
    <row r="6250" spans="27:32" x14ac:dyDescent="0.3">
      <c r="AA6250" s="3">
        <v>52905.18</v>
      </c>
      <c r="AB6250">
        <v>1E-4</v>
      </c>
      <c r="AC6250">
        <v>6</v>
      </c>
      <c r="AD6250" s="5">
        <v>4.9446256530660726</v>
      </c>
      <c r="AE6250" s="5">
        <v>2.139890577821892</v>
      </c>
      <c r="AF6250">
        <v>1</v>
      </c>
    </row>
    <row r="6251" spans="27:32" x14ac:dyDescent="0.3">
      <c r="AA6251" s="3">
        <v>2853.51</v>
      </c>
      <c r="AB6251">
        <v>1E-4</v>
      </c>
      <c r="AC6251">
        <v>8</v>
      </c>
      <c r="AD6251" s="5">
        <v>4.9265118708775395</v>
      </c>
      <c r="AE6251" s="5">
        <v>2.2311107194434086</v>
      </c>
      <c r="AF6251">
        <v>1</v>
      </c>
    </row>
    <row r="6252" spans="27:32" x14ac:dyDescent="0.3">
      <c r="AA6252" s="3">
        <v>27108.68</v>
      </c>
      <c r="AB6252">
        <v>1E-4</v>
      </c>
      <c r="AC6252">
        <v>8</v>
      </c>
      <c r="AD6252" s="5">
        <v>5.0489849508544804</v>
      </c>
      <c r="AE6252" s="5">
        <v>2.2225160323967637</v>
      </c>
      <c r="AF6252">
        <v>1</v>
      </c>
    </row>
    <row r="6253" spans="27:32" x14ac:dyDescent="0.3">
      <c r="AA6253" s="3">
        <v>3624.57</v>
      </c>
      <c r="AB6253">
        <v>1E-4</v>
      </c>
      <c r="AC6253">
        <v>8</v>
      </c>
      <c r="AD6253" s="5">
        <v>4.7932929985479262</v>
      </c>
      <c r="AE6253" s="5">
        <v>2.1645998367205577</v>
      </c>
      <c r="AF6253">
        <v>1</v>
      </c>
    </row>
    <row r="6254" spans="27:32" x14ac:dyDescent="0.3">
      <c r="AA6254" s="3">
        <v>5560.1</v>
      </c>
      <c r="AB6254">
        <v>1E-4</v>
      </c>
      <c r="AC6254">
        <v>8</v>
      </c>
      <c r="AD6254" s="5">
        <v>4.9514148173263735</v>
      </c>
      <c r="AE6254" s="5">
        <v>2.2154382008517173</v>
      </c>
      <c r="AF6254">
        <v>1</v>
      </c>
    </row>
    <row r="6255" spans="27:32" x14ac:dyDescent="0.3">
      <c r="AA6255" s="3">
        <v>-10245.93</v>
      </c>
      <c r="AB6255">
        <v>1E-4</v>
      </c>
      <c r="AC6255">
        <v>9</v>
      </c>
      <c r="AD6255" s="5">
        <v>5.0411604127685443</v>
      </c>
      <c r="AE6255" s="5">
        <v>2.2670160196521705</v>
      </c>
      <c r="AF6255">
        <v>1</v>
      </c>
    </row>
    <row r="6256" spans="27:32" x14ac:dyDescent="0.3">
      <c r="AA6256" s="3">
        <v>33210.410000000003</v>
      </c>
      <c r="AB6256">
        <v>1E-4</v>
      </c>
      <c r="AC6256">
        <v>7</v>
      </c>
      <c r="AD6256" s="5">
        <v>5.1160648819056123</v>
      </c>
      <c r="AE6256" s="5">
        <v>2.1581122333994873</v>
      </c>
      <c r="AF6256">
        <v>1</v>
      </c>
    </row>
    <row r="6257" spans="27:32" x14ac:dyDescent="0.3">
      <c r="AA6257" s="3">
        <v>-2292.23</v>
      </c>
      <c r="AB6257">
        <v>1E-4</v>
      </c>
      <c r="AC6257">
        <v>9</v>
      </c>
      <c r="AD6257" s="5">
        <v>4.8677215763836257</v>
      </c>
      <c r="AE6257" s="5">
        <v>2.255761511320888</v>
      </c>
      <c r="AF6257">
        <v>1</v>
      </c>
    </row>
    <row r="6258" spans="27:32" x14ac:dyDescent="0.3">
      <c r="AA6258" s="3">
        <v>12503.39</v>
      </c>
      <c r="AB6258">
        <v>1E-4</v>
      </c>
      <c r="AC6258">
        <v>8</v>
      </c>
      <c r="AD6258" s="5">
        <v>4.9715539424974811</v>
      </c>
      <c r="AE6258" s="5">
        <v>2.2221482955999412</v>
      </c>
      <c r="AF6258">
        <v>1</v>
      </c>
    </row>
    <row r="6259" spans="27:32" x14ac:dyDescent="0.3">
      <c r="AA6259" s="3">
        <v>10585.55</v>
      </c>
      <c r="AB6259">
        <v>1E-4</v>
      </c>
      <c r="AC6259">
        <v>8</v>
      </c>
      <c r="AD6259" s="5">
        <v>4.8553144731435589</v>
      </c>
      <c r="AE6259" s="5">
        <v>2.1050854642399104</v>
      </c>
      <c r="AF6259">
        <v>1</v>
      </c>
    </row>
    <row r="6260" spans="27:32" x14ac:dyDescent="0.3">
      <c r="AA6260" s="3">
        <v>-9121.82</v>
      </c>
      <c r="AB6260">
        <v>1E-4</v>
      </c>
      <c r="AC6260">
        <v>9</v>
      </c>
      <c r="AD6260" s="5">
        <v>4.9781698339452527</v>
      </c>
      <c r="AE6260" s="5">
        <v>2.269817287710151</v>
      </c>
      <c r="AF6260">
        <v>1</v>
      </c>
    </row>
    <row r="6261" spans="27:32" x14ac:dyDescent="0.3">
      <c r="AA6261" s="3">
        <v>8150.19</v>
      </c>
      <c r="AB6261">
        <v>1E-4</v>
      </c>
      <c r="AC6261">
        <v>8</v>
      </c>
      <c r="AD6261" s="5">
        <v>5.045193028064034</v>
      </c>
      <c r="AE6261" s="5">
        <v>2.2184027761952088</v>
      </c>
      <c r="AF6261">
        <v>1</v>
      </c>
    </row>
    <row r="6262" spans="27:32" x14ac:dyDescent="0.3">
      <c r="AA6262" s="3">
        <v>30029.08</v>
      </c>
      <c r="AB6262">
        <v>1E-4</v>
      </c>
      <c r="AC6262">
        <v>7</v>
      </c>
      <c r="AD6262" s="5">
        <v>5.0025498344151442</v>
      </c>
      <c r="AE6262" s="5">
        <v>2.1901239565684856</v>
      </c>
      <c r="AF6262">
        <v>1</v>
      </c>
    </row>
    <row r="6263" spans="27:32" x14ac:dyDescent="0.3">
      <c r="AA6263" s="3">
        <v>36910.720000000001</v>
      </c>
      <c r="AB6263">
        <v>1E-4</v>
      </c>
      <c r="AC6263">
        <v>7</v>
      </c>
      <c r="AD6263" s="5">
        <v>5.0563780562646112</v>
      </c>
      <c r="AE6263" s="5">
        <v>2.1773170471935277</v>
      </c>
      <c r="AF6263">
        <v>1</v>
      </c>
    </row>
    <row r="6264" spans="27:32" x14ac:dyDescent="0.3">
      <c r="AA6264" s="3">
        <v>4248.6400000000003</v>
      </c>
      <c r="AB6264">
        <v>1E-4</v>
      </c>
      <c r="AC6264">
        <v>8</v>
      </c>
      <c r="AD6264" s="5">
        <v>5.0247759348131247</v>
      </c>
      <c r="AE6264" s="5">
        <v>2.1736109371721164</v>
      </c>
      <c r="AF6264">
        <v>1</v>
      </c>
    </row>
    <row r="6265" spans="27:32" x14ac:dyDescent="0.3">
      <c r="AA6265" s="3">
        <v>31784.93</v>
      </c>
      <c r="AB6265">
        <v>1E-4</v>
      </c>
      <c r="AC6265">
        <v>7</v>
      </c>
      <c r="AD6265" s="5">
        <v>5.0323875733361696</v>
      </c>
      <c r="AE6265" s="5">
        <v>2.1919449114799092</v>
      </c>
      <c r="AF6265">
        <v>1</v>
      </c>
    </row>
    <row r="6266" spans="27:32" x14ac:dyDescent="0.3">
      <c r="AA6266" s="3">
        <v>6235.31</v>
      </c>
      <c r="AB6266">
        <v>1E-4</v>
      </c>
      <c r="AC6266">
        <v>8</v>
      </c>
      <c r="AD6266" s="5">
        <v>4.9044191465813531</v>
      </c>
      <c r="AE6266" s="5">
        <v>2.1930544004242565</v>
      </c>
      <c r="AF6266">
        <v>1</v>
      </c>
    </row>
    <row r="6267" spans="27:32" x14ac:dyDescent="0.3">
      <c r="AA6267" s="3">
        <v>33628.03</v>
      </c>
      <c r="AB6267">
        <v>1E-4</v>
      </c>
      <c r="AC6267">
        <v>7</v>
      </c>
      <c r="AD6267" s="5">
        <v>4.9814086441220082</v>
      </c>
      <c r="AE6267" s="5">
        <v>2.1724995078504787</v>
      </c>
      <c r="AF6267">
        <v>1</v>
      </c>
    </row>
    <row r="6268" spans="27:32" x14ac:dyDescent="0.3">
      <c r="AA6268" s="3">
        <v>16114.06</v>
      </c>
      <c r="AB6268">
        <v>1E-4</v>
      </c>
      <c r="AC6268">
        <v>8</v>
      </c>
      <c r="AD6268" s="5">
        <v>4.9859894139154317</v>
      </c>
      <c r="AE6268" s="5">
        <v>2.2018280174604672</v>
      </c>
      <c r="AF6268">
        <v>1</v>
      </c>
    </row>
    <row r="6269" spans="27:32" x14ac:dyDescent="0.3">
      <c r="AA6269" s="3">
        <v>41285.94</v>
      </c>
      <c r="AB6269">
        <v>1E-4</v>
      </c>
      <c r="AC6269">
        <v>7</v>
      </c>
      <c r="AD6269" s="5">
        <v>5.1363507913489359</v>
      </c>
      <c r="AE6269" s="5">
        <v>2.2461219199032527</v>
      </c>
      <c r="AF6269">
        <v>1</v>
      </c>
    </row>
    <row r="6270" spans="27:32" x14ac:dyDescent="0.3">
      <c r="AA6270" s="3">
        <v>32734.67</v>
      </c>
      <c r="AB6270">
        <v>1E-4</v>
      </c>
      <c r="AC6270">
        <v>7</v>
      </c>
      <c r="AD6270" s="5">
        <v>5.0307505359709461</v>
      </c>
      <c r="AE6270" s="5">
        <v>2.1750686842201286</v>
      </c>
      <c r="AF6270">
        <v>1</v>
      </c>
    </row>
    <row r="6271" spans="27:32" x14ac:dyDescent="0.3">
      <c r="AA6271" s="3">
        <v>6812.89</v>
      </c>
      <c r="AB6271">
        <v>1E-4</v>
      </c>
      <c r="AC6271">
        <v>8</v>
      </c>
      <c r="AD6271" s="5">
        <v>4.9311186567615328</v>
      </c>
      <c r="AE6271" s="5">
        <v>2.3027878622747706</v>
      </c>
      <c r="AF6271">
        <v>1</v>
      </c>
    </row>
    <row r="6272" spans="27:32" x14ac:dyDescent="0.3">
      <c r="AA6272" s="3">
        <v>27657.45</v>
      </c>
      <c r="AB6272">
        <v>1E-4</v>
      </c>
      <c r="AC6272">
        <v>8</v>
      </c>
      <c r="AD6272" s="5">
        <v>5.1562485821934541</v>
      </c>
      <c r="AE6272" s="5">
        <v>2.2204461998592695</v>
      </c>
      <c r="AF6272">
        <v>1</v>
      </c>
    </row>
    <row r="6273" spans="27:32" x14ac:dyDescent="0.3">
      <c r="AA6273" s="3">
        <v>7164.07</v>
      </c>
      <c r="AB6273">
        <v>1E-4</v>
      </c>
      <c r="AC6273">
        <v>8</v>
      </c>
      <c r="AD6273" s="5">
        <v>4.9592181745048469</v>
      </c>
      <c r="AE6273" s="5">
        <v>2.2118150906121614</v>
      </c>
      <c r="AF6273">
        <v>1</v>
      </c>
    </row>
    <row r="6274" spans="27:32" x14ac:dyDescent="0.3">
      <c r="AA6274" s="3">
        <v>30524.31</v>
      </c>
      <c r="AB6274">
        <v>1E-4</v>
      </c>
      <c r="AC6274">
        <v>7</v>
      </c>
      <c r="AD6274" s="5">
        <v>5.1238144852475971</v>
      </c>
      <c r="AE6274" s="5">
        <v>2.205186619177768</v>
      </c>
      <c r="AF6274">
        <v>1</v>
      </c>
    </row>
    <row r="6275" spans="27:32" x14ac:dyDescent="0.3">
      <c r="AA6275" s="3">
        <v>-9790.33</v>
      </c>
      <c r="AB6275">
        <v>1E-4</v>
      </c>
      <c r="AC6275">
        <v>9</v>
      </c>
      <c r="AD6275" s="5">
        <v>5.1107216910659252</v>
      </c>
      <c r="AE6275" s="5">
        <v>2.2672518815952838</v>
      </c>
      <c r="AF6275">
        <v>1</v>
      </c>
    </row>
    <row r="6276" spans="27:32" x14ac:dyDescent="0.3">
      <c r="AA6276" s="3">
        <v>33419.99</v>
      </c>
      <c r="AB6276">
        <v>1E-4</v>
      </c>
      <c r="AC6276">
        <v>7</v>
      </c>
      <c r="AD6276" s="5">
        <v>4.9680877458742412</v>
      </c>
      <c r="AE6276" s="5">
        <v>2.1808397222376716</v>
      </c>
      <c r="AF6276">
        <v>1</v>
      </c>
    </row>
    <row r="6277" spans="27:32" x14ac:dyDescent="0.3">
      <c r="AA6277" s="3">
        <v>16074.59</v>
      </c>
      <c r="AB6277">
        <v>1E-4</v>
      </c>
      <c r="AC6277">
        <v>8</v>
      </c>
      <c r="AD6277" s="5">
        <v>4.8707194046296181</v>
      </c>
      <c r="AE6277" s="5">
        <v>2.2357924330603729</v>
      </c>
      <c r="AF6277">
        <v>1</v>
      </c>
    </row>
    <row r="6278" spans="27:32" x14ac:dyDescent="0.3">
      <c r="AA6278" s="3">
        <v>13611.85</v>
      </c>
      <c r="AB6278">
        <v>1E-4</v>
      </c>
      <c r="AC6278">
        <v>8</v>
      </c>
      <c r="AD6278" s="5">
        <v>4.9051079050191984</v>
      </c>
      <c r="AE6278" s="5">
        <v>2.1044574494662212</v>
      </c>
      <c r="AF6278">
        <v>1</v>
      </c>
    </row>
    <row r="6279" spans="27:32" x14ac:dyDescent="0.3">
      <c r="AA6279" s="3">
        <v>29933.11</v>
      </c>
      <c r="AB6279">
        <v>1E-4</v>
      </c>
      <c r="AC6279">
        <v>8</v>
      </c>
      <c r="AD6279" s="5">
        <v>5.1764856703356985</v>
      </c>
      <c r="AE6279" s="5">
        <v>2.2478348062956948</v>
      </c>
      <c r="AF6279">
        <v>1</v>
      </c>
    </row>
    <row r="6280" spans="27:32" x14ac:dyDescent="0.3">
      <c r="AA6280" s="3">
        <v>5132.93</v>
      </c>
      <c r="AB6280">
        <v>1E-4</v>
      </c>
      <c r="AC6280">
        <v>8</v>
      </c>
      <c r="AD6280" s="5">
        <v>4.7839795159045808</v>
      </c>
      <c r="AE6280" s="5">
        <v>2.203554846490849</v>
      </c>
      <c r="AF6280">
        <v>1</v>
      </c>
    </row>
    <row r="6281" spans="27:32" x14ac:dyDescent="0.3">
      <c r="AA6281" s="3">
        <v>36982.93</v>
      </c>
      <c r="AB6281">
        <v>1E-4</v>
      </c>
      <c r="AC6281">
        <v>7</v>
      </c>
      <c r="AD6281" s="5">
        <v>5.0833163697064041</v>
      </c>
      <c r="AE6281" s="5">
        <v>2.1317682156994269</v>
      </c>
      <c r="AF6281">
        <v>1</v>
      </c>
    </row>
    <row r="6282" spans="27:32" x14ac:dyDescent="0.3">
      <c r="AA6282" s="3">
        <v>40482.22</v>
      </c>
      <c r="AB6282">
        <v>1E-4</v>
      </c>
      <c r="AC6282">
        <v>7</v>
      </c>
      <c r="AD6282" s="5">
        <v>4.9656714516105795</v>
      </c>
      <c r="AE6282" s="5">
        <v>2.2920595448926426</v>
      </c>
      <c r="AF6282">
        <v>1</v>
      </c>
    </row>
    <row r="6283" spans="27:32" x14ac:dyDescent="0.3">
      <c r="AA6283" s="3">
        <v>16816.05</v>
      </c>
      <c r="AB6283">
        <v>1E-4</v>
      </c>
      <c r="AC6283">
        <v>8</v>
      </c>
      <c r="AD6283" s="5">
        <v>5.1011239067376524</v>
      </c>
      <c r="AE6283" s="5">
        <v>2.1772079910388733</v>
      </c>
      <c r="AF6283">
        <v>1</v>
      </c>
    </row>
    <row r="6284" spans="27:32" x14ac:dyDescent="0.3">
      <c r="AA6284" s="3">
        <v>-4356.12</v>
      </c>
      <c r="AB6284">
        <v>1E-4</v>
      </c>
      <c r="AC6284">
        <v>9</v>
      </c>
      <c r="AD6284" s="5">
        <v>4.9757955923360244</v>
      </c>
      <c r="AE6284" s="5">
        <v>2.1939336261611428</v>
      </c>
      <c r="AF6284">
        <v>1</v>
      </c>
    </row>
    <row r="6285" spans="27:32" x14ac:dyDescent="0.3">
      <c r="AA6285" s="3">
        <v>5230.03</v>
      </c>
      <c r="AB6285">
        <v>1E-4</v>
      </c>
      <c r="AC6285">
        <v>8</v>
      </c>
      <c r="AD6285" s="5">
        <v>4.9236304803603561</v>
      </c>
      <c r="AE6285" s="5">
        <v>2.1588180788412936</v>
      </c>
      <c r="AF6285">
        <v>1</v>
      </c>
    </row>
    <row r="6286" spans="27:32" x14ac:dyDescent="0.3">
      <c r="AA6286" s="3">
        <v>-1462.03</v>
      </c>
      <c r="AB6286">
        <v>1E-4</v>
      </c>
      <c r="AC6286">
        <v>9</v>
      </c>
      <c r="AD6286" s="5">
        <v>4.9063429602400301</v>
      </c>
      <c r="AE6286" s="5">
        <v>2.2599173014436862</v>
      </c>
      <c r="AF6286">
        <v>1</v>
      </c>
    </row>
    <row r="6287" spans="27:32" x14ac:dyDescent="0.3">
      <c r="AA6287" s="3">
        <v>25651.63</v>
      </c>
      <c r="AB6287">
        <v>1E-4</v>
      </c>
      <c r="AC6287">
        <v>8</v>
      </c>
      <c r="AD6287" s="5">
        <v>5.1082745229469735</v>
      </c>
      <c r="AE6287" s="5">
        <v>2.0916995730232713</v>
      </c>
      <c r="AF6287">
        <v>1</v>
      </c>
    </row>
    <row r="6288" spans="27:32" x14ac:dyDescent="0.3">
      <c r="AA6288" s="3">
        <v>7427</v>
      </c>
      <c r="AB6288">
        <v>1E-4</v>
      </c>
      <c r="AC6288">
        <v>8</v>
      </c>
      <c r="AD6288" s="5">
        <v>5.0693894937157324</v>
      </c>
      <c r="AE6288" s="5">
        <v>2.2140346423968138</v>
      </c>
      <c r="AF6288">
        <v>1</v>
      </c>
    </row>
    <row r="6289" spans="27:32" x14ac:dyDescent="0.3">
      <c r="AA6289" s="3">
        <v>11229.69</v>
      </c>
      <c r="AB6289">
        <v>1E-4</v>
      </c>
      <c r="AC6289">
        <v>8</v>
      </c>
      <c r="AD6289" s="5">
        <v>5.0674926975898424</v>
      </c>
      <c r="AE6289" s="5">
        <v>2.2636029984269315</v>
      </c>
      <c r="AF6289">
        <v>1</v>
      </c>
    </row>
    <row r="6290" spans="27:32" x14ac:dyDescent="0.3">
      <c r="AA6290" s="3">
        <v>44335.1</v>
      </c>
      <c r="AB6290">
        <v>1E-4</v>
      </c>
      <c r="AC6290">
        <v>7</v>
      </c>
      <c r="AD6290" s="5">
        <v>4.9824748076186101</v>
      </c>
      <c r="AE6290" s="5">
        <v>2.08987831723858</v>
      </c>
      <c r="AF6290">
        <v>1</v>
      </c>
    </row>
    <row r="6291" spans="27:32" x14ac:dyDescent="0.3">
      <c r="AA6291" s="3">
        <v>-468.11</v>
      </c>
      <c r="AB6291">
        <v>1E-4</v>
      </c>
      <c r="AC6291">
        <v>9</v>
      </c>
      <c r="AD6291" s="5">
        <v>4.9655150437911066</v>
      </c>
      <c r="AE6291" s="5">
        <v>2.1833863938158684</v>
      </c>
      <c r="AF6291">
        <v>1</v>
      </c>
    </row>
    <row r="6292" spans="27:32" x14ac:dyDescent="0.3">
      <c r="AA6292" s="3">
        <v>4989.49</v>
      </c>
      <c r="AB6292">
        <v>1E-4</v>
      </c>
      <c r="AC6292">
        <v>8</v>
      </c>
      <c r="AD6292" s="5">
        <v>5.1079431767922641</v>
      </c>
      <c r="AE6292" s="5">
        <v>2.2753951236776659</v>
      </c>
      <c r="AF6292">
        <v>1</v>
      </c>
    </row>
    <row r="6293" spans="27:32" x14ac:dyDescent="0.3">
      <c r="AA6293" s="3">
        <v>1046.08</v>
      </c>
      <c r="AB6293">
        <v>1E-4</v>
      </c>
      <c r="AC6293">
        <v>8</v>
      </c>
      <c r="AD6293" s="5">
        <v>4.8647125016152142</v>
      </c>
      <c r="AE6293" s="5">
        <v>2.2838894026354564</v>
      </c>
      <c r="AF6293">
        <v>1</v>
      </c>
    </row>
    <row r="6294" spans="27:32" x14ac:dyDescent="0.3">
      <c r="AA6294" s="3">
        <v>-8635.6299999999992</v>
      </c>
      <c r="AB6294">
        <v>1E-4</v>
      </c>
      <c r="AC6294">
        <v>9</v>
      </c>
      <c r="AD6294" s="5">
        <v>4.7753729888428227</v>
      </c>
      <c r="AE6294" s="5">
        <v>2.2347147737869788</v>
      </c>
      <c r="AF6294">
        <v>1</v>
      </c>
    </row>
    <row r="6295" spans="27:32" x14ac:dyDescent="0.3">
      <c r="AA6295" s="3">
        <v>34357.870000000003</v>
      </c>
      <c r="AB6295">
        <v>1E-4</v>
      </c>
      <c r="AC6295">
        <v>7</v>
      </c>
      <c r="AD6295" s="5">
        <v>5.0466609243388563</v>
      </c>
      <c r="AE6295" s="5">
        <v>2.1988655616121413</v>
      </c>
      <c r="AF6295">
        <v>1</v>
      </c>
    </row>
    <row r="6296" spans="27:32" x14ac:dyDescent="0.3">
      <c r="AA6296" s="3">
        <v>-13944.21</v>
      </c>
      <c r="AB6296">
        <v>1E-4</v>
      </c>
      <c r="AC6296">
        <v>9</v>
      </c>
      <c r="AD6296" s="5">
        <v>5.0067178391161642</v>
      </c>
      <c r="AE6296" s="5">
        <v>2.143421414949584</v>
      </c>
      <c r="AF6296">
        <v>1</v>
      </c>
    </row>
    <row r="6297" spans="27:32" x14ac:dyDescent="0.3">
      <c r="AA6297" s="3">
        <v>19831.990000000002</v>
      </c>
      <c r="AB6297">
        <v>1E-4</v>
      </c>
      <c r="AC6297">
        <v>8</v>
      </c>
      <c r="AD6297" s="5">
        <v>5.1592734540545431</v>
      </c>
      <c r="AE6297" s="5">
        <v>2.2959376299896923</v>
      </c>
      <c r="AF6297">
        <v>1</v>
      </c>
    </row>
    <row r="6298" spans="27:32" x14ac:dyDescent="0.3">
      <c r="AA6298" s="3">
        <v>35608.129999999997</v>
      </c>
      <c r="AB6298">
        <v>1E-4</v>
      </c>
      <c r="AC6298">
        <v>7</v>
      </c>
      <c r="AD6298" s="5">
        <v>4.8974211000082306</v>
      </c>
      <c r="AE6298" s="5">
        <v>2.1569037510050668</v>
      </c>
      <c r="AF6298">
        <v>1</v>
      </c>
    </row>
    <row r="6299" spans="27:32" x14ac:dyDescent="0.3">
      <c r="AA6299" s="3">
        <v>11625.21</v>
      </c>
      <c r="AB6299">
        <v>1E-4</v>
      </c>
      <c r="AC6299">
        <v>8</v>
      </c>
      <c r="AD6299" s="5">
        <v>4.9027676617260578</v>
      </c>
      <c r="AE6299" s="5">
        <v>2.1079905614161087</v>
      </c>
      <c r="AF6299">
        <v>1</v>
      </c>
    </row>
    <row r="6300" spans="27:32" x14ac:dyDescent="0.3">
      <c r="AA6300" s="3">
        <v>13661.34</v>
      </c>
      <c r="AB6300">
        <v>1E-4</v>
      </c>
      <c r="AC6300">
        <v>8</v>
      </c>
      <c r="AD6300" s="5">
        <v>4.8878178638408514</v>
      </c>
      <c r="AE6300" s="5">
        <v>2.1932405847978771</v>
      </c>
      <c r="AF6300">
        <v>1</v>
      </c>
    </row>
    <row r="6301" spans="27:32" x14ac:dyDescent="0.3">
      <c r="AA6301" s="3">
        <v>45577.87</v>
      </c>
      <c r="AB6301">
        <v>1E-4</v>
      </c>
      <c r="AC6301">
        <v>7</v>
      </c>
      <c r="AD6301" s="5">
        <v>4.9814507354838033</v>
      </c>
      <c r="AE6301" s="5">
        <v>2.1361029901329078</v>
      </c>
      <c r="AF6301">
        <v>1</v>
      </c>
    </row>
    <row r="6302" spans="27:32" x14ac:dyDescent="0.3">
      <c r="AA6302" s="3">
        <v>15184.99</v>
      </c>
      <c r="AB6302">
        <v>1E-4</v>
      </c>
      <c r="AC6302">
        <v>8</v>
      </c>
      <c r="AD6302" s="5">
        <v>4.9710379485364067</v>
      </c>
      <c r="AE6302" s="5">
        <v>2.1875122959483488</v>
      </c>
      <c r="AF6302">
        <v>1</v>
      </c>
    </row>
    <row r="6303" spans="27:32" x14ac:dyDescent="0.3">
      <c r="AA6303" s="3">
        <v>23138.99</v>
      </c>
      <c r="AB6303">
        <v>1E-4</v>
      </c>
      <c r="AC6303">
        <v>8</v>
      </c>
      <c r="AD6303" s="5">
        <v>5.0415320521015703</v>
      </c>
      <c r="AE6303" s="5">
        <v>2.1788215235891597</v>
      </c>
      <c r="AF6303">
        <v>1</v>
      </c>
    </row>
    <row r="6304" spans="27:32" x14ac:dyDescent="0.3">
      <c r="AA6304" s="3">
        <v>21179.67</v>
      </c>
      <c r="AB6304">
        <v>1E-4</v>
      </c>
      <c r="AC6304">
        <v>8</v>
      </c>
      <c r="AD6304" s="5">
        <v>4.9351763426916282</v>
      </c>
      <c r="AE6304" s="5">
        <v>2.1659841826640958</v>
      </c>
      <c r="AF6304">
        <v>1</v>
      </c>
    </row>
    <row r="6305" spans="27:32" x14ac:dyDescent="0.3">
      <c r="AA6305" s="3">
        <v>16860.169999999998</v>
      </c>
      <c r="AB6305">
        <v>1E-4</v>
      </c>
      <c r="AC6305">
        <v>8</v>
      </c>
      <c r="AD6305" s="5">
        <v>5.0339226557879231</v>
      </c>
      <c r="AE6305" s="5">
        <v>2.1573830556323683</v>
      </c>
      <c r="AF6305">
        <v>1</v>
      </c>
    </row>
    <row r="6306" spans="27:32" x14ac:dyDescent="0.3">
      <c r="AA6306" s="3">
        <v>32876.589999999997</v>
      </c>
      <c r="AB6306">
        <v>1E-4</v>
      </c>
      <c r="AC6306">
        <v>7</v>
      </c>
      <c r="AD6306" s="5">
        <v>4.9398072958404367</v>
      </c>
      <c r="AE6306" s="5">
        <v>2.1977511243249106</v>
      </c>
      <c r="AF6306">
        <v>1</v>
      </c>
    </row>
    <row r="6307" spans="27:32" x14ac:dyDescent="0.3">
      <c r="AA6307" s="3">
        <v>17406.060000000001</v>
      </c>
      <c r="AB6307">
        <v>1E-4</v>
      </c>
      <c r="AC6307">
        <v>8</v>
      </c>
      <c r="AD6307" s="5">
        <v>5.0319843101039865</v>
      </c>
      <c r="AE6307" s="5">
        <v>2.2695281398931231</v>
      </c>
      <c r="AF6307">
        <v>1</v>
      </c>
    </row>
    <row r="6308" spans="27:32" x14ac:dyDescent="0.3">
      <c r="AA6308" s="3">
        <v>-8297.0499999999993</v>
      </c>
      <c r="AB6308">
        <v>1E-4</v>
      </c>
      <c r="AC6308">
        <v>9</v>
      </c>
      <c r="AD6308" s="5">
        <v>5.0191938215690985</v>
      </c>
      <c r="AE6308" s="5">
        <v>2.2698905201727326</v>
      </c>
      <c r="AF6308">
        <v>1</v>
      </c>
    </row>
    <row r="6309" spans="27:32" x14ac:dyDescent="0.3">
      <c r="AA6309" s="3">
        <v>15664.11</v>
      </c>
      <c r="AB6309">
        <v>1E-4</v>
      </c>
      <c r="AC6309">
        <v>8</v>
      </c>
      <c r="AD6309" s="5">
        <v>5.0000898120667197</v>
      </c>
      <c r="AE6309" s="5">
        <v>2.2253358384321369</v>
      </c>
      <c r="AF6309">
        <v>1</v>
      </c>
    </row>
    <row r="6310" spans="27:32" x14ac:dyDescent="0.3">
      <c r="AA6310" s="3">
        <v>34350.879999999997</v>
      </c>
      <c r="AB6310">
        <v>1E-4</v>
      </c>
      <c r="AC6310">
        <v>7</v>
      </c>
      <c r="AD6310" s="5">
        <v>5.0862796568335593</v>
      </c>
      <c r="AE6310" s="5">
        <v>2.1767740068749282</v>
      </c>
      <c r="AF6310">
        <v>1</v>
      </c>
    </row>
    <row r="6311" spans="27:32" x14ac:dyDescent="0.3">
      <c r="AA6311" s="3">
        <v>26542.48</v>
      </c>
      <c r="AB6311">
        <v>1E-4</v>
      </c>
      <c r="AC6311">
        <v>8</v>
      </c>
      <c r="AD6311" s="5">
        <v>4.9292688362164894</v>
      </c>
      <c r="AE6311" s="5">
        <v>2.2696662507518606</v>
      </c>
      <c r="AF6311">
        <v>1</v>
      </c>
    </row>
    <row r="6312" spans="27:32" x14ac:dyDescent="0.3">
      <c r="AA6312" s="3">
        <v>27469.15</v>
      </c>
      <c r="AB6312">
        <v>1E-4</v>
      </c>
      <c r="AC6312">
        <v>8</v>
      </c>
      <c r="AD6312" s="5">
        <v>5.0323759030444561</v>
      </c>
      <c r="AE6312" s="5">
        <v>2.1735253727189598</v>
      </c>
      <c r="AF6312">
        <v>1</v>
      </c>
    </row>
    <row r="6313" spans="27:32" x14ac:dyDescent="0.3">
      <c r="AA6313" s="3">
        <v>-2949.95</v>
      </c>
      <c r="AB6313">
        <v>1E-4</v>
      </c>
      <c r="AC6313">
        <v>9</v>
      </c>
      <c r="AD6313" s="5">
        <v>4.9679709478553988</v>
      </c>
      <c r="AE6313" s="5">
        <v>2.2573476980239375</v>
      </c>
      <c r="AF6313">
        <v>1</v>
      </c>
    </row>
    <row r="6314" spans="27:32" x14ac:dyDescent="0.3">
      <c r="AA6314" s="3">
        <v>5123.21</v>
      </c>
      <c r="AB6314">
        <v>1E-4</v>
      </c>
      <c r="AC6314">
        <v>8</v>
      </c>
      <c r="AD6314" s="5">
        <v>4.9701925270977476</v>
      </c>
      <c r="AE6314" s="5">
        <v>2.2334875147857978</v>
      </c>
      <c r="AF6314">
        <v>1</v>
      </c>
    </row>
    <row r="6315" spans="27:32" x14ac:dyDescent="0.3">
      <c r="AA6315" s="3">
        <v>23564.03</v>
      </c>
      <c r="AB6315">
        <v>1E-4</v>
      </c>
      <c r="AC6315">
        <v>8</v>
      </c>
      <c r="AD6315" s="5">
        <v>5.0322691319229458</v>
      </c>
      <c r="AE6315" s="5">
        <v>2.2029468687912415</v>
      </c>
      <c r="AF6315">
        <v>1</v>
      </c>
    </row>
    <row r="6316" spans="27:32" x14ac:dyDescent="0.3">
      <c r="AA6316" s="3">
        <v>17870.689999999999</v>
      </c>
      <c r="AB6316">
        <v>1E-4</v>
      </c>
      <c r="AC6316">
        <v>8</v>
      </c>
      <c r="AD6316" s="5">
        <v>4.953640501574756</v>
      </c>
      <c r="AE6316" s="5">
        <v>2.1398817897967128</v>
      </c>
      <c r="AF6316">
        <v>1</v>
      </c>
    </row>
    <row r="6317" spans="27:32" x14ac:dyDescent="0.3">
      <c r="AA6317" s="3">
        <v>-12840.2</v>
      </c>
      <c r="AB6317">
        <v>1E-4</v>
      </c>
      <c r="AC6317">
        <v>9</v>
      </c>
      <c r="AD6317" s="5">
        <v>4.9109879532141969</v>
      </c>
      <c r="AE6317" s="5">
        <v>2.2507528302775821</v>
      </c>
      <c r="AF6317">
        <v>1</v>
      </c>
    </row>
    <row r="6318" spans="27:32" x14ac:dyDescent="0.3">
      <c r="AA6318" s="3">
        <v>20002.169999999998</v>
      </c>
      <c r="AB6318">
        <v>1E-4</v>
      </c>
      <c r="AC6318">
        <v>8</v>
      </c>
      <c r="AD6318" s="5">
        <v>5.0760310037824645</v>
      </c>
      <c r="AE6318" s="5">
        <v>2.1865526327100486</v>
      </c>
      <c r="AF6318">
        <v>1</v>
      </c>
    </row>
    <row r="6319" spans="27:32" x14ac:dyDescent="0.3">
      <c r="AA6319" s="3">
        <v>182.51</v>
      </c>
      <c r="AB6319">
        <v>1E-4</v>
      </c>
      <c r="AC6319">
        <v>8</v>
      </c>
      <c r="AD6319" s="5">
        <v>4.9499901846735082</v>
      </c>
      <c r="AE6319" s="5">
        <v>2.241700888269627</v>
      </c>
      <c r="AF6319">
        <v>1</v>
      </c>
    </row>
    <row r="6320" spans="27:32" x14ac:dyDescent="0.3">
      <c r="AA6320" s="3">
        <v>-2624.11</v>
      </c>
      <c r="AB6320">
        <v>1E-4</v>
      </c>
      <c r="AC6320">
        <v>9</v>
      </c>
      <c r="AD6320" s="5">
        <v>5.0163811172855226</v>
      </c>
      <c r="AE6320" s="5">
        <v>2.3188774977529882</v>
      </c>
      <c r="AF6320">
        <v>1</v>
      </c>
    </row>
    <row r="6321" spans="27:32" x14ac:dyDescent="0.3">
      <c r="AA6321" s="3">
        <v>-36362.715610012696</v>
      </c>
      <c r="AB6321">
        <v>1E-4</v>
      </c>
      <c r="AC6321">
        <v>9</v>
      </c>
      <c r="AD6321" s="5">
        <v>5.0274369977148901</v>
      </c>
      <c r="AE6321" s="5">
        <v>2.1822728530611109</v>
      </c>
      <c r="AF6321">
        <v>0</v>
      </c>
    </row>
    <row r="6322" spans="27:32" x14ac:dyDescent="0.3">
      <c r="AA6322" s="3">
        <v>37313.26</v>
      </c>
      <c r="AB6322">
        <v>1E-4</v>
      </c>
      <c r="AC6322">
        <v>7</v>
      </c>
      <c r="AD6322" s="5">
        <v>4.9263833604222498</v>
      </c>
      <c r="AE6322" s="5">
        <v>2.1907497937053222</v>
      </c>
      <c r="AF6322">
        <v>1</v>
      </c>
    </row>
    <row r="6323" spans="27:32" x14ac:dyDescent="0.3">
      <c r="AA6323" s="3">
        <v>29520.02</v>
      </c>
      <c r="AB6323">
        <v>1E-4</v>
      </c>
      <c r="AC6323">
        <v>7</v>
      </c>
      <c r="AD6323" s="5">
        <v>4.8320223655021692</v>
      </c>
      <c r="AE6323" s="5">
        <v>2.1256474975262156</v>
      </c>
      <c r="AF6323">
        <v>1</v>
      </c>
    </row>
    <row r="6324" spans="27:32" x14ac:dyDescent="0.3">
      <c r="AA6324" s="3">
        <v>-10837.89</v>
      </c>
      <c r="AB6324">
        <v>1E-4</v>
      </c>
      <c r="AC6324">
        <v>9</v>
      </c>
      <c r="AD6324" s="5">
        <v>5.0238717946471176</v>
      </c>
      <c r="AE6324" s="5">
        <v>2.2787011309347371</v>
      </c>
      <c r="AF6324">
        <v>1</v>
      </c>
    </row>
    <row r="6325" spans="27:32" x14ac:dyDescent="0.3">
      <c r="AA6325" s="3">
        <v>4452.25</v>
      </c>
      <c r="AB6325">
        <v>1E-4</v>
      </c>
      <c r="AC6325">
        <v>8</v>
      </c>
      <c r="AD6325" s="5">
        <v>5.0112344440285224</v>
      </c>
      <c r="AE6325" s="5">
        <v>2.1689232275758261</v>
      </c>
      <c r="AF6325">
        <v>1</v>
      </c>
    </row>
    <row r="6326" spans="27:32" x14ac:dyDescent="0.3">
      <c r="AA6326" s="3">
        <v>35757.25</v>
      </c>
      <c r="AB6326">
        <v>1E-4</v>
      </c>
      <c r="AC6326">
        <v>7</v>
      </c>
      <c r="AD6326" s="5">
        <v>5.0483600101688495</v>
      </c>
      <c r="AE6326" s="5">
        <v>2.2099702922494071</v>
      </c>
      <c r="AF6326">
        <v>1</v>
      </c>
    </row>
    <row r="6327" spans="27:32" x14ac:dyDescent="0.3">
      <c r="AA6327" s="3">
        <v>9329.69</v>
      </c>
      <c r="AB6327">
        <v>1E-4</v>
      </c>
      <c r="AC6327">
        <v>8</v>
      </c>
      <c r="AD6327" s="5">
        <v>4.92291879611704</v>
      </c>
      <c r="AE6327" s="5">
        <v>2.2467113271821328</v>
      </c>
      <c r="AF6327">
        <v>1</v>
      </c>
    </row>
    <row r="6328" spans="27:32" x14ac:dyDescent="0.3">
      <c r="AA6328" s="3">
        <v>20237.5</v>
      </c>
      <c r="AB6328">
        <v>1E-4</v>
      </c>
      <c r="AC6328">
        <v>8</v>
      </c>
      <c r="AD6328" s="5">
        <v>4.9364280251438615</v>
      </c>
      <c r="AE6328" s="5">
        <v>2.2317913906904581</v>
      </c>
      <c r="AF6328">
        <v>1</v>
      </c>
    </row>
    <row r="6329" spans="27:32" x14ac:dyDescent="0.3">
      <c r="AA6329" s="3">
        <v>-3958.48</v>
      </c>
      <c r="AB6329">
        <v>1E-4</v>
      </c>
      <c r="AC6329">
        <v>9</v>
      </c>
      <c r="AD6329" s="5">
        <v>4.9189415960925009</v>
      </c>
      <c r="AE6329" s="5">
        <v>2.2294571436343809</v>
      </c>
      <c r="AF6329">
        <v>1</v>
      </c>
    </row>
    <row r="6330" spans="27:32" x14ac:dyDescent="0.3">
      <c r="AA6330" s="3">
        <v>22933.39</v>
      </c>
      <c r="AB6330">
        <v>1E-4</v>
      </c>
      <c r="AC6330">
        <v>8</v>
      </c>
      <c r="AD6330" s="5">
        <v>4.9740043079842984</v>
      </c>
      <c r="AE6330" s="5">
        <v>2.2628332386330245</v>
      </c>
      <c r="AF6330">
        <v>1</v>
      </c>
    </row>
    <row r="6331" spans="27:32" x14ac:dyDescent="0.3">
      <c r="AA6331" s="3">
        <v>23842.09</v>
      </c>
      <c r="AB6331">
        <v>1E-4</v>
      </c>
      <c r="AC6331">
        <v>8</v>
      </c>
      <c r="AD6331" s="5">
        <v>4.854863416173484</v>
      </c>
      <c r="AE6331" s="5">
        <v>2.1232827820805755</v>
      </c>
      <c r="AF6331">
        <v>1</v>
      </c>
    </row>
    <row r="6332" spans="27:32" x14ac:dyDescent="0.3">
      <c r="AA6332" s="3">
        <v>33965.21</v>
      </c>
      <c r="AB6332">
        <v>1E-4</v>
      </c>
      <c r="AC6332">
        <v>7</v>
      </c>
      <c r="AD6332" s="5">
        <v>4.8631219530476626</v>
      </c>
      <c r="AE6332" s="5">
        <v>2.1105874488225971</v>
      </c>
      <c r="AF6332">
        <v>1</v>
      </c>
    </row>
    <row r="6333" spans="27:32" x14ac:dyDescent="0.3">
      <c r="AA6333" s="3">
        <v>19167.98</v>
      </c>
      <c r="AB6333">
        <v>1E-4</v>
      </c>
      <c r="AC6333">
        <v>8</v>
      </c>
      <c r="AD6333" s="5">
        <v>4.9908804767974022</v>
      </c>
      <c r="AE6333" s="5">
        <v>2.2527588996634642</v>
      </c>
      <c r="AF6333">
        <v>1</v>
      </c>
    </row>
    <row r="6334" spans="27:32" x14ac:dyDescent="0.3">
      <c r="AA6334" s="3">
        <v>14384.87</v>
      </c>
      <c r="AB6334">
        <v>1E-4</v>
      </c>
      <c r="AC6334">
        <v>8</v>
      </c>
      <c r="AD6334" s="5">
        <v>4.9717844734379284</v>
      </c>
      <c r="AE6334" s="5">
        <v>2.1917904249858648</v>
      </c>
      <c r="AF6334">
        <v>1</v>
      </c>
    </row>
    <row r="6335" spans="27:32" x14ac:dyDescent="0.3">
      <c r="AA6335" s="3">
        <v>15461.02</v>
      </c>
      <c r="AB6335">
        <v>1E-4</v>
      </c>
      <c r="AC6335">
        <v>8</v>
      </c>
      <c r="AD6335" s="5">
        <v>4.9638125649671228</v>
      </c>
      <c r="AE6335" s="5">
        <v>2.2050999947427661</v>
      </c>
      <c r="AF6335">
        <v>1</v>
      </c>
    </row>
    <row r="6336" spans="27:32" x14ac:dyDescent="0.3">
      <c r="AA6336" s="3">
        <v>17517.98</v>
      </c>
      <c r="AB6336">
        <v>1E-4</v>
      </c>
      <c r="AC6336">
        <v>8</v>
      </c>
      <c r="AD6336" s="5">
        <v>4.839757248085399</v>
      </c>
      <c r="AE6336" s="5">
        <v>2.2905397839655262</v>
      </c>
      <c r="AF6336">
        <v>1</v>
      </c>
    </row>
    <row r="6337" spans="27:32" x14ac:dyDescent="0.3">
      <c r="AA6337" s="3">
        <v>20869.509999999998</v>
      </c>
      <c r="AB6337">
        <v>1E-4</v>
      </c>
      <c r="AC6337">
        <v>8</v>
      </c>
      <c r="AD6337" s="5">
        <v>5.0976516940206142</v>
      </c>
      <c r="AE6337" s="5">
        <v>2.2264883244923026</v>
      </c>
      <c r="AF6337">
        <v>1</v>
      </c>
    </row>
    <row r="6338" spans="27:32" x14ac:dyDescent="0.3">
      <c r="AA6338" s="3">
        <v>-2184</v>
      </c>
      <c r="AB6338">
        <v>1E-4</v>
      </c>
      <c r="AC6338">
        <v>9</v>
      </c>
      <c r="AD6338" s="5">
        <v>5.0307611523499718</v>
      </c>
      <c r="AE6338" s="5">
        <v>2.2692663556256356</v>
      </c>
      <c r="AF6338">
        <v>1</v>
      </c>
    </row>
    <row r="6339" spans="27:32" x14ac:dyDescent="0.3">
      <c r="AA6339" s="3">
        <v>25524.92</v>
      </c>
      <c r="AB6339">
        <v>1E-4</v>
      </c>
      <c r="AC6339">
        <v>8</v>
      </c>
      <c r="AD6339" s="5">
        <v>5.0790847517622177</v>
      </c>
      <c r="AE6339" s="5">
        <v>2.0844537323807666</v>
      </c>
      <c r="AF6339">
        <v>1</v>
      </c>
    </row>
    <row r="6340" spans="27:32" x14ac:dyDescent="0.3">
      <c r="AA6340" s="3">
        <v>-20369.150000000001</v>
      </c>
      <c r="AB6340">
        <v>1E-4</v>
      </c>
      <c r="AC6340">
        <v>9</v>
      </c>
      <c r="AD6340" s="5">
        <v>4.9661202157781066</v>
      </c>
      <c r="AE6340" s="5">
        <v>2.217899968777199</v>
      </c>
      <c r="AF6340">
        <v>1</v>
      </c>
    </row>
    <row r="6341" spans="27:32" x14ac:dyDescent="0.3">
      <c r="AA6341" s="3">
        <v>26778.799999999999</v>
      </c>
      <c r="AB6341">
        <v>1E-4</v>
      </c>
      <c r="AC6341">
        <v>8</v>
      </c>
      <c r="AD6341" s="5">
        <v>4.7572420273533167</v>
      </c>
      <c r="AE6341" s="5">
        <v>2.2261018878071792</v>
      </c>
      <c r="AF6341">
        <v>1</v>
      </c>
    </row>
    <row r="6342" spans="27:32" x14ac:dyDescent="0.3">
      <c r="AA6342" s="3">
        <v>5772.07</v>
      </c>
      <c r="AB6342">
        <v>1E-4</v>
      </c>
      <c r="AC6342">
        <v>8</v>
      </c>
      <c r="AD6342" s="5">
        <v>5.0457511757767577</v>
      </c>
      <c r="AE6342" s="5">
        <v>2.2059425318856936</v>
      </c>
      <c r="AF6342">
        <v>1</v>
      </c>
    </row>
    <row r="6343" spans="27:32" x14ac:dyDescent="0.3">
      <c r="AA6343" s="3">
        <v>31035.82</v>
      </c>
      <c r="AB6343">
        <v>1E-4</v>
      </c>
      <c r="AC6343">
        <v>7</v>
      </c>
      <c r="AD6343" s="5">
        <v>5.0281895236899077</v>
      </c>
      <c r="AE6343" s="5">
        <v>2.157561448492737</v>
      </c>
      <c r="AF6343">
        <v>1</v>
      </c>
    </row>
    <row r="6344" spans="27:32" x14ac:dyDescent="0.3">
      <c r="AA6344" s="3">
        <v>28790.799999999999</v>
      </c>
      <c r="AB6344">
        <v>1E-4</v>
      </c>
      <c r="AC6344">
        <v>8</v>
      </c>
      <c r="AD6344" s="5">
        <v>4.9857393379474244</v>
      </c>
      <c r="AE6344" s="5">
        <v>2.197791766561572</v>
      </c>
      <c r="AF6344">
        <v>1</v>
      </c>
    </row>
    <row r="6345" spans="27:32" x14ac:dyDescent="0.3">
      <c r="AA6345" s="3">
        <v>-6648.22</v>
      </c>
      <c r="AB6345">
        <v>1E-4</v>
      </c>
      <c r="AC6345">
        <v>9</v>
      </c>
      <c r="AD6345" s="5">
        <v>4.820540944906119</v>
      </c>
      <c r="AE6345" s="5">
        <v>2.2092308937473231</v>
      </c>
      <c r="AF6345">
        <v>1</v>
      </c>
    </row>
    <row r="6346" spans="27:32" x14ac:dyDescent="0.3">
      <c r="AA6346" s="3">
        <v>32243.15</v>
      </c>
      <c r="AB6346">
        <v>1E-4</v>
      </c>
      <c r="AC6346">
        <v>7</v>
      </c>
      <c r="AD6346" s="5">
        <v>5.157789475582895</v>
      </c>
      <c r="AE6346" s="5">
        <v>2.2488655084955567</v>
      </c>
      <c r="AF6346">
        <v>1</v>
      </c>
    </row>
    <row r="6347" spans="27:32" x14ac:dyDescent="0.3">
      <c r="AA6347" s="3">
        <v>22346.05</v>
      </c>
      <c r="AB6347">
        <v>1E-4</v>
      </c>
      <c r="AC6347">
        <v>8</v>
      </c>
      <c r="AD6347" s="5">
        <v>5.1124818448396088</v>
      </c>
      <c r="AE6347" s="5">
        <v>2.2288993607882399</v>
      </c>
      <c r="AF6347">
        <v>1</v>
      </c>
    </row>
    <row r="6348" spans="27:32" x14ac:dyDescent="0.3">
      <c r="AA6348" s="3">
        <v>39295.22</v>
      </c>
      <c r="AB6348">
        <v>1E-4</v>
      </c>
      <c r="AC6348">
        <v>7</v>
      </c>
      <c r="AD6348" s="5">
        <v>5.0441379676030156</v>
      </c>
      <c r="AE6348" s="5">
        <v>2.1547923266152482</v>
      </c>
      <c r="AF6348">
        <v>1</v>
      </c>
    </row>
    <row r="6349" spans="27:32" x14ac:dyDescent="0.3">
      <c r="AA6349" s="3">
        <v>37133.26</v>
      </c>
      <c r="AB6349">
        <v>1E-4</v>
      </c>
      <c r="AC6349">
        <v>7</v>
      </c>
      <c r="AD6349" s="5">
        <v>4.9100065500537617</v>
      </c>
      <c r="AE6349" s="5">
        <v>2.1319739044235182</v>
      </c>
      <c r="AF6349">
        <v>1</v>
      </c>
    </row>
    <row r="6350" spans="27:32" x14ac:dyDescent="0.3">
      <c r="AA6350" s="3">
        <v>33795.910000000003</v>
      </c>
      <c r="AB6350">
        <v>1E-4</v>
      </c>
      <c r="AC6350">
        <v>7</v>
      </c>
      <c r="AD6350" s="5">
        <v>5.0827637735658451</v>
      </c>
      <c r="AE6350" s="5">
        <v>2.1753500186625954</v>
      </c>
      <c r="AF6350">
        <v>1</v>
      </c>
    </row>
    <row r="6351" spans="27:32" x14ac:dyDescent="0.3">
      <c r="AA6351" s="3">
        <v>20414.349999999999</v>
      </c>
      <c r="AB6351">
        <v>1E-4</v>
      </c>
      <c r="AC6351">
        <v>8</v>
      </c>
      <c r="AD6351" s="5">
        <v>4.9887668254598836</v>
      </c>
      <c r="AE6351" s="5">
        <v>2.1749646827022109</v>
      </c>
      <c r="AF6351">
        <v>1</v>
      </c>
    </row>
    <row r="6352" spans="27:32" x14ac:dyDescent="0.3">
      <c r="AA6352" s="3">
        <v>22133.06</v>
      </c>
      <c r="AB6352">
        <v>1E-4</v>
      </c>
      <c r="AC6352">
        <v>8</v>
      </c>
      <c r="AD6352" s="5">
        <v>5.0504011453497721</v>
      </c>
      <c r="AE6352" s="5">
        <v>2.2749410805440635</v>
      </c>
      <c r="AF6352">
        <v>1</v>
      </c>
    </row>
    <row r="6353" spans="27:32" x14ac:dyDescent="0.3">
      <c r="AA6353" s="3">
        <v>13923.47</v>
      </c>
      <c r="AB6353">
        <v>1E-4</v>
      </c>
      <c r="AC6353">
        <v>8</v>
      </c>
      <c r="AD6353" s="5">
        <v>5.0056798807742933</v>
      </c>
      <c r="AE6353" s="5">
        <v>2.2301058767504989</v>
      </c>
      <c r="AF6353">
        <v>1</v>
      </c>
    </row>
    <row r="6354" spans="27:32" x14ac:dyDescent="0.3">
      <c r="AA6354" s="3">
        <v>19945.77</v>
      </c>
      <c r="AB6354">
        <v>1E-4</v>
      </c>
      <c r="AC6354">
        <v>8</v>
      </c>
      <c r="AD6354" s="5">
        <v>5.0367494048807506</v>
      </c>
      <c r="AE6354" s="5">
        <v>2.2272314295348852</v>
      </c>
      <c r="AF6354">
        <v>1</v>
      </c>
    </row>
    <row r="6355" spans="27:32" x14ac:dyDescent="0.3">
      <c r="AA6355" s="3">
        <v>29795.37</v>
      </c>
      <c r="AB6355">
        <v>1E-4</v>
      </c>
      <c r="AC6355">
        <v>8</v>
      </c>
      <c r="AD6355" s="5">
        <v>5.0052272971089868</v>
      </c>
      <c r="AE6355" s="5">
        <v>2.1860790540635149</v>
      </c>
      <c r="AF6355">
        <v>1</v>
      </c>
    </row>
    <row r="6356" spans="27:32" x14ac:dyDescent="0.3">
      <c r="AA6356" s="3">
        <v>34722.14</v>
      </c>
      <c r="AB6356">
        <v>1E-4</v>
      </c>
      <c r="AC6356">
        <v>7</v>
      </c>
      <c r="AD6356" s="5">
        <v>4.9173421742615471</v>
      </c>
      <c r="AE6356" s="5">
        <v>2.2636715854880953</v>
      </c>
      <c r="AF6356">
        <v>1</v>
      </c>
    </row>
    <row r="6357" spans="27:32" x14ac:dyDescent="0.3">
      <c r="AA6357" s="3">
        <v>9559.73</v>
      </c>
      <c r="AB6357">
        <v>1E-4</v>
      </c>
      <c r="AC6357">
        <v>8</v>
      </c>
      <c r="AD6357" s="5">
        <v>4.9556302667969216</v>
      </c>
      <c r="AE6357" s="5">
        <v>2.2647064812386319</v>
      </c>
      <c r="AF6357">
        <v>1</v>
      </c>
    </row>
    <row r="6358" spans="27:32" x14ac:dyDescent="0.3">
      <c r="AA6358" s="3">
        <v>5250.796276590052</v>
      </c>
      <c r="AB6358">
        <v>1E-4</v>
      </c>
      <c r="AC6358">
        <v>8</v>
      </c>
      <c r="AD6358" s="5">
        <v>5.0446016120524284</v>
      </c>
      <c r="AE6358" s="5">
        <v>2.0655791763228923</v>
      </c>
      <c r="AF6358">
        <v>0</v>
      </c>
    </row>
    <row r="6359" spans="27:32" x14ac:dyDescent="0.3">
      <c r="AA6359" s="3">
        <v>66975.8</v>
      </c>
      <c r="AB6359">
        <v>1E-4</v>
      </c>
      <c r="AC6359">
        <v>6</v>
      </c>
      <c r="AD6359" s="5">
        <v>5.1142549357592673</v>
      </c>
      <c r="AE6359" s="5">
        <v>2.1801009290880113</v>
      </c>
      <c r="AF6359">
        <v>1</v>
      </c>
    </row>
    <row r="6360" spans="27:32" x14ac:dyDescent="0.3">
      <c r="AA6360" s="3">
        <v>35505.08</v>
      </c>
      <c r="AB6360">
        <v>1E-4</v>
      </c>
      <c r="AC6360">
        <v>7</v>
      </c>
      <c r="AD6360" s="5">
        <v>4.9227385651949334</v>
      </c>
      <c r="AE6360" s="5">
        <v>2.2284437581681424</v>
      </c>
      <c r="AF6360">
        <v>1</v>
      </c>
    </row>
    <row r="6361" spans="27:32" x14ac:dyDescent="0.3">
      <c r="AA6361" s="3">
        <v>-2492.38</v>
      </c>
      <c r="AB6361">
        <v>1E-4</v>
      </c>
      <c r="AC6361">
        <v>9</v>
      </c>
      <c r="AD6361" s="5">
        <v>4.8966649263356405</v>
      </c>
      <c r="AE6361" s="5">
        <v>2.1349905002653613</v>
      </c>
      <c r="AF6361">
        <v>1</v>
      </c>
    </row>
    <row r="6362" spans="27:32" x14ac:dyDescent="0.3">
      <c r="AA6362" s="3">
        <v>10240.67</v>
      </c>
      <c r="AB6362">
        <v>1E-4</v>
      </c>
      <c r="AC6362">
        <v>8</v>
      </c>
      <c r="AD6362" s="5">
        <v>4.8712343649432253</v>
      </c>
      <c r="AE6362" s="5">
        <v>2.2482935739191445</v>
      </c>
      <c r="AF6362">
        <v>1</v>
      </c>
    </row>
    <row r="6363" spans="27:32" x14ac:dyDescent="0.3">
      <c r="AA6363" s="3">
        <v>54471.86</v>
      </c>
      <c r="AB6363">
        <v>1E-4</v>
      </c>
      <c r="AC6363">
        <v>6</v>
      </c>
      <c r="AD6363" s="5">
        <v>5.055805647200402</v>
      </c>
      <c r="AE6363" s="5">
        <v>2.1621325305274222</v>
      </c>
      <c r="AF6363">
        <v>1</v>
      </c>
    </row>
    <row r="6364" spans="27:32" x14ac:dyDescent="0.3">
      <c r="AA6364" s="3">
        <v>12958.3</v>
      </c>
      <c r="AB6364">
        <v>1E-4</v>
      </c>
      <c r="AC6364">
        <v>8</v>
      </c>
      <c r="AD6364" s="5">
        <v>4.9688888775632174</v>
      </c>
      <c r="AE6364" s="5">
        <v>2.2217342097429564</v>
      </c>
      <c r="AF6364">
        <v>1</v>
      </c>
    </row>
    <row r="6365" spans="27:32" x14ac:dyDescent="0.3">
      <c r="AA6365" s="3">
        <v>-797.33</v>
      </c>
      <c r="AB6365">
        <v>1E-4</v>
      </c>
      <c r="AC6365">
        <v>9</v>
      </c>
      <c r="AD6365" s="5">
        <v>4.9473954592326113</v>
      </c>
      <c r="AE6365" s="5">
        <v>2.2298810812730583</v>
      </c>
      <c r="AF6365">
        <v>1</v>
      </c>
    </row>
    <row r="6366" spans="27:32" x14ac:dyDescent="0.3">
      <c r="AA6366" s="3">
        <v>15456.46</v>
      </c>
      <c r="AB6366">
        <v>1E-4</v>
      </c>
      <c r="AC6366">
        <v>8</v>
      </c>
      <c r="AD6366" s="5">
        <v>5.0794682612429725</v>
      </c>
      <c r="AE6366" s="5">
        <v>2.1749449377554497</v>
      </c>
      <c r="AF6366">
        <v>1</v>
      </c>
    </row>
    <row r="6367" spans="27:32" x14ac:dyDescent="0.3">
      <c r="AA6367" s="3">
        <v>-11754.02</v>
      </c>
      <c r="AB6367">
        <v>1E-4</v>
      </c>
      <c r="AC6367">
        <v>9</v>
      </c>
      <c r="AD6367" s="5">
        <v>4.8536429475628005</v>
      </c>
      <c r="AE6367" s="5">
        <v>2.2479165052941323</v>
      </c>
      <c r="AF6367">
        <v>1</v>
      </c>
    </row>
    <row r="6368" spans="27:32" x14ac:dyDescent="0.3">
      <c r="AA6368" s="3">
        <v>9672.7999999999993</v>
      </c>
      <c r="AB6368">
        <v>1E-4</v>
      </c>
      <c r="AC6368">
        <v>8</v>
      </c>
      <c r="AD6368" s="5">
        <v>5.072156935928283</v>
      </c>
      <c r="AE6368" s="5">
        <v>2.1471865322375465</v>
      </c>
      <c r="AF6368">
        <v>1</v>
      </c>
    </row>
    <row r="6369" spans="27:32" x14ac:dyDescent="0.3">
      <c r="AA6369" s="3">
        <v>15771.91</v>
      </c>
      <c r="AB6369">
        <v>1E-4</v>
      </c>
      <c r="AC6369">
        <v>8</v>
      </c>
      <c r="AD6369" s="5">
        <v>5.1614541344767169</v>
      </c>
      <c r="AE6369" s="5">
        <v>2.1485928833646004</v>
      </c>
      <c r="AF6369">
        <v>1</v>
      </c>
    </row>
    <row r="6370" spans="27:32" x14ac:dyDescent="0.3">
      <c r="AA6370" s="3">
        <v>27301.94</v>
      </c>
      <c r="AB6370">
        <v>1E-4</v>
      </c>
      <c r="AC6370">
        <v>8</v>
      </c>
      <c r="AD6370" s="5">
        <v>4.8289075396297196</v>
      </c>
      <c r="AE6370" s="5">
        <v>2.1080924972735762</v>
      </c>
      <c r="AF6370">
        <v>1</v>
      </c>
    </row>
    <row r="6371" spans="27:32" x14ac:dyDescent="0.3">
      <c r="AA6371" s="3">
        <v>3620.56</v>
      </c>
      <c r="AB6371">
        <v>1E-4</v>
      </c>
      <c r="AC6371">
        <v>8</v>
      </c>
      <c r="AD6371" s="5">
        <v>4.856873965929009</v>
      </c>
      <c r="AE6371" s="5">
        <v>2.2310715621353112</v>
      </c>
      <c r="AF6371">
        <v>1</v>
      </c>
    </row>
    <row r="6372" spans="27:32" x14ac:dyDescent="0.3">
      <c r="AA6372" s="3">
        <v>31211.45</v>
      </c>
      <c r="AB6372">
        <v>1E-4</v>
      </c>
      <c r="AC6372">
        <v>7</v>
      </c>
      <c r="AD6372" s="5">
        <v>5.0496326596794257</v>
      </c>
      <c r="AE6372" s="5">
        <v>2.2199622736339042</v>
      </c>
      <c r="AF6372">
        <v>1</v>
      </c>
    </row>
    <row r="6373" spans="27:32" x14ac:dyDescent="0.3">
      <c r="AA6373" s="3">
        <v>5540.87</v>
      </c>
      <c r="AB6373">
        <v>1E-4</v>
      </c>
      <c r="AC6373">
        <v>8</v>
      </c>
      <c r="AD6373" s="5">
        <v>5.1423407231481857</v>
      </c>
      <c r="AE6373" s="5">
        <v>2.2142332010611985</v>
      </c>
      <c r="AF6373">
        <v>1</v>
      </c>
    </row>
    <row r="6374" spans="27:32" x14ac:dyDescent="0.3">
      <c r="AA6374" s="3">
        <v>18233.21</v>
      </c>
      <c r="AB6374">
        <v>1E-4</v>
      </c>
      <c r="AC6374">
        <v>8</v>
      </c>
      <c r="AD6374" s="5">
        <v>5.017633179105176</v>
      </c>
      <c r="AE6374" s="5">
        <v>2.2187946871200652</v>
      </c>
      <c r="AF6374">
        <v>1</v>
      </c>
    </row>
    <row r="6375" spans="27:32" x14ac:dyDescent="0.3">
      <c r="AA6375" s="3">
        <v>48232.28</v>
      </c>
      <c r="AB6375">
        <v>1E-4</v>
      </c>
      <c r="AC6375">
        <v>6</v>
      </c>
      <c r="AD6375" s="5">
        <v>5.078374556752582</v>
      </c>
      <c r="AE6375" s="5">
        <v>2.1663897929956915</v>
      </c>
      <c r="AF6375">
        <v>1</v>
      </c>
    </row>
    <row r="6376" spans="27:32" x14ac:dyDescent="0.3">
      <c r="AA6376" s="3">
        <v>23242.59</v>
      </c>
      <c r="AB6376">
        <v>1E-4</v>
      </c>
      <c r="AC6376">
        <v>8</v>
      </c>
      <c r="AD6376" s="5">
        <v>5.0337857769097027</v>
      </c>
      <c r="AE6376" s="5">
        <v>2.2543295228321116</v>
      </c>
      <c r="AF6376">
        <v>1</v>
      </c>
    </row>
    <row r="6377" spans="27:32" x14ac:dyDescent="0.3">
      <c r="AA6377" s="3">
        <v>42750.239999999998</v>
      </c>
      <c r="AB6377">
        <v>1E-4</v>
      </c>
      <c r="AC6377">
        <v>7</v>
      </c>
      <c r="AD6377" s="5">
        <v>5.117082357497595</v>
      </c>
      <c r="AE6377" s="5">
        <v>2.1434342046422663</v>
      </c>
      <c r="AF6377">
        <v>1</v>
      </c>
    </row>
    <row r="6378" spans="27:32" x14ac:dyDescent="0.3">
      <c r="AA6378" s="3">
        <v>-3327</v>
      </c>
      <c r="AB6378">
        <v>1E-4</v>
      </c>
      <c r="AC6378">
        <v>9</v>
      </c>
      <c r="AD6378" s="5">
        <v>5.0677132208315792</v>
      </c>
      <c r="AE6378" s="5">
        <v>2.1511921904849607</v>
      </c>
      <c r="AF6378">
        <v>1</v>
      </c>
    </row>
    <row r="6379" spans="27:32" x14ac:dyDescent="0.3">
      <c r="AA6379" s="3">
        <v>26685.279999999999</v>
      </c>
      <c r="AB6379">
        <v>1E-4</v>
      </c>
      <c r="AC6379">
        <v>8</v>
      </c>
      <c r="AD6379" s="5">
        <v>5.1168172219835872</v>
      </c>
      <c r="AE6379" s="5">
        <v>2.2648226816518289</v>
      </c>
      <c r="AF6379">
        <v>1</v>
      </c>
    </row>
    <row r="6380" spans="27:32" x14ac:dyDescent="0.3">
      <c r="AA6380" s="3">
        <v>-43484.381551616425</v>
      </c>
      <c r="AB6380">
        <v>1E-4</v>
      </c>
      <c r="AC6380">
        <v>9</v>
      </c>
      <c r="AD6380" s="5">
        <v>4.8132522181906117</v>
      </c>
      <c r="AE6380" s="5">
        <v>2.1161971159705608</v>
      </c>
      <c r="AF6380">
        <v>0</v>
      </c>
    </row>
    <row r="6381" spans="27:32" x14ac:dyDescent="0.3">
      <c r="AA6381" s="3">
        <v>44481.47</v>
      </c>
      <c r="AB6381">
        <v>1E-4</v>
      </c>
      <c r="AC6381">
        <v>7</v>
      </c>
      <c r="AD6381" s="5">
        <v>5.1144882618298189</v>
      </c>
      <c r="AE6381" s="5">
        <v>2.1766982946368048</v>
      </c>
      <c r="AF6381">
        <v>1</v>
      </c>
    </row>
    <row r="6382" spans="27:32" x14ac:dyDescent="0.3">
      <c r="AA6382" s="3">
        <v>19992.64</v>
      </c>
      <c r="AB6382">
        <v>1E-4</v>
      </c>
      <c r="AC6382">
        <v>8</v>
      </c>
      <c r="AD6382" s="5">
        <v>5.0878753726497825</v>
      </c>
      <c r="AE6382" s="5">
        <v>2.2558646167771577</v>
      </c>
      <c r="AF6382">
        <v>1</v>
      </c>
    </row>
    <row r="6383" spans="27:32" x14ac:dyDescent="0.3">
      <c r="AA6383" s="3">
        <v>26387.65</v>
      </c>
      <c r="AB6383">
        <v>1E-4</v>
      </c>
      <c r="AC6383">
        <v>8</v>
      </c>
      <c r="AD6383" s="5">
        <v>4.900205473500165</v>
      </c>
      <c r="AE6383" s="5">
        <v>2.2387275164659286</v>
      </c>
      <c r="AF6383">
        <v>1</v>
      </c>
    </row>
    <row r="6384" spans="27:32" x14ac:dyDescent="0.3">
      <c r="AA6384" s="3">
        <v>34675.949999999997</v>
      </c>
      <c r="AB6384">
        <v>1E-4</v>
      </c>
      <c r="AC6384">
        <v>7</v>
      </c>
      <c r="AD6384" s="5">
        <v>5.0899402676584087</v>
      </c>
      <c r="AE6384" s="5">
        <v>2.1597012926059782</v>
      </c>
      <c r="AF6384">
        <v>1</v>
      </c>
    </row>
    <row r="6385" spans="27:32" x14ac:dyDescent="0.3">
      <c r="AA6385" s="3">
        <v>-15891.55634621537</v>
      </c>
      <c r="AB6385">
        <v>1E-4</v>
      </c>
      <c r="AC6385">
        <v>8</v>
      </c>
      <c r="AD6385" s="5">
        <v>4.9994586009717112</v>
      </c>
      <c r="AE6385" s="5">
        <v>2.1992915456690341</v>
      </c>
      <c r="AF6385">
        <v>0</v>
      </c>
    </row>
    <row r="6386" spans="27:32" x14ac:dyDescent="0.3">
      <c r="AA6386" s="3">
        <v>15900.29</v>
      </c>
      <c r="AB6386">
        <v>1E-4</v>
      </c>
      <c r="AC6386">
        <v>8</v>
      </c>
      <c r="AD6386" s="5">
        <v>5.0822789572822344</v>
      </c>
      <c r="AE6386" s="5">
        <v>2.1200894046377039</v>
      </c>
      <c r="AF6386">
        <v>1</v>
      </c>
    </row>
    <row r="6387" spans="27:32" x14ac:dyDescent="0.3">
      <c r="AA6387" s="3">
        <v>18371.349999999999</v>
      </c>
      <c r="AB6387">
        <v>1E-4</v>
      </c>
      <c r="AC6387">
        <v>8</v>
      </c>
      <c r="AD6387" s="5">
        <v>4.9885843173190514</v>
      </c>
      <c r="AE6387" s="5">
        <v>2.2352439166946616</v>
      </c>
      <c r="AF6387">
        <v>1</v>
      </c>
    </row>
    <row r="6388" spans="27:32" x14ac:dyDescent="0.3">
      <c r="AA6388" s="3">
        <v>20867.18</v>
      </c>
      <c r="AB6388">
        <v>1E-4</v>
      </c>
      <c r="AC6388">
        <v>8</v>
      </c>
      <c r="AD6388" s="5">
        <v>5.017356973517721</v>
      </c>
      <c r="AE6388" s="5">
        <v>2.196392462782665</v>
      </c>
      <c r="AF6388">
        <v>1</v>
      </c>
    </row>
    <row r="6389" spans="27:32" x14ac:dyDescent="0.3">
      <c r="AA6389" s="3">
        <v>16182.2</v>
      </c>
      <c r="AB6389">
        <v>1E-4</v>
      </c>
      <c r="AC6389">
        <v>8</v>
      </c>
      <c r="AD6389" s="5">
        <v>4.9577865235729996</v>
      </c>
      <c r="AE6389" s="5">
        <v>2.1850630997421274</v>
      </c>
      <c r="AF6389">
        <v>1</v>
      </c>
    </row>
    <row r="6390" spans="27:32" x14ac:dyDescent="0.3">
      <c r="AA6390" s="3">
        <v>33896.400000000001</v>
      </c>
      <c r="AB6390">
        <v>1E-4</v>
      </c>
      <c r="AC6390">
        <v>7</v>
      </c>
      <c r="AD6390" s="5">
        <v>5.0987611753493631</v>
      </c>
      <c r="AE6390" s="5">
        <v>2.1918753145686938</v>
      </c>
      <c r="AF6390">
        <v>1</v>
      </c>
    </row>
    <row r="6391" spans="27:32" x14ac:dyDescent="0.3">
      <c r="AA6391" s="3">
        <v>20206.330000000002</v>
      </c>
      <c r="AB6391">
        <v>1E-4</v>
      </c>
      <c r="AC6391">
        <v>8</v>
      </c>
      <c r="AD6391" s="5">
        <v>4.920898858341376</v>
      </c>
      <c r="AE6391" s="5">
        <v>2.1955709085141129</v>
      </c>
      <c r="AF6391">
        <v>1</v>
      </c>
    </row>
    <row r="6392" spans="27:32" x14ac:dyDescent="0.3">
      <c r="AA6392" s="3">
        <v>4513.74</v>
      </c>
      <c r="AB6392">
        <v>1E-4</v>
      </c>
      <c r="AC6392">
        <v>8</v>
      </c>
      <c r="AD6392" s="5">
        <v>4.9127285924177349</v>
      </c>
      <c r="AE6392" s="5">
        <v>2.1469660225655685</v>
      </c>
      <c r="AF6392">
        <v>1</v>
      </c>
    </row>
    <row r="6393" spans="27:32" x14ac:dyDescent="0.3">
      <c r="AA6393" s="3">
        <v>25505.91</v>
      </c>
      <c r="AB6393">
        <v>1E-4</v>
      </c>
      <c r="AC6393">
        <v>7</v>
      </c>
      <c r="AD6393" s="5">
        <v>4.935802261403718</v>
      </c>
      <c r="AE6393" s="5">
        <v>2.1544010068445152</v>
      </c>
      <c r="AF6393">
        <v>1</v>
      </c>
    </row>
    <row r="6394" spans="27:32" x14ac:dyDescent="0.3">
      <c r="AA6394" s="3">
        <v>12319.32</v>
      </c>
      <c r="AB6394">
        <v>1E-4</v>
      </c>
      <c r="AC6394">
        <v>8</v>
      </c>
      <c r="AD6394" s="5">
        <v>5.1301802286768456</v>
      </c>
      <c r="AE6394" s="5">
        <v>2.2041006505769953</v>
      </c>
      <c r="AF6394">
        <v>1</v>
      </c>
    </row>
    <row r="6395" spans="27:32" x14ac:dyDescent="0.3">
      <c r="AA6395" s="3">
        <v>-40199.351320938484</v>
      </c>
      <c r="AB6395">
        <v>1E-4</v>
      </c>
      <c r="AC6395">
        <v>9</v>
      </c>
      <c r="AD6395" s="5">
        <v>4.8175070615108879</v>
      </c>
      <c r="AE6395" s="5">
        <v>2.2580912332864091</v>
      </c>
      <c r="AF6395">
        <v>0</v>
      </c>
    </row>
    <row r="6396" spans="27:32" x14ac:dyDescent="0.3">
      <c r="AA6396" s="3">
        <v>21472.73</v>
      </c>
      <c r="AB6396">
        <v>1E-4</v>
      </c>
      <c r="AC6396">
        <v>8</v>
      </c>
      <c r="AD6396" s="5">
        <v>5.0954509987409677</v>
      </c>
      <c r="AE6396" s="5">
        <v>2.287729366732381</v>
      </c>
      <c r="AF6396">
        <v>1</v>
      </c>
    </row>
    <row r="6397" spans="27:32" x14ac:dyDescent="0.3">
      <c r="AA6397" s="3">
        <v>21580.560000000001</v>
      </c>
      <c r="AB6397">
        <v>1E-4</v>
      </c>
      <c r="AC6397">
        <v>8</v>
      </c>
      <c r="AD6397" s="5">
        <v>4.8551290117777031</v>
      </c>
      <c r="AE6397" s="5">
        <v>2.1214726354990714</v>
      </c>
      <c r="AF6397">
        <v>1</v>
      </c>
    </row>
    <row r="6398" spans="27:32" x14ac:dyDescent="0.3">
      <c r="AA6398" s="3">
        <v>40608.449999999997</v>
      </c>
      <c r="AB6398">
        <v>1E-4</v>
      </c>
      <c r="AC6398">
        <v>7</v>
      </c>
      <c r="AD6398" s="5">
        <v>5.0514073063024476</v>
      </c>
      <c r="AE6398" s="5">
        <v>2.1851002651181046</v>
      </c>
      <c r="AF6398">
        <v>1</v>
      </c>
    </row>
    <row r="6399" spans="27:32" x14ac:dyDescent="0.3">
      <c r="AA6399" s="3">
        <v>13329.82</v>
      </c>
      <c r="AB6399">
        <v>1E-4</v>
      </c>
      <c r="AC6399">
        <v>8</v>
      </c>
      <c r="AD6399" s="5">
        <v>5.0076969391715487</v>
      </c>
      <c r="AE6399" s="5">
        <v>2.1299746238711803</v>
      </c>
      <c r="AF6399">
        <v>1</v>
      </c>
    </row>
    <row r="6400" spans="27:32" x14ac:dyDescent="0.3">
      <c r="AA6400" s="3">
        <v>35381.83</v>
      </c>
      <c r="AB6400">
        <v>1E-4</v>
      </c>
      <c r="AC6400">
        <v>7</v>
      </c>
      <c r="AD6400" s="5">
        <v>5.0079222693122034</v>
      </c>
      <c r="AE6400" s="5">
        <v>2.1666163826889311</v>
      </c>
      <c r="AF6400">
        <v>1</v>
      </c>
    </row>
    <row r="6401" spans="27:32" x14ac:dyDescent="0.3">
      <c r="AA6401" s="3">
        <v>681.98</v>
      </c>
      <c r="AB6401">
        <v>1E-4</v>
      </c>
      <c r="AC6401">
        <v>8</v>
      </c>
      <c r="AD6401" s="5">
        <v>4.8901861481361424</v>
      </c>
      <c r="AE6401" s="5">
        <v>2.1896441550090935</v>
      </c>
      <c r="AF6401">
        <v>1</v>
      </c>
    </row>
    <row r="6402" spans="27:32" x14ac:dyDescent="0.3">
      <c r="AA6402" s="3">
        <v>13253.41</v>
      </c>
      <c r="AB6402">
        <v>1E-4</v>
      </c>
      <c r="AC6402">
        <v>8</v>
      </c>
      <c r="AD6402" s="5">
        <v>5.0742134360334061</v>
      </c>
      <c r="AE6402" s="5">
        <v>2.2591120700652274</v>
      </c>
      <c r="AF6402">
        <v>1</v>
      </c>
    </row>
    <row r="6403" spans="27:32" x14ac:dyDescent="0.3">
      <c r="AA6403" s="3">
        <v>12969.18</v>
      </c>
      <c r="AB6403">
        <v>1E-4</v>
      </c>
      <c r="AC6403">
        <v>8</v>
      </c>
      <c r="AD6403" s="5">
        <v>4.9795883984335338</v>
      </c>
      <c r="AE6403" s="5">
        <v>2.2072636289070031</v>
      </c>
      <c r="AF6403">
        <v>1</v>
      </c>
    </row>
    <row r="6404" spans="27:32" x14ac:dyDescent="0.3">
      <c r="AA6404" s="3">
        <v>10032.23</v>
      </c>
      <c r="AB6404">
        <v>1E-4</v>
      </c>
      <c r="AC6404">
        <v>8</v>
      </c>
      <c r="AD6404" s="5">
        <v>5.1509760325521805</v>
      </c>
      <c r="AE6404" s="5">
        <v>2.2098288590812234</v>
      </c>
      <c r="AF6404">
        <v>1</v>
      </c>
    </row>
    <row r="6405" spans="27:32" x14ac:dyDescent="0.3">
      <c r="AA6405" s="3">
        <v>16327.81</v>
      </c>
      <c r="AB6405">
        <v>1E-4</v>
      </c>
      <c r="AC6405">
        <v>8</v>
      </c>
      <c r="AD6405" s="5">
        <v>5.1215632141310952</v>
      </c>
      <c r="AE6405" s="5">
        <v>2.2956486128510227</v>
      </c>
      <c r="AF6405">
        <v>1</v>
      </c>
    </row>
    <row r="6406" spans="27:32" x14ac:dyDescent="0.3">
      <c r="AA6406" s="3">
        <v>4852.58</v>
      </c>
      <c r="AB6406">
        <v>1E-4</v>
      </c>
      <c r="AC6406">
        <v>8</v>
      </c>
      <c r="AD6406" s="5">
        <v>4.9478474347716235</v>
      </c>
      <c r="AE6406" s="5">
        <v>2.1781096164053664</v>
      </c>
      <c r="AF6406">
        <v>1</v>
      </c>
    </row>
    <row r="6407" spans="27:32" x14ac:dyDescent="0.3">
      <c r="AA6407" s="3">
        <v>12733.19</v>
      </c>
      <c r="AB6407">
        <v>1E-4</v>
      </c>
      <c r="AC6407">
        <v>8</v>
      </c>
      <c r="AD6407" s="5">
        <v>5.0496189225532371</v>
      </c>
      <c r="AE6407" s="5">
        <v>2.1733674550509776</v>
      </c>
      <c r="AF6407">
        <v>1</v>
      </c>
    </row>
    <row r="6408" spans="27:32" x14ac:dyDescent="0.3">
      <c r="AA6408" s="3">
        <v>10638.7</v>
      </c>
      <c r="AB6408">
        <v>1E-4</v>
      </c>
      <c r="AC6408">
        <v>8</v>
      </c>
      <c r="AD6408" s="5">
        <v>4.9887820340493585</v>
      </c>
      <c r="AE6408" s="5">
        <v>2.2746567456588611</v>
      </c>
      <c r="AF6408">
        <v>1</v>
      </c>
    </row>
    <row r="6409" spans="27:32" x14ac:dyDescent="0.3">
      <c r="AA6409" s="3">
        <v>6813.94</v>
      </c>
      <c r="AB6409">
        <v>1E-4</v>
      </c>
      <c r="AC6409">
        <v>8</v>
      </c>
      <c r="AD6409" s="5">
        <v>4.9849309195534586</v>
      </c>
      <c r="AE6409" s="5">
        <v>2.2329164390224658</v>
      </c>
      <c r="AF6409">
        <v>1</v>
      </c>
    </row>
    <row r="6410" spans="27:32" x14ac:dyDescent="0.3">
      <c r="AA6410" s="3">
        <v>10483.93</v>
      </c>
      <c r="AB6410">
        <v>1E-4</v>
      </c>
      <c r="AC6410">
        <v>8</v>
      </c>
      <c r="AD6410" s="5">
        <v>4.8053810212289356</v>
      </c>
      <c r="AE6410" s="5">
        <v>2.1483264195394352</v>
      </c>
      <c r="AF6410">
        <v>1</v>
      </c>
    </row>
    <row r="6411" spans="27:32" x14ac:dyDescent="0.3">
      <c r="AA6411" s="3">
        <v>-5876.78</v>
      </c>
      <c r="AB6411">
        <v>1E-4</v>
      </c>
      <c r="AC6411">
        <v>9</v>
      </c>
      <c r="AD6411" s="5">
        <v>4.9229878542675181</v>
      </c>
      <c r="AE6411" s="5">
        <v>2.1975676568903135</v>
      </c>
      <c r="AF6411">
        <v>1</v>
      </c>
    </row>
    <row r="6412" spans="27:32" x14ac:dyDescent="0.3">
      <c r="AA6412" s="3">
        <v>-18526.86</v>
      </c>
      <c r="AB6412">
        <v>1E-4</v>
      </c>
      <c r="AC6412">
        <v>9</v>
      </c>
      <c r="AD6412" s="5">
        <v>4.9652764459032035</v>
      </c>
      <c r="AE6412" s="5">
        <v>2.2811344091355301</v>
      </c>
      <c r="AF6412">
        <v>1</v>
      </c>
    </row>
    <row r="6413" spans="27:32" x14ac:dyDescent="0.3">
      <c r="AA6413" s="3">
        <v>-10327.17</v>
      </c>
      <c r="AB6413">
        <v>1E-4</v>
      </c>
      <c r="AC6413">
        <v>9</v>
      </c>
      <c r="AD6413" s="5">
        <v>4.8651064866176563</v>
      </c>
      <c r="AE6413" s="5">
        <v>2.1334364180983973</v>
      </c>
      <c r="AF6413">
        <v>1</v>
      </c>
    </row>
    <row r="6414" spans="27:32" x14ac:dyDescent="0.3">
      <c r="AA6414" s="3">
        <v>-13553.66</v>
      </c>
      <c r="AB6414">
        <v>1E-4</v>
      </c>
      <c r="AC6414">
        <v>9</v>
      </c>
      <c r="AD6414" s="5">
        <v>4.7188229843330571</v>
      </c>
      <c r="AE6414" s="5">
        <v>2.1179460398320691</v>
      </c>
      <c r="AF6414">
        <v>1</v>
      </c>
    </row>
    <row r="6415" spans="27:32" x14ac:dyDescent="0.3">
      <c r="AA6415" s="3">
        <v>-1930.51</v>
      </c>
      <c r="AB6415">
        <v>1E-4</v>
      </c>
      <c r="AC6415">
        <v>9</v>
      </c>
      <c r="AD6415" s="5">
        <v>4.9012193475171406</v>
      </c>
      <c r="AE6415" s="5">
        <v>2.2643045406353028</v>
      </c>
      <c r="AF6415">
        <v>1</v>
      </c>
    </row>
    <row r="6416" spans="27:32" x14ac:dyDescent="0.3">
      <c r="AA6416" s="3">
        <v>8328.85</v>
      </c>
      <c r="AB6416">
        <v>1E-4</v>
      </c>
      <c r="AC6416">
        <v>8</v>
      </c>
      <c r="AD6416" s="5">
        <v>4.9571670303131254</v>
      </c>
      <c r="AE6416" s="5">
        <v>2.214788443854204</v>
      </c>
      <c r="AF6416">
        <v>1</v>
      </c>
    </row>
    <row r="6417" spans="27:32" x14ac:dyDescent="0.3">
      <c r="AA6417" s="3">
        <v>-6405.01</v>
      </c>
      <c r="AB6417">
        <v>1E-4</v>
      </c>
      <c r="AC6417">
        <v>9</v>
      </c>
      <c r="AD6417" s="5">
        <v>4.7450941908955873</v>
      </c>
      <c r="AE6417" s="5">
        <v>2.1638504381566559</v>
      </c>
      <c r="AF6417">
        <v>1</v>
      </c>
    </row>
    <row r="6418" spans="27:32" x14ac:dyDescent="0.3">
      <c r="AA6418" s="3">
        <v>33914.93</v>
      </c>
      <c r="AB6418">
        <v>1E-4</v>
      </c>
      <c r="AC6418">
        <v>7</v>
      </c>
      <c r="AD6418" s="5">
        <v>5.0319052607762496</v>
      </c>
      <c r="AE6418" s="5">
        <v>2.1271397879986598</v>
      </c>
      <c r="AF6418">
        <v>1</v>
      </c>
    </row>
    <row r="6419" spans="27:32" x14ac:dyDescent="0.3">
      <c r="AA6419" s="3">
        <v>-2744.5</v>
      </c>
      <c r="AB6419">
        <v>1E-4</v>
      </c>
      <c r="AC6419">
        <v>9</v>
      </c>
      <c r="AD6419" s="5">
        <v>4.9402723682508043</v>
      </c>
      <c r="AE6419" s="5">
        <v>2.185193490392257</v>
      </c>
      <c r="AF6419">
        <v>1</v>
      </c>
    </row>
    <row r="6420" spans="27:32" x14ac:dyDescent="0.3">
      <c r="AA6420" s="3">
        <v>23593.59</v>
      </c>
      <c r="AB6420">
        <v>1E-4</v>
      </c>
      <c r="AC6420">
        <v>8</v>
      </c>
      <c r="AD6420" s="5">
        <v>5.1899546234529561</v>
      </c>
      <c r="AE6420" s="5">
        <v>2.2186706348105809</v>
      </c>
      <c r="AF6420">
        <v>1</v>
      </c>
    </row>
    <row r="6421" spans="27:32" x14ac:dyDescent="0.3">
      <c r="AA6421" s="3">
        <v>-57321.635072172052</v>
      </c>
      <c r="AB6421">
        <v>1E-4</v>
      </c>
      <c r="AC6421">
        <v>9</v>
      </c>
      <c r="AD6421" s="5">
        <v>5.0014938835457228</v>
      </c>
      <c r="AE6421" s="5">
        <v>2.1216152354082545</v>
      </c>
      <c r="AF6421">
        <v>0</v>
      </c>
    </row>
    <row r="6422" spans="27:32" x14ac:dyDescent="0.3">
      <c r="AA6422" s="3">
        <v>10713.68</v>
      </c>
      <c r="AB6422">
        <v>1E-4</v>
      </c>
      <c r="AC6422">
        <v>8</v>
      </c>
      <c r="AD6422" s="5">
        <v>4.907117215417407</v>
      </c>
      <c r="AE6422" s="5">
        <v>2.2555385431264181</v>
      </c>
      <c r="AF6422">
        <v>1</v>
      </c>
    </row>
    <row r="6423" spans="27:32" x14ac:dyDescent="0.3">
      <c r="AA6423" s="3">
        <v>-26390.92812955947</v>
      </c>
      <c r="AB6423">
        <v>1E-4</v>
      </c>
      <c r="AC6423">
        <v>9</v>
      </c>
      <c r="AD6423" s="5">
        <v>4.965253434983202</v>
      </c>
      <c r="AE6423" s="5">
        <v>2.1525687296443552</v>
      </c>
      <c r="AF6423">
        <v>0</v>
      </c>
    </row>
    <row r="6424" spans="27:32" x14ac:dyDescent="0.3">
      <c r="AA6424" s="3">
        <v>9649.94</v>
      </c>
      <c r="AB6424">
        <v>1E-4</v>
      </c>
      <c r="AC6424">
        <v>8</v>
      </c>
      <c r="AD6424" s="5">
        <v>5.0145595487609853</v>
      </c>
      <c r="AE6424" s="5">
        <v>2.1453959190456051</v>
      </c>
      <c r="AF6424">
        <v>1</v>
      </c>
    </row>
    <row r="6425" spans="27:32" x14ac:dyDescent="0.3">
      <c r="AA6425" s="3">
        <v>6225.02</v>
      </c>
      <c r="AB6425">
        <v>1E-4</v>
      </c>
      <c r="AC6425">
        <v>8</v>
      </c>
      <c r="AD6425" s="5">
        <v>4.9723564659220836</v>
      </c>
      <c r="AE6425" s="5">
        <v>2.1982453236260757</v>
      </c>
      <c r="AF6425">
        <v>1</v>
      </c>
    </row>
    <row r="6426" spans="27:32" x14ac:dyDescent="0.3">
      <c r="AA6426" s="3">
        <v>5115.8</v>
      </c>
      <c r="AB6426">
        <v>1E-4</v>
      </c>
      <c r="AC6426">
        <v>8</v>
      </c>
      <c r="AD6426" s="5">
        <v>4.8507636306830877</v>
      </c>
      <c r="AE6426" s="5">
        <v>2.2189162741445165</v>
      </c>
      <c r="AF6426">
        <v>1</v>
      </c>
    </row>
    <row r="6427" spans="27:32" x14ac:dyDescent="0.3">
      <c r="AA6427" s="3">
        <v>31276.54</v>
      </c>
      <c r="AB6427">
        <v>1E-4</v>
      </c>
      <c r="AC6427">
        <v>7</v>
      </c>
      <c r="AD6427" s="5">
        <v>5.0181698582832039</v>
      </c>
      <c r="AE6427" s="5">
        <v>2.2536067621549933</v>
      </c>
      <c r="AF6427">
        <v>1</v>
      </c>
    </row>
    <row r="6428" spans="27:32" x14ac:dyDescent="0.3">
      <c r="AA6428" s="3">
        <v>7485.57</v>
      </c>
      <c r="AB6428">
        <v>1E-4</v>
      </c>
      <c r="AC6428">
        <v>8</v>
      </c>
      <c r="AD6428" s="5">
        <v>5.010629828709912</v>
      </c>
      <c r="AE6428" s="5">
        <v>2.2748150423062414</v>
      </c>
      <c r="AF6428">
        <v>1</v>
      </c>
    </row>
    <row r="6429" spans="27:32" x14ac:dyDescent="0.3">
      <c r="AA6429" s="3">
        <v>14776.48</v>
      </c>
      <c r="AB6429">
        <v>1E-4</v>
      </c>
      <c r="AC6429">
        <v>8</v>
      </c>
      <c r="AD6429" s="5">
        <v>5.1414086135778359</v>
      </c>
      <c r="AE6429" s="5">
        <v>2.2551313189498319</v>
      </c>
      <c r="AF6429">
        <v>1</v>
      </c>
    </row>
    <row r="6430" spans="27:32" x14ac:dyDescent="0.3">
      <c r="AA6430" s="3">
        <v>94.09</v>
      </c>
      <c r="AB6430">
        <v>1E-4</v>
      </c>
      <c r="AC6430">
        <v>8</v>
      </c>
      <c r="AD6430" s="5">
        <v>4.9796612662162403</v>
      </c>
      <c r="AE6430" s="5">
        <v>2.2651208960213607</v>
      </c>
      <c r="AF6430">
        <v>1</v>
      </c>
    </row>
    <row r="6431" spans="27:32" x14ac:dyDescent="0.3">
      <c r="AA6431" s="3">
        <v>8106.83</v>
      </c>
      <c r="AB6431">
        <v>1E-4</v>
      </c>
      <c r="AC6431">
        <v>8</v>
      </c>
      <c r="AD6431" s="5">
        <v>4.9332395285090396</v>
      </c>
      <c r="AE6431" s="5">
        <v>2.1354211449603917</v>
      </c>
      <c r="AF6431">
        <v>1</v>
      </c>
    </row>
    <row r="6432" spans="27:32" x14ac:dyDescent="0.3">
      <c r="AA6432" s="3">
        <v>-27432.41</v>
      </c>
      <c r="AB6432">
        <v>1E-4</v>
      </c>
      <c r="AC6432">
        <v>9</v>
      </c>
      <c r="AD6432" s="5">
        <v>4.9523205150883927</v>
      </c>
      <c r="AE6432" s="5">
        <v>2.2196286282027171</v>
      </c>
      <c r="AF6432">
        <v>1</v>
      </c>
    </row>
    <row r="6433" spans="27:32" x14ac:dyDescent="0.3">
      <c r="AA6433" s="3">
        <v>5926.39</v>
      </c>
      <c r="AB6433">
        <v>1E-4</v>
      </c>
      <c r="AC6433">
        <v>8</v>
      </c>
      <c r="AD6433" s="5">
        <v>5.0797335889172341</v>
      </c>
      <c r="AE6433" s="5">
        <v>2.254569669798276</v>
      </c>
      <c r="AF6433">
        <v>1</v>
      </c>
    </row>
    <row r="6434" spans="27:32" x14ac:dyDescent="0.3">
      <c r="AA6434" s="3">
        <v>15614.06</v>
      </c>
      <c r="AB6434">
        <v>1E-4</v>
      </c>
      <c r="AC6434">
        <v>8</v>
      </c>
      <c r="AD6434" s="5">
        <v>4.9076091057292883</v>
      </c>
      <c r="AE6434" s="5">
        <v>2.2045359621649565</v>
      </c>
      <c r="AF6434">
        <v>1</v>
      </c>
    </row>
    <row r="6435" spans="27:32" x14ac:dyDescent="0.3">
      <c r="AA6435" s="3">
        <v>51111.16</v>
      </c>
      <c r="AB6435">
        <v>1E-4</v>
      </c>
      <c r="AC6435">
        <v>6</v>
      </c>
      <c r="AD6435" s="5">
        <v>5.1228597281105079</v>
      </c>
      <c r="AE6435" s="5">
        <v>2.1539791376745794</v>
      </c>
      <c r="AF6435">
        <v>1</v>
      </c>
    </row>
    <row r="6436" spans="27:32" x14ac:dyDescent="0.3">
      <c r="AA6436" s="3">
        <v>4870.7700000000004</v>
      </c>
      <c r="AB6436">
        <v>1E-4</v>
      </c>
      <c r="AC6436">
        <v>8</v>
      </c>
      <c r="AD6436" s="5">
        <v>4.9123484355985294</v>
      </c>
      <c r="AE6436" s="5">
        <v>2.2728712648465894</v>
      </c>
      <c r="AF6436">
        <v>1</v>
      </c>
    </row>
    <row r="6437" spans="27:32" x14ac:dyDescent="0.3">
      <c r="AA6437" s="3">
        <v>21666.11</v>
      </c>
      <c r="AB6437">
        <v>1E-4</v>
      </c>
      <c r="AC6437">
        <v>8</v>
      </c>
      <c r="AD6437" s="5">
        <v>4.9461539732561857</v>
      </c>
      <c r="AE6437" s="5">
        <v>2.1864906701892264</v>
      </c>
      <c r="AF6437">
        <v>1</v>
      </c>
    </row>
    <row r="6438" spans="27:32" x14ac:dyDescent="0.3">
      <c r="AA6438" s="3">
        <v>-2607.7199999999998</v>
      </c>
      <c r="AB6438">
        <v>1E-4</v>
      </c>
      <c r="AC6438">
        <v>9</v>
      </c>
      <c r="AD6438" s="5">
        <v>5.0296455562251756</v>
      </c>
      <c r="AE6438" s="5">
        <v>2.1824557225346215</v>
      </c>
      <c r="AF6438">
        <v>1</v>
      </c>
    </row>
    <row r="6439" spans="27:32" x14ac:dyDescent="0.3">
      <c r="AA6439" s="3">
        <v>56439.37</v>
      </c>
      <c r="AB6439">
        <v>1E-4</v>
      </c>
      <c r="AC6439">
        <v>6</v>
      </c>
      <c r="AD6439" s="5">
        <v>4.9812221377680075</v>
      </c>
      <c r="AE6439" s="5">
        <v>2.1301296200274042</v>
      </c>
      <c r="AF6439">
        <v>1</v>
      </c>
    </row>
    <row r="6440" spans="27:32" x14ac:dyDescent="0.3">
      <c r="AA6440" s="3">
        <v>977.51</v>
      </c>
      <c r="AB6440">
        <v>1E-4</v>
      </c>
      <c r="AC6440">
        <v>8</v>
      </c>
      <c r="AD6440" s="5">
        <v>4.9893874297967313</v>
      </c>
      <c r="AE6440" s="5">
        <v>2.2291176729190942</v>
      </c>
      <c r="AF6440">
        <v>1</v>
      </c>
    </row>
    <row r="6441" spans="27:32" x14ac:dyDescent="0.3">
      <c r="AA6441" s="3">
        <v>25653.5</v>
      </c>
      <c r="AB6441">
        <v>1E-4</v>
      </c>
      <c r="AC6441">
        <v>8</v>
      </c>
      <c r="AD6441" s="5">
        <v>5.094341424269885</v>
      </c>
      <c r="AE6441" s="5">
        <v>2.1646358564491441</v>
      </c>
      <c r="AF6441">
        <v>1</v>
      </c>
    </row>
    <row r="6442" spans="27:32" x14ac:dyDescent="0.3">
      <c r="AA6442" s="3">
        <v>8615.92</v>
      </c>
      <c r="AB6442">
        <v>1E-4</v>
      </c>
      <c r="AC6442">
        <v>8</v>
      </c>
      <c r="AD6442" s="5">
        <v>4.9651496526818635</v>
      </c>
      <c r="AE6442" s="5">
        <v>2.1846376839291715</v>
      </c>
      <c r="AF6442">
        <v>1</v>
      </c>
    </row>
    <row r="6443" spans="27:32" x14ac:dyDescent="0.3">
      <c r="AA6443" s="3">
        <v>-4707.75</v>
      </c>
      <c r="AB6443">
        <v>1E-4</v>
      </c>
      <c r="AC6443">
        <v>9</v>
      </c>
      <c r="AD6443" s="5">
        <v>4.930104179316988</v>
      </c>
      <c r="AE6443" s="5">
        <v>2.2424292674437596</v>
      </c>
      <c r="AF6443">
        <v>1</v>
      </c>
    </row>
    <row r="6444" spans="27:32" x14ac:dyDescent="0.3">
      <c r="AA6444" s="3">
        <v>-6005.58</v>
      </c>
      <c r="AB6444">
        <v>1E-4</v>
      </c>
      <c r="AC6444">
        <v>9</v>
      </c>
      <c r="AD6444" s="5">
        <v>4.9688895799655013</v>
      </c>
      <c r="AE6444" s="5">
        <v>2.2332660135148426</v>
      </c>
      <c r="AF6444">
        <v>1</v>
      </c>
    </row>
    <row r="6445" spans="27:32" x14ac:dyDescent="0.3">
      <c r="AA6445" s="3">
        <v>29610.85</v>
      </c>
      <c r="AB6445">
        <v>1E-4</v>
      </c>
      <c r="AC6445">
        <v>7</v>
      </c>
      <c r="AD6445" s="5">
        <v>4.9566300606581946</v>
      </c>
      <c r="AE6445" s="5">
        <v>2.2081804570141212</v>
      </c>
      <c r="AF6445">
        <v>1</v>
      </c>
    </row>
    <row r="6446" spans="27:32" x14ac:dyDescent="0.3">
      <c r="AA6446" s="3">
        <v>37936.559999999998</v>
      </c>
      <c r="AB6446">
        <v>1E-4</v>
      </c>
      <c r="AC6446">
        <v>7</v>
      </c>
      <c r="AD6446" s="5">
        <v>5.061629866198758</v>
      </c>
      <c r="AE6446" s="5">
        <v>2.2107729996042718</v>
      </c>
      <c r="AF6446">
        <v>1</v>
      </c>
    </row>
    <row r="6447" spans="27:32" x14ac:dyDescent="0.3">
      <c r="AA6447" s="3">
        <v>10627.21</v>
      </c>
      <c r="AB6447">
        <v>1E-4</v>
      </c>
      <c r="AC6447">
        <v>8</v>
      </c>
      <c r="AD6447" s="5">
        <v>4.9765629686611694</v>
      </c>
      <c r="AE6447" s="5">
        <v>2.2500396573086747</v>
      </c>
      <c r="AF6447">
        <v>1</v>
      </c>
    </row>
    <row r="6448" spans="27:32" x14ac:dyDescent="0.3">
      <c r="AA6448" s="3">
        <v>28182.03</v>
      </c>
      <c r="AB6448">
        <v>1E-4</v>
      </c>
      <c r="AC6448">
        <v>8</v>
      </c>
      <c r="AD6448" s="5">
        <v>4.9419888605456181</v>
      </c>
      <c r="AE6448" s="5">
        <v>2.2189547485604737</v>
      </c>
      <c r="AF6448">
        <v>1</v>
      </c>
    </row>
    <row r="6449" spans="27:32" x14ac:dyDescent="0.3">
      <c r="AA6449" s="3">
        <v>49190.01</v>
      </c>
      <c r="AB6449">
        <v>1E-4</v>
      </c>
      <c r="AC6449">
        <v>7</v>
      </c>
      <c r="AD6449" s="5">
        <v>5.0786890757372589</v>
      </c>
      <c r="AE6449" s="5">
        <v>2.1850311106347862</v>
      </c>
      <c r="AF6449">
        <v>1</v>
      </c>
    </row>
    <row r="6450" spans="27:32" x14ac:dyDescent="0.3">
      <c r="AA6450" s="3">
        <v>61799.78</v>
      </c>
      <c r="AB6450">
        <v>1E-4</v>
      </c>
      <c r="AC6450">
        <v>6</v>
      </c>
      <c r="AD6450" s="5">
        <v>5.1167886179086723</v>
      </c>
      <c r="AE6450" s="5">
        <v>2.1445305913729507</v>
      </c>
      <c r="AF6450">
        <v>1</v>
      </c>
    </row>
    <row r="6451" spans="27:32" x14ac:dyDescent="0.3">
      <c r="AA6451" s="3">
        <v>2078.34</v>
      </c>
      <c r="AB6451">
        <v>1E-4</v>
      </c>
      <c r="AC6451">
        <v>8</v>
      </c>
      <c r="AD6451" s="5">
        <v>5.0280303875338275</v>
      </c>
      <c r="AE6451" s="5">
        <v>2.2160621281244621</v>
      </c>
      <c r="AF6451">
        <v>1</v>
      </c>
    </row>
    <row r="6452" spans="27:32" x14ac:dyDescent="0.3">
      <c r="AA6452" s="3">
        <v>181.44</v>
      </c>
      <c r="AB6452">
        <v>1E-4</v>
      </c>
      <c r="AC6452">
        <v>8</v>
      </c>
      <c r="AD6452" s="5">
        <v>5.0223770110934502</v>
      </c>
      <c r="AE6452" s="5">
        <v>2.1869510844548046</v>
      </c>
      <c r="AF6452">
        <v>1</v>
      </c>
    </row>
    <row r="6453" spans="27:32" x14ac:dyDescent="0.3">
      <c r="AA6453" s="3">
        <v>32649.82</v>
      </c>
      <c r="AB6453">
        <v>1E-4</v>
      </c>
      <c r="AC6453">
        <v>7</v>
      </c>
      <c r="AD6453" s="5">
        <v>5.1481900809681074</v>
      </c>
      <c r="AE6453" s="5">
        <v>2.250177295638792</v>
      </c>
      <c r="AF6453">
        <v>1</v>
      </c>
    </row>
    <row r="6454" spans="27:32" x14ac:dyDescent="0.3">
      <c r="AA6454" s="3">
        <v>15562.59</v>
      </c>
      <c r="AB6454">
        <v>1E-4</v>
      </c>
      <c r="AC6454">
        <v>8</v>
      </c>
      <c r="AD6454" s="5">
        <v>4.9324706031647478</v>
      </c>
      <c r="AE6454" s="5">
        <v>2.2002537295782774</v>
      </c>
      <c r="AF6454">
        <v>1</v>
      </c>
    </row>
    <row r="6455" spans="27:32" x14ac:dyDescent="0.3">
      <c r="AA6455" s="3">
        <v>7576.44</v>
      </c>
      <c r="AB6455">
        <v>1E-4</v>
      </c>
      <c r="AC6455">
        <v>8</v>
      </c>
      <c r="AD6455" s="5">
        <v>5.068763849124883</v>
      </c>
      <c r="AE6455" s="5">
        <v>2.2217983496876736</v>
      </c>
      <c r="AF6455">
        <v>1</v>
      </c>
    </row>
    <row r="6456" spans="27:32" x14ac:dyDescent="0.3">
      <c r="AA6456" s="3">
        <v>-7071.6081788617303</v>
      </c>
      <c r="AB6456">
        <v>1E-4</v>
      </c>
      <c r="AC6456">
        <v>8</v>
      </c>
      <c r="AD6456" s="5">
        <v>5.0351162253085198</v>
      </c>
      <c r="AE6456" s="5">
        <v>2.1512720022675542</v>
      </c>
      <c r="AF6456">
        <v>0</v>
      </c>
    </row>
    <row r="6457" spans="27:32" x14ac:dyDescent="0.3">
      <c r="AA6457" s="3">
        <v>32437.81</v>
      </c>
      <c r="AB6457">
        <v>1E-4</v>
      </c>
      <c r="AC6457">
        <v>7</v>
      </c>
      <c r="AD6457" s="5">
        <v>5.09758552653597</v>
      </c>
      <c r="AE6457" s="5">
        <v>2.1816768013277112</v>
      </c>
      <c r="AF6457">
        <v>1</v>
      </c>
    </row>
    <row r="6458" spans="27:32" x14ac:dyDescent="0.3">
      <c r="AA6458" s="3">
        <v>26346.26</v>
      </c>
      <c r="AB6458">
        <v>1E-4</v>
      </c>
      <c r="AC6458">
        <v>8</v>
      </c>
      <c r="AD6458" s="5">
        <v>5.0541868506489713</v>
      </c>
      <c r="AE6458" s="5">
        <v>2.1972923102341766</v>
      </c>
      <c r="AF6458">
        <v>1</v>
      </c>
    </row>
    <row r="6459" spans="27:32" x14ac:dyDescent="0.3">
      <c r="AA6459" s="3">
        <v>9874.5300000000007</v>
      </c>
      <c r="AB6459">
        <v>1E-4</v>
      </c>
      <c r="AC6459">
        <v>8</v>
      </c>
      <c r="AD6459" s="5">
        <v>4.9114106593477249</v>
      </c>
      <c r="AE6459" s="5">
        <v>2.2400191557812601</v>
      </c>
      <c r="AF6459">
        <v>1</v>
      </c>
    </row>
    <row r="6460" spans="27:32" x14ac:dyDescent="0.3">
      <c r="AA6460" s="3">
        <v>27254.43</v>
      </c>
      <c r="AB6460">
        <v>1E-4</v>
      </c>
      <c r="AC6460">
        <v>8</v>
      </c>
      <c r="AD6460" s="5">
        <v>5.1476088615011228</v>
      </c>
      <c r="AE6460" s="5">
        <v>2.1999334559990453</v>
      </c>
      <c r="AF6460">
        <v>1</v>
      </c>
    </row>
    <row r="6461" spans="27:32" x14ac:dyDescent="0.3">
      <c r="AA6461" s="3">
        <v>17693.43</v>
      </c>
      <c r="AB6461">
        <v>1E-4</v>
      </c>
      <c r="AC6461">
        <v>8</v>
      </c>
      <c r="AD6461" s="5">
        <v>4.8733089274502657</v>
      </c>
      <c r="AE6461" s="5">
        <v>2.2084224461086146</v>
      </c>
      <c r="AF6461">
        <v>1</v>
      </c>
    </row>
    <row r="6462" spans="27:32" x14ac:dyDescent="0.3">
      <c r="AA6462" s="3">
        <v>30251.63</v>
      </c>
      <c r="AB6462">
        <v>1E-4</v>
      </c>
      <c r="AC6462">
        <v>8</v>
      </c>
      <c r="AD6462" s="5">
        <v>5.1587892255251617</v>
      </c>
      <c r="AE6462" s="5">
        <v>2.1861173289744986</v>
      </c>
      <c r="AF6462">
        <v>1</v>
      </c>
    </row>
    <row r="6463" spans="27:32" x14ac:dyDescent="0.3">
      <c r="AA6463" s="3">
        <v>51773.82</v>
      </c>
      <c r="AB6463">
        <v>1E-4</v>
      </c>
      <c r="AC6463">
        <v>6</v>
      </c>
      <c r="AD6463" s="5">
        <v>5.177306408903033</v>
      </c>
      <c r="AE6463" s="5">
        <v>2.1666519232971875</v>
      </c>
      <c r="AF6463">
        <v>1</v>
      </c>
    </row>
    <row r="6464" spans="27:32" x14ac:dyDescent="0.3">
      <c r="AA6464" s="3">
        <v>6860.26</v>
      </c>
      <c r="AB6464">
        <v>1E-4</v>
      </c>
      <c r="AC6464">
        <v>8</v>
      </c>
      <c r="AD6464" s="5">
        <v>5.0475399757468811</v>
      </c>
      <c r="AE6464" s="5">
        <v>2.1859703131994088</v>
      </c>
      <c r="AF6464">
        <v>1</v>
      </c>
    </row>
    <row r="6465" spans="27:32" x14ac:dyDescent="0.3">
      <c r="AA6465" s="3">
        <v>37507.74</v>
      </c>
      <c r="AB6465">
        <v>1E-4</v>
      </c>
      <c r="AC6465">
        <v>7</v>
      </c>
      <c r="AD6465" s="5">
        <v>5.0742430755839916</v>
      </c>
      <c r="AE6465" s="5">
        <v>2.1618491954013548</v>
      </c>
      <c r="AF6465">
        <v>1</v>
      </c>
    </row>
    <row r="6466" spans="27:32" x14ac:dyDescent="0.3">
      <c r="AA6466" s="3">
        <v>38552.75</v>
      </c>
      <c r="AB6466">
        <v>1E-4</v>
      </c>
      <c r="AC6466">
        <v>7</v>
      </c>
      <c r="AD6466" s="5">
        <v>5.0549924764047862</v>
      </c>
      <c r="AE6466" s="5">
        <v>2.2382891627972477</v>
      </c>
      <c r="AF6466">
        <v>1</v>
      </c>
    </row>
    <row r="6467" spans="27:32" x14ac:dyDescent="0.3">
      <c r="AA6467" s="3">
        <v>13322.3</v>
      </c>
      <c r="AB6467">
        <v>1E-4</v>
      </c>
      <c r="AC6467">
        <v>8</v>
      </c>
      <c r="AD6467" s="5">
        <v>4.8978518494990855</v>
      </c>
      <c r="AE6467" s="5">
        <v>2.2292635448148905</v>
      </c>
      <c r="AF6467">
        <v>1</v>
      </c>
    </row>
    <row r="6468" spans="27:32" x14ac:dyDescent="0.3">
      <c r="AA6468" s="3">
        <v>23974.39</v>
      </c>
      <c r="AB6468">
        <v>1E-4</v>
      </c>
      <c r="AC6468">
        <v>8</v>
      </c>
      <c r="AD6468" s="5">
        <v>5.1806292403988774</v>
      </c>
      <c r="AE6468" s="5">
        <v>2.2072790059420533</v>
      </c>
      <c r="AF6468">
        <v>1</v>
      </c>
    </row>
    <row r="6469" spans="27:32" x14ac:dyDescent="0.3">
      <c r="AA6469" s="3">
        <v>17600.21</v>
      </c>
      <c r="AB6469">
        <v>1E-4</v>
      </c>
      <c r="AC6469">
        <v>8</v>
      </c>
      <c r="AD6469" s="5">
        <v>5.0156522474434873</v>
      </c>
      <c r="AE6469" s="5">
        <v>2.2574224767473203</v>
      </c>
      <c r="AF6469">
        <v>1</v>
      </c>
    </row>
    <row r="6470" spans="27:32" x14ac:dyDescent="0.3">
      <c r="AA6470" s="3">
        <v>-12251.62</v>
      </c>
      <c r="AB6470">
        <v>1E-4</v>
      </c>
      <c r="AC6470">
        <v>9</v>
      </c>
      <c r="AD6470" s="5">
        <v>5.1134499075743207</v>
      </c>
      <c r="AE6470" s="5">
        <v>2.2358242818790206</v>
      </c>
      <c r="AF6470">
        <v>1</v>
      </c>
    </row>
    <row r="6471" spans="27:32" x14ac:dyDescent="0.3">
      <c r="AA6471" s="3">
        <v>7907.35</v>
      </c>
      <c r="AB6471">
        <v>1E-4</v>
      </c>
      <c r="AC6471">
        <v>8</v>
      </c>
      <c r="AD6471" s="5">
        <v>4.8917802095916292</v>
      </c>
      <c r="AE6471" s="5">
        <v>2.1703457667119945</v>
      </c>
      <c r="AF6471">
        <v>1</v>
      </c>
    </row>
    <row r="6472" spans="27:32" x14ac:dyDescent="0.3">
      <c r="AA6472" s="3">
        <v>52466.38</v>
      </c>
      <c r="AB6472">
        <v>1E-4</v>
      </c>
      <c r="AC6472">
        <v>6</v>
      </c>
      <c r="AD6472" s="5">
        <v>5.2097855518939644</v>
      </c>
      <c r="AE6472" s="5">
        <v>2.1715487846149721</v>
      </c>
      <c r="AF6472">
        <v>1</v>
      </c>
    </row>
    <row r="6473" spans="27:32" x14ac:dyDescent="0.3">
      <c r="AA6473" s="3">
        <v>1339.88</v>
      </c>
      <c r="AB6473">
        <v>1E-4</v>
      </c>
      <c r="AC6473">
        <v>8</v>
      </c>
      <c r="AD6473" s="5">
        <v>4.8879902876629142</v>
      </c>
      <c r="AE6473" s="5">
        <v>2.1960981972176015</v>
      </c>
      <c r="AF6473">
        <v>1</v>
      </c>
    </row>
    <row r="6474" spans="27:32" x14ac:dyDescent="0.3">
      <c r="AA6474" s="3">
        <v>17117.91</v>
      </c>
      <c r="AB6474">
        <v>1E-4</v>
      </c>
      <c r="AC6474">
        <v>8</v>
      </c>
      <c r="AD6474" s="5">
        <v>5.0010685333129317</v>
      </c>
      <c r="AE6474" s="5">
        <v>2.2083219565674468</v>
      </c>
      <c r="AF6474">
        <v>1</v>
      </c>
    </row>
    <row r="6475" spans="27:32" x14ac:dyDescent="0.3">
      <c r="AA6475" s="3">
        <v>10845.44</v>
      </c>
      <c r="AB6475">
        <v>1E-4</v>
      </c>
      <c r="AC6475">
        <v>8</v>
      </c>
      <c r="AD6475" s="5">
        <v>4.9234762678238004</v>
      </c>
      <c r="AE6475" s="5">
        <v>2.1749283540276063</v>
      </c>
      <c r="AF6475">
        <v>1</v>
      </c>
    </row>
    <row r="6476" spans="27:32" x14ac:dyDescent="0.3">
      <c r="AA6476" s="3">
        <v>6493.03</v>
      </c>
      <c r="AB6476">
        <v>1E-4</v>
      </c>
      <c r="AC6476">
        <v>8</v>
      </c>
      <c r="AD6476" s="5">
        <v>5.0665944464779189</v>
      </c>
      <c r="AE6476" s="5">
        <v>2.160629786814027</v>
      </c>
      <c r="AF6476">
        <v>1</v>
      </c>
    </row>
    <row r="6477" spans="27:32" x14ac:dyDescent="0.3">
      <c r="AA6477" s="3">
        <v>24928.63</v>
      </c>
      <c r="AB6477">
        <v>1E-4</v>
      </c>
      <c r="AC6477">
        <v>8</v>
      </c>
      <c r="AD6477" s="5">
        <v>4.8401014568021443</v>
      </c>
      <c r="AE6477" s="5">
        <v>2.1511983518176421</v>
      </c>
      <c r="AF6477">
        <v>1</v>
      </c>
    </row>
    <row r="6478" spans="27:32" x14ac:dyDescent="0.3">
      <c r="AA6478" s="3">
        <v>-10041.07</v>
      </c>
      <c r="AB6478">
        <v>1E-4</v>
      </c>
      <c r="AC6478">
        <v>9</v>
      </c>
      <c r="AD6478" s="5">
        <v>5.0109862306266066</v>
      </c>
      <c r="AE6478" s="5">
        <v>2.1640677654269287</v>
      </c>
      <c r="AF6478">
        <v>1</v>
      </c>
    </row>
    <row r="6479" spans="27:32" x14ac:dyDescent="0.3">
      <c r="AA6479" s="3">
        <v>20206.21</v>
      </c>
      <c r="AB6479">
        <v>1E-4</v>
      </c>
      <c r="AC6479">
        <v>8</v>
      </c>
      <c r="AD6479" s="5">
        <v>5.0024781668248597</v>
      </c>
      <c r="AE6479" s="5">
        <v>2.1856468860875768</v>
      </c>
      <c r="AF6479">
        <v>1</v>
      </c>
    </row>
    <row r="6480" spans="27:32" x14ac:dyDescent="0.3">
      <c r="AA6480" s="3">
        <v>-21606.076674107411</v>
      </c>
      <c r="AB6480">
        <v>1E-4</v>
      </c>
      <c r="AC6480">
        <v>9</v>
      </c>
      <c r="AD6480" s="5">
        <v>5.0225477857134875</v>
      </c>
      <c r="AE6480" s="5">
        <v>2.3121073136895434</v>
      </c>
      <c r="AF6480">
        <v>0</v>
      </c>
    </row>
    <row r="6481" spans="27:32" x14ac:dyDescent="0.3">
      <c r="AA6481" s="3">
        <v>32591.87</v>
      </c>
      <c r="AB6481">
        <v>1E-4</v>
      </c>
      <c r="AC6481">
        <v>7</v>
      </c>
      <c r="AD6481" s="5">
        <v>5.1064246910312612</v>
      </c>
      <c r="AE6481" s="5">
        <v>2.1556682839155146</v>
      </c>
      <c r="AF6481">
        <v>1</v>
      </c>
    </row>
    <row r="6482" spans="27:32" x14ac:dyDescent="0.3">
      <c r="AA6482" s="3">
        <v>-12351.812172273661</v>
      </c>
      <c r="AB6482">
        <v>1E-4</v>
      </c>
      <c r="AC6482">
        <v>8</v>
      </c>
      <c r="AD6482" s="5">
        <v>4.8736667187780238</v>
      </c>
      <c r="AE6482" s="5">
        <v>2.2131606931996468</v>
      </c>
      <c r="AF6482">
        <v>0</v>
      </c>
    </row>
    <row r="6483" spans="27:32" x14ac:dyDescent="0.3">
      <c r="AA6483" s="3">
        <v>7825.69</v>
      </c>
      <c r="AB6483">
        <v>1E-4</v>
      </c>
      <c r="AC6483">
        <v>8</v>
      </c>
      <c r="AD6483" s="5">
        <v>4.8305248652826993</v>
      </c>
      <c r="AE6483" s="5">
        <v>2.2429265414254353</v>
      </c>
      <c r="AF6483">
        <v>1</v>
      </c>
    </row>
    <row r="6484" spans="27:32" x14ac:dyDescent="0.3">
      <c r="AA6484" s="3">
        <v>618.76</v>
      </c>
      <c r="AB6484">
        <v>1E-4</v>
      </c>
      <c r="AC6484">
        <v>8</v>
      </c>
      <c r="AD6484" s="5">
        <v>4.9385731165231048</v>
      </c>
      <c r="AE6484" s="5">
        <v>2.2106566903840981</v>
      </c>
      <c r="AF6484">
        <v>1</v>
      </c>
    </row>
    <row r="6485" spans="27:32" x14ac:dyDescent="0.3">
      <c r="AA6485" s="3">
        <v>36290.879999999997</v>
      </c>
      <c r="AB6485">
        <v>1E-4</v>
      </c>
      <c r="AC6485">
        <v>7</v>
      </c>
      <c r="AD6485" s="5">
        <v>5.2239238003577544</v>
      </c>
      <c r="AE6485" s="5">
        <v>2.1798564264655726</v>
      </c>
      <c r="AF6485">
        <v>1</v>
      </c>
    </row>
    <row r="6486" spans="27:32" x14ac:dyDescent="0.3">
      <c r="AA6486" s="3">
        <v>38582.949999999997</v>
      </c>
      <c r="AB6486">
        <v>1E-4</v>
      </c>
      <c r="AC6486">
        <v>7</v>
      </c>
      <c r="AD6486" s="5">
        <v>4.9620998678120243</v>
      </c>
      <c r="AE6486" s="5">
        <v>2.1868980710481143</v>
      </c>
      <c r="AF6486">
        <v>1</v>
      </c>
    </row>
    <row r="6487" spans="27:32" x14ac:dyDescent="0.3">
      <c r="AA6487" s="3">
        <v>-3701.64</v>
      </c>
      <c r="AB6487">
        <v>1E-4</v>
      </c>
      <c r="AC6487">
        <v>9</v>
      </c>
      <c r="AD6487" s="5">
        <v>4.9840511073174536</v>
      </c>
      <c r="AE6487" s="5">
        <v>2.2025957724847087</v>
      </c>
      <c r="AF6487">
        <v>1</v>
      </c>
    </row>
    <row r="6488" spans="27:32" x14ac:dyDescent="0.3">
      <c r="AA6488" s="3">
        <v>5802.91</v>
      </c>
      <c r="AB6488">
        <v>1E-4</v>
      </c>
      <c r="AC6488">
        <v>8</v>
      </c>
      <c r="AD6488" s="5">
        <v>4.9254749346930309</v>
      </c>
      <c r="AE6488" s="5">
        <v>2.1599410835133064</v>
      </c>
      <c r="AF6488">
        <v>1</v>
      </c>
    </row>
    <row r="6489" spans="27:32" x14ac:dyDescent="0.3">
      <c r="AA6489" s="3">
        <v>40161.129999999997</v>
      </c>
      <c r="AB6489">
        <v>1E-4</v>
      </c>
      <c r="AC6489">
        <v>7</v>
      </c>
      <c r="AD6489" s="5">
        <v>5.1126275530652565</v>
      </c>
      <c r="AE6489" s="5">
        <v>2.1255576622232883</v>
      </c>
      <c r="AF6489">
        <v>1</v>
      </c>
    </row>
    <row r="6490" spans="27:32" x14ac:dyDescent="0.3">
      <c r="AA6490" s="3">
        <v>16545.43</v>
      </c>
      <c r="AB6490">
        <v>1E-4</v>
      </c>
      <c r="AC6490">
        <v>8</v>
      </c>
      <c r="AD6490" s="5">
        <v>4.9553187760632023</v>
      </c>
      <c r="AE6490" s="5">
        <v>2.1775069162085257</v>
      </c>
      <c r="AF6490">
        <v>1</v>
      </c>
    </row>
    <row r="6491" spans="27:32" x14ac:dyDescent="0.3">
      <c r="AA6491" s="3">
        <v>20404.64</v>
      </c>
      <c r="AB6491">
        <v>1E-4</v>
      </c>
      <c r="AC6491">
        <v>8</v>
      </c>
      <c r="AD6491" s="5">
        <v>4.9671312935756244</v>
      </c>
      <c r="AE6491" s="5">
        <v>2.1710708625101525</v>
      </c>
      <c r="AF6491">
        <v>1</v>
      </c>
    </row>
    <row r="6492" spans="27:32" x14ac:dyDescent="0.3">
      <c r="AA6492" s="3">
        <v>32315.71</v>
      </c>
      <c r="AB6492">
        <v>1E-4</v>
      </c>
      <c r="AC6492">
        <v>7</v>
      </c>
      <c r="AD6492" s="5">
        <v>5.0061762768770368</v>
      </c>
      <c r="AE6492" s="5">
        <v>2.173908186888017</v>
      </c>
      <c r="AF6492">
        <v>1</v>
      </c>
    </row>
    <row r="6493" spans="27:32" x14ac:dyDescent="0.3">
      <c r="AA6493" s="3">
        <v>21310.36</v>
      </c>
      <c r="AB6493">
        <v>1E-4</v>
      </c>
      <c r="AC6493">
        <v>8</v>
      </c>
      <c r="AD6493" s="5">
        <v>5.1111331050897251</v>
      </c>
      <c r="AE6493" s="5">
        <v>2.1394507423345361</v>
      </c>
      <c r="AF6493">
        <v>1</v>
      </c>
    </row>
    <row r="6494" spans="27:32" x14ac:dyDescent="0.3">
      <c r="AA6494" s="3">
        <v>27537.94</v>
      </c>
      <c r="AB6494">
        <v>1E-4</v>
      </c>
      <c r="AC6494">
        <v>8</v>
      </c>
      <c r="AD6494" s="5">
        <v>4.9006049963059581</v>
      </c>
      <c r="AE6494" s="5">
        <v>2.2236405590466806</v>
      </c>
      <c r="AF6494">
        <v>1</v>
      </c>
    </row>
    <row r="6495" spans="27:32" x14ac:dyDescent="0.3">
      <c r="AA6495" s="3">
        <v>30687.43</v>
      </c>
      <c r="AB6495">
        <v>1E-4</v>
      </c>
      <c r="AC6495">
        <v>8</v>
      </c>
      <c r="AD6495" s="5">
        <v>5.0931868201624519</v>
      </c>
      <c r="AE6495" s="5">
        <v>2.1328073315089915</v>
      </c>
      <c r="AF6495">
        <v>1</v>
      </c>
    </row>
    <row r="6496" spans="27:32" x14ac:dyDescent="0.3">
      <c r="AA6496" s="3">
        <v>33380.400000000001</v>
      </c>
      <c r="AB6496">
        <v>1E-4</v>
      </c>
      <c r="AC6496">
        <v>7</v>
      </c>
      <c r="AD6496" s="5">
        <v>5.0575659398279811</v>
      </c>
      <c r="AE6496" s="5">
        <v>2.1588793137008917</v>
      </c>
      <c r="AF6496">
        <v>1</v>
      </c>
    </row>
    <row r="6497" spans="27:32" x14ac:dyDescent="0.3">
      <c r="AA6497" s="3">
        <v>34705.11</v>
      </c>
      <c r="AB6497">
        <v>1E-4</v>
      </c>
      <c r="AC6497">
        <v>7</v>
      </c>
      <c r="AD6497" s="5">
        <v>5.0400995111287168</v>
      </c>
      <c r="AE6497" s="5">
        <v>2.1941381226771846</v>
      </c>
      <c r="AF6497">
        <v>1</v>
      </c>
    </row>
    <row r="6498" spans="27:32" x14ac:dyDescent="0.3">
      <c r="AA6498" s="3">
        <v>31716.799999999999</v>
      </c>
      <c r="AB6498">
        <v>1E-4</v>
      </c>
      <c r="AC6498">
        <v>7</v>
      </c>
      <c r="AD6498" s="5">
        <v>5.0261062862556658</v>
      </c>
      <c r="AE6498" s="5">
        <v>2.1804252201470899</v>
      </c>
      <c r="AF6498">
        <v>1</v>
      </c>
    </row>
    <row r="6499" spans="27:32" x14ac:dyDescent="0.3">
      <c r="AA6499" s="3">
        <v>29565.75</v>
      </c>
      <c r="AB6499">
        <v>1E-4</v>
      </c>
      <c r="AC6499">
        <v>8</v>
      </c>
      <c r="AD6499" s="5">
        <v>5.061320389276653</v>
      </c>
      <c r="AE6499" s="5">
        <v>2.1971887646261457</v>
      </c>
      <c r="AF6499">
        <v>1</v>
      </c>
    </row>
    <row r="6500" spans="27:32" x14ac:dyDescent="0.3">
      <c r="AA6500" s="3">
        <v>16182.46</v>
      </c>
      <c r="AB6500">
        <v>1E-4</v>
      </c>
      <c r="AC6500">
        <v>8</v>
      </c>
      <c r="AD6500" s="5">
        <v>4.9848464811534319</v>
      </c>
      <c r="AE6500" s="5">
        <v>2.269004913315976</v>
      </c>
      <c r="AF6500">
        <v>1</v>
      </c>
    </row>
    <row r="6501" spans="27:32" x14ac:dyDescent="0.3">
      <c r="AA6501" s="3">
        <v>15940.61</v>
      </c>
      <c r="AB6501">
        <v>1E-4</v>
      </c>
      <c r="AC6501">
        <v>8</v>
      </c>
      <c r="AD6501" s="5">
        <v>5.0800020238330363</v>
      </c>
      <c r="AE6501" s="5">
        <v>2.2117852325300138</v>
      </c>
      <c r="AF6501">
        <v>1</v>
      </c>
    </row>
    <row r="6502" spans="27:32" x14ac:dyDescent="0.3">
      <c r="AA6502" s="3">
        <v>15228.33</v>
      </c>
      <c r="AB6502">
        <v>1E-4</v>
      </c>
      <c r="AC6502">
        <v>8</v>
      </c>
      <c r="AD6502" s="5">
        <v>4.9581054897568331</v>
      </c>
      <c r="AE6502" s="5">
        <v>2.153056708222485</v>
      </c>
      <c r="AF6502">
        <v>1</v>
      </c>
    </row>
    <row r="6503" spans="27:32" x14ac:dyDescent="0.3">
      <c r="AA6503" s="3">
        <v>24405.96</v>
      </c>
      <c r="AB6503">
        <v>1E-4</v>
      </c>
      <c r="AC6503">
        <v>8</v>
      </c>
      <c r="AD6503" s="5">
        <v>4.9707552324050512</v>
      </c>
      <c r="AE6503" s="5">
        <v>2.2224731670854472</v>
      </c>
      <c r="AF6503">
        <v>1</v>
      </c>
    </row>
    <row r="6504" spans="27:32" x14ac:dyDescent="0.3">
      <c r="AA6504" s="3">
        <v>33308.6</v>
      </c>
      <c r="AB6504">
        <v>1E-4</v>
      </c>
      <c r="AC6504">
        <v>7</v>
      </c>
      <c r="AD6504" s="5">
        <v>5.110659710074259</v>
      </c>
      <c r="AE6504" s="5">
        <v>2.1626737901367847</v>
      </c>
      <c r="AF6504">
        <v>1</v>
      </c>
    </row>
    <row r="6505" spans="27:32" x14ac:dyDescent="0.3">
      <c r="AA6505" s="3">
        <v>-15831.89</v>
      </c>
      <c r="AB6505">
        <v>1E-4</v>
      </c>
      <c r="AC6505">
        <v>9</v>
      </c>
      <c r="AD6505" s="5">
        <v>4.7979481420115091</v>
      </c>
      <c r="AE6505" s="5">
        <v>2.2378760177383339</v>
      </c>
      <c r="AF6505">
        <v>1</v>
      </c>
    </row>
    <row r="6506" spans="27:32" x14ac:dyDescent="0.3">
      <c r="AA6506" s="3">
        <v>17514.55</v>
      </c>
      <c r="AB6506">
        <v>1E-4</v>
      </c>
      <c r="AC6506">
        <v>8</v>
      </c>
      <c r="AD6506" s="5">
        <v>5.1309964127558114</v>
      </c>
      <c r="AE6506" s="5">
        <v>2.2658877478227999</v>
      </c>
      <c r="AF6506">
        <v>1</v>
      </c>
    </row>
    <row r="6507" spans="27:32" x14ac:dyDescent="0.3">
      <c r="AA6507" s="3">
        <v>-7169.01</v>
      </c>
      <c r="AB6507">
        <v>1E-4</v>
      </c>
      <c r="AC6507">
        <v>9</v>
      </c>
      <c r="AD6507" s="5">
        <v>5.0030152373077783</v>
      </c>
      <c r="AE6507" s="5">
        <v>2.2175921182490979</v>
      </c>
      <c r="AF6507">
        <v>1</v>
      </c>
    </row>
    <row r="6508" spans="27:32" x14ac:dyDescent="0.3">
      <c r="AA6508" s="3">
        <v>19501.169999999998</v>
      </c>
      <c r="AB6508">
        <v>1E-4</v>
      </c>
      <c r="AC6508">
        <v>8</v>
      </c>
      <c r="AD6508" s="5">
        <v>4.8666160355232453</v>
      </c>
      <c r="AE6508" s="5">
        <v>2.2389729312645121</v>
      </c>
      <c r="AF6508">
        <v>1</v>
      </c>
    </row>
    <row r="6509" spans="27:32" x14ac:dyDescent="0.3">
      <c r="AA6509" s="3">
        <v>10054.700000000001</v>
      </c>
      <c r="AB6509">
        <v>1E-4</v>
      </c>
      <c r="AC6509">
        <v>8</v>
      </c>
      <c r="AD6509" s="5">
        <v>4.9660638240305204</v>
      </c>
      <c r="AE6509" s="5">
        <v>2.2273003368398112</v>
      </c>
      <c r="AF6509">
        <v>1</v>
      </c>
    </row>
    <row r="6510" spans="27:32" x14ac:dyDescent="0.3">
      <c r="AA6510" s="3">
        <v>21425.8</v>
      </c>
      <c r="AB6510">
        <v>1E-4</v>
      </c>
      <c r="AC6510">
        <v>8</v>
      </c>
      <c r="AD6510" s="5">
        <v>4.9583955761007106</v>
      </c>
      <c r="AE6510" s="5">
        <v>2.2590771971716315</v>
      </c>
      <c r="AF6510">
        <v>1</v>
      </c>
    </row>
    <row r="6511" spans="27:32" x14ac:dyDescent="0.3">
      <c r="AA6511" s="3">
        <v>-7744.27</v>
      </c>
      <c r="AB6511">
        <v>1E-4</v>
      </c>
      <c r="AC6511">
        <v>9</v>
      </c>
      <c r="AD6511" s="5">
        <v>4.9432359770785901</v>
      </c>
      <c r="AE6511" s="5">
        <v>2.2325315087897781</v>
      </c>
      <c r="AF6511">
        <v>1</v>
      </c>
    </row>
    <row r="6512" spans="27:32" x14ac:dyDescent="0.3">
      <c r="AA6512" s="3">
        <v>49334.720000000001</v>
      </c>
      <c r="AB6512">
        <v>1E-4</v>
      </c>
      <c r="AC6512">
        <v>7</v>
      </c>
      <c r="AD6512" s="5">
        <v>5.1309129400272449</v>
      </c>
      <c r="AE6512" s="5">
        <v>2.2557482502408277</v>
      </c>
      <c r="AF6512">
        <v>1</v>
      </c>
    </row>
    <row r="6513" spans="27:32" x14ac:dyDescent="0.3">
      <c r="AA6513" s="3">
        <v>-9811.6048705351895</v>
      </c>
      <c r="AB6513">
        <v>1E-4</v>
      </c>
      <c r="AC6513">
        <v>8</v>
      </c>
      <c r="AD6513" s="5">
        <v>4.9696875149509099</v>
      </c>
      <c r="AE6513" s="5">
        <v>2.1820664134664214</v>
      </c>
      <c r="AF6513">
        <v>0</v>
      </c>
    </row>
    <row r="6514" spans="27:32" x14ac:dyDescent="0.3">
      <c r="AA6514" s="3">
        <v>6298.02</v>
      </c>
      <c r="AB6514">
        <v>1E-4</v>
      </c>
      <c r="AC6514">
        <v>8</v>
      </c>
      <c r="AD6514" s="5">
        <v>4.8732070127101252</v>
      </c>
      <c r="AE6514" s="5">
        <v>2.25672870095263</v>
      </c>
      <c r="AF6514">
        <v>1</v>
      </c>
    </row>
    <row r="6515" spans="27:32" x14ac:dyDescent="0.3">
      <c r="AA6515" s="3">
        <v>37934.33</v>
      </c>
      <c r="AB6515">
        <v>1E-4</v>
      </c>
      <c r="AC6515">
        <v>7</v>
      </c>
      <c r="AD6515" s="5">
        <v>4.9443781844449353</v>
      </c>
      <c r="AE6515" s="5">
        <v>2.2373480364011811</v>
      </c>
      <c r="AF6515">
        <v>1</v>
      </c>
    </row>
    <row r="6516" spans="27:32" x14ac:dyDescent="0.3">
      <c r="AA6516" s="3">
        <v>32106.01</v>
      </c>
      <c r="AB6516">
        <v>1E-4</v>
      </c>
      <c r="AC6516">
        <v>7</v>
      </c>
      <c r="AD6516" s="5">
        <v>4.9927165475046271</v>
      </c>
      <c r="AE6516" s="5">
        <v>2.1247338668019404</v>
      </c>
      <c r="AF6516">
        <v>1</v>
      </c>
    </row>
    <row r="6517" spans="27:32" x14ac:dyDescent="0.3">
      <c r="AA6517" s="3">
        <v>8952.61</v>
      </c>
      <c r="AB6517">
        <v>1E-4</v>
      </c>
      <c r="AC6517">
        <v>8</v>
      </c>
      <c r="AD6517" s="5">
        <v>5.0576874648047374</v>
      </c>
      <c r="AE6517" s="5">
        <v>2.2027330453184608</v>
      </c>
      <c r="AF6517">
        <v>1</v>
      </c>
    </row>
    <row r="6518" spans="27:32" x14ac:dyDescent="0.3">
      <c r="AA6518" s="3">
        <v>-7475.87</v>
      </c>
      <c r="AB6518">
        <v>1E-4</v>
      </c>
      <c r="AC6518">
        <v>9</v>
      </c>
      <c r="AD6518" s="5">
        <v>4.9095515051595422</v>
      </c>
      <c r="AE6518" s="5">
        <v>2.1986070256723669</v>
      </c>
      <c r="AF6518">
        <v>1</v>
      </c>
    </row>
    <row r="6519" spans="27:32" x14ac:dyDescent="0.3">
      <c r="AA6519" s="3">
        <v>-5394.32</v>
      </c>
      <c r="AB6519">
        <v>1E-4</v>
      </c>
      <c r="AC6519">
        <v>9</v>
      </c>
      <c r="AD6519" s="5">
        <v>4.9322066991728493</v>
      </c>
      <c r="AE6519" s="5">
        <v>2.1765264658789425</v>
      </c>
      <c r="AF6519">
        <v>1</v>
      </c>
    </row>
    <row r="6520" spans="27:32" x14ac:dyDescent="0.3">
      <c r="AA6520" s="3">
        <v>8730.58</v>
      </c>
      <c r="AB6520">
        <v>1E-4</v>
      </c>
      <c r="AC6520">
        <v>8</v>
      </c>
      <c r="AD6520" s="5">
        <v>4.8693795336177281</v>
      </c>
      <c r="AE6520" s="5">
        <v>2.1601217867907443</v>
      </c>
      <c r="AF6520">
        <v>1</v>
      </c>
    </row>
    <row r="6521" spans="27:32" x14ac:dyDescent="0.3">
      <c r="AA6521" s="3">
        <v>-4278.71</v>
      </c>
      <c r="AB6521">
        <v>1E-4</v>
      </c>
      <c r="AC6521">
        <v>9</v>
      </c>
      <c r="AD6521" s="5">
        <v>4.8983465718085712</v>
      </c>
      <c r="AE6521" s="5">
        <v>2.2074365783177985</v>
      </c>
      <c r="AF6521">
        <v>1</v>
      </c>
    </row>
    <row r="6522" spans="27:32" x14ac:dyDescent="0.3">
      <c r="AA6522" s="3">
        <v>17675.759999999998</v>
      </c>
      <c r="AB6522">
        <v>1E-4</v>
      </c>
      <c r="AC6522">
        <v>8</v>
      </c>
      <c r="AD6522" s="5">
        <v>5.036346232188972</v>
      </c>
      <c r="AE6522" s="5">
        <v>2.1515950889457178</v>
      </c>
      <c r="AF6522">
        <v>1</v>
      </c>
    </row>
    <row r="6523" spans="27:32" x14ac:dyDescent="0.3">
      <c r="AA6523" s="3">
        <v>10640.9</v>
      </c>
      <c r="AB6523">
        <v>1E-4</v>
      </c>
      <c r="AC6523">
        <v>8</v>
      </c>
      <c r="AD6523" s="5">
        <v>4.8929233408349635</v>
      </c>
      <c r="AE6523" s="5">
        <v>2.2913622657273676</v>
      </c>
      <c r="AF6523">
        <v>1</v>
      </c>
    </row>
    <row r="6524" spans="27:32" x14ac:dyDescent="0.3">
      <c r="AA6524" s="3">
        <v>36443.82</v>
      </c>
      <c r="AB6524">
        <v>1E-4</v>
      </c>
      <c r="AC6524">
        <v>7</v>
      </c>
      <c r="AD6524" s="5">
        <v>5.0621003576634838</v>
      </c>
      <c r="AE6524" s="5">
        <v>2.0822834453544403</v>
      </c>
      <c r="AF6524">
        <v>1</v>
      </c>
    </row>
    <row r="6525" spans="27:32" x14ac:dyDescent="0.3">
      <c r="AA6525" s="3">
        <v>9806.09</v>
      </c>
      <c r="AB6525">
        <v>1E-4</v>
      </c>
      <c r="AC6525">
        <v>8</v>
      </c>
      <c r="AD6525" s="5">
        <v>5.001859881448306</v>
      </c>
      <c r="AE6525" s="5">
        <v>2.2315736516445459</v>
      </c>
      <c r="AF6525">
        <v>1</v>
      </c>
    </row>
    <row r="6526" spans="27:32" x14ac:dyDescent="0.3">
      <c r="AA6526" s="3">
        <v>39273.120000000003</v>
      </c>
      <c r="AB6526">
        <v>1E-4</v>
      </c>
      <c r="AC6526">
        <v>7</v>
      </c>
      <c r="AD6526" s="5">
        <v>5.0237734119177837</v>
      </c>
      <c r="AE6526" s="5">
        <v>2.2304334423251952</v>
      </c>
      <c r="AF6526">
        <v>1</v>
      </c>
    </row>
    <row r="6527" spans="27:32" x14ac:dyDescent="0.3">
      <c r="AA6527" s="3">
        <v>26168.94</v>
      </c>
      <c r="AB6527">
        <v>1E-4</v>
      </c>
      <c r="AC6527">
        <v>8</v>
      </c>
      <c r="AD6527" s="5">
        <v>4.9203777297286875</v>
      </c>
      <c r="AE6527" s="5">
        <v>2.1074921362858947</v>
      </c>
      <c r="AF6527">
        <v>1</v>
      </c>
    </row>
    <row r="6528" spans="27:32" x14ac:dyDescent="0.3">
      <c r="AA6528" s="3">
        <v>13872.78</v>
      </c>
      <c r="AB6528">
        <v>1E-4</v>
      </c>
      <c r="AC6528">
        <v>8</v>
      </c>
      <c r="AD6528" s="5">
        <v>4.9640759338964635</v>
      </c>
      <c r="AE6528" s="5">
        <v>2.1775691774143469</v>
      </c>
      <c r="AF6528">
        <v>1</v>
      </c>
    </row>
    <row r="6529" spans="27:32" x14ac:dyDescent="0.3">
      <c r="AA6529" s="3">
        <v>17294.57</v>
      </c>
      <c r="AB6529">
        <v>1E-4</v>
      </c>
      <c r="AC6529">
        <v>8</v>
      </c>
      <c r="AD6529" s="5">
        <v>5.0266173705608574</v>
      </c>
      <c r="AE6529" s="5">
        <v>2.2426391027898616</v>
      </c>
      <c r="AF6529">
        <v>1</v>
      </c>
    </row>
    <row r="6530" spans="27:32" x14ac:dyDescent="0.3">
      <c r="AA6530" s="3">
        <v>39681.440000000002</v>
      </c>
      <c r="AB6530">
        <v>1E-4</v>
      </c>
      <c r="AC6530">
        <v>7</v>
      </c>
      <c r="AD6530" s="5">
        <v>5.1307690259671084</v>
      </c>
      <c r="AE6530" s="5">
        <v>2.2169009451123856</v>
      </c>
      <c r="AF6530">
        <v>1</v>
      </c>
    </row>
    <row r="6531" spans="27:32" x14ac:dyDescent="0.3">
      <c r="AA6531" s="3">
        <v>7449.01</v>
      </c>
      <c r="AB6531">
        <v>1E-4</v>
      </c>
      <c r="AC6531">
        <v>8</v>
      </c>
      <c r="AD6531" s="5">
        <v>5.0911545955673221</v>
      </c>
      <c r="AE6531" s="5">
        <v>2.1464918014740402</v>
      </c>
      <c r="AF6531">
        <v>1</v>
      </c>
    </row>
    <row r="6532" spans="27:32" x14ac:dyDescent="0.3">
      <c r="AA6532" s="3">
        <v>-4757.13</v>
      </c>
      <c r="AB6532">
        <v>1E-4</v>
      </c>
      <c r="AC6532">
        <v>9</v>
      </c>
      <c r="AD6532" s="5">
        <v>4.9291071412698697</v>
      </c>
      <c r="AE6532" s="5">
        <v>2.2384118199461209</v>
      </c>
      <c r="AF6532">
        <v>1</v>
      </c>
    </row>
    <row r="6533" spans="27:32" x14ac:dyDescent="0.3">
      <c r="AA6533" s="3">
        <v>-100.73</v>
      </c>
      <c r="AB6533">
        <v>1E-4</v>
      </c>
      <c r="AC6533">
        <v>9</v>
      </c>
      <c r="AD6533" s="5">
        <v>5.0415058101868668</v>
      </c>
      <c r="AE6533" s="5">
        <v>2.1338301399563724</v>
      </c>
      <c r="AF6533">
        <v>1</v>
      </c>
    </row>
    <row r="6534" spans="27:32" x14ac:dyDescent="0.3">
      <c r="AA6534" s="3">
        <v>5923.16</v>
      </c>
      <c r="AB6534">
        <v>1E-4</v>
      </c>
      <c r="AC6534">
        <v>8</v>
      </c>
      <c r="AD6534" s="5">
        <v>5.0389161709335877</v>
      </c>
      <c r="AE6534" s="5">
        <v>2.1520701747031326</v>
      </c>
      <c r="AF6534">
        <v>1</v>
      </c>
    </row>
    <row r="6535" spans="27:32" x14ac:dyDescent="0.3">
      <c r="AA6535" s="3">
        <v>8166</v>
      </c>
      <c r="AB6535">
        <v>1E-4</v>
      </c>
      <c r="AC6535">
        <v>8</v>
      </c>
      <c r="AD6535" s="5">
        <v>5.0406386712908313</v>
      </c>
      <c r="AE6535" s="5">
        <v>2.1906062054996718</v>
      </c>
      <c r="AF6535">
        <v>1</v>
      </c>
    </row>
    <row r="6536" spans="27:32" x14ac:dyDescent="0.3">
      <c r="AA6536" s="3">
        <v>28977.279999999999</v>
      </c>
      <c r="AB6536">
        <v>1E-4</v>
      </c>
      <c r="AC6536">
        <v>8</v>
      </c>
      <c r="AD6536" s="5">
        <v>5.0196734205791156</v>
      </c>
      <c r="AE6536" s="5">
        <v>2.1953209702796075</v>
      </c>
      <c r="AF6536">
        <v>1</v>
      </c>
    </row>
    <row r="6537" spans="27:32" x14ac:dyDescent="0.3">
      <c r="AA6537" s="3">
        <v>7402.83</v>
      </c>
      <c r="AB6537">
        <v>1E-4</v>
      </c>
      <c r="AC6537">
        <v>8</v>
      </c>
      <c r="AD6537" s="5">
        <v>4.9402495243635389</v>
      </c>
      <c r="AE6537" s="5">
        <v>2.2580054446125613</v>
      </c>
      <c r="AF6537">
        <v>1</v>
      </c>
    </row>
    <row r="6538" spans="27:32" x14ac:dyDescent="0.3">
      <c r="AA6538" s="3">
        <v>42639.62</v>
      </c>
      <c r="AB6538">
        <v>1E-4</v>
      </c>
      <c r="AC6538">
        <v>7</v>
      </c>
      <c r="AD6538" s="5">
        <v>5.0519351138803081</v>
      </c>
      <c r="AE6538" s="5">
        <v>2.1857767256356038</v>
      </c>
      <c r="AF6538">
        <v>1</v>
      </c>
    </row>
    <row r="6539" spans="27:32" x14ac:dyDescent="0.3">
      <c r="AA6539" s="3">
        <v>36022.93</v>
      </c>
      <c r="AB6539">
        <v>1E-4</v>
      </c>
      <c r="AC6539">
        <v>7</v>
      </c>
      <c r="AD6539" s="5">
        <v>5.1749242002152629</v>
      </c>
      <c r="AE6539" s="5">
        <v>2.2188409443128618</v>
      </c>
      <c r="AF6539">
        <v>1</v>
      </c>
    </row>
    <row r="6540" spans="27:32" x14ac:dyDescent="0.3">
      <c r="AA6540" s="3">
        <v>28204.36</v>
      </c>
      <c r="AB6540">
        <v>1E-4</v>
      </c>
      <c r="AC6540">
        <v>8</v>
      </c>
      <c r="AD6540" s="5">
        <v>4.8375059888268463</v>
      </c>
      <c r="AE6540" s="5">
        <v>2.0914826663227166</v>
      </c>
      <c r="AF6540">
        <v>1</v>
      </c>
    </row>
    <row r="6541" spans="27:32" x14ac:dyDescent="0.3">
      <c r="AA6541" s="3">
        <v>10949.21</v>
      </c>
      <c r="AB6541">
        <v>1E-4</v>
      </c>
      <c r="AC6541">
        <v>8</v>
      </c>
      <c r="AD6541" s="5">
        <v>5.0765472049409439</v>
      </c>
      <c r="AE6541" s="5">
        <v>2.2485435841280879</v>
      </c>
      <c r="AF6541">
        <v>1</v>
      </c>
    </row>
    <row r="6542" spans="27:32" x14ac:dyDescent="0.3">
      <c r="AA6542" s="3">
        <v>59.69</v>
      </c>
      <c r="AB6542">
        <v>1E-4</v>
      </c>
      <c r="AC6542">
        <v>8</v>
      </c>
      <c r="AD6542" s="5">
        <v>5.0983206560056393</v>
      </c>
      <c r="AE6542" s="5">
        <v>2.1544797267831339</v>
      </c>
      <c r="AF6542">
        <v>1</v>
      </c>
    </row>
    <row r="6543" spans="27:32" x14ac:dyDescent="0.3">
      <c r="AA6543" s="3">
        <v>-1151.47</v>
      </c>
      <c r="AB6543">
        <v>1E-4</v>
      </c>
      <c r="AC6543">
        <v>9</v>
      </c>
      <c r="AD6543" s="5">
        <v>5.0294155001440748</v>
      </c>
      <c r="AE6543" s="5">
        <v>2.2940958725417415</v>
      </c>
      <c r="AF6543">
        <v>1</v>
      </c>
    </row>
    <row r="6544" spans="27:32" x14ac:dyDescent="0.3">
      <c r="AA6544" s="3">
        <v>57483.26</v>
      </c>
      <c r="AB6544">
        <v>1E-4</v>
      </c>
      <c r="AC6544">
        <v>6</v>
      </c>
      <c r="AD6544" s="5">
        <v>4.9196316706929011</v>
      </c>
      <c r="AE6544" s="5">
        <v>2.0781972414741947</v>
      </c>
      <c r="AF6544">
        <v>1</v>
      </c>
    </row>
    <row r="6545" spans="27:32" x14ac:dyDescent="0.3">
      <c r="AA6545" s="3">
        <v>32592.36</v>
      </c>
      <c r="AB6545">
        <v>1E-4</v>
      </c>
      <c r="AC6545">
        <v>7</v>
      </c>
      <c r="AD6545" s="5">
        <v>5.0926749893475174</v>
      </c>
      <c r="AE6545" s="5">
        <v>2.2179585848693444</v>
      </c>
      <c r="AF6545">
        <v>1</v>
      </c>
    </row>
    <row r="6546" spans="27:32" x14ac:dyDescent="0.3">
      <c r="AA6546" s="3">
        <v>24757.86</v>
      </c>
      <c r="AB6546">
        <v>1E-4</v>
      </c>
      <c r="AC6546">
        <v>8</v>
      </c>
      <c r="AD6546" s="5">
        <v>4.9490649659090753</v>
      </c>
      <c r="AE6546" s="5">
        <v>2.1994390719189396</v>
      </c>
      <c r="AF6546">
        <v>1</v>
      </c>
    </row>
    <row r="6547" spans="27:32" x14ac:dyDescent="0.3">
      <c r="AA6547" s="3">
        <v>11103.1</v>
      </c>
      <c r="AB6547">
        <v>1E-4</v>
      </c>
      <c r="AC6547">
        <v>8</v>
      </c>
      <c r="AD6547" s="5">
        <v>5.0898538446010573</v>
      </c>
      <c r="AE6547" s="5">
        <v>2.2735231086646541</v>
      </c>
      <c r="AF6547">
        <v>1</v>
      </c>
    </row>
    <row r="6548" spans="27:32" x14ac:dyDescent="0.3">
      <c r="AA6548" s="3">
        <v>21375.59</v>
      </c>
      <c r="AB6548">
        <v>1E-4</v>
      </c>
      <c r="AC6548">
        <v>8</v>
      </c>
      <c r="AD6548" s="5">
        <v>5.0711319954457341</v>
      </c>
      <c r="AE6548" s="5">
        <v>2.2167136444512128</v>
      </c>
      <c r="AF6548">
        <v>1</v>
      </c>
    </row>
    <row r="6549" spans="27:32" x14ac:dyDescent="0.3">
      <c r="AA6549" s="3">
        <v>15085.27</v>
      </c>
      <c r="AB6549">
        <v>1E-4</v>
      </c>
      <c r="AC6549">
        <v>8</v>
      </c>
      <c r="AD6549" s="5">
        <v>4.9509390545934933</v>
      </c>
      <c r="AE6549" s="5">
        <v>2.2002324661697026</v>
      </c>
      <c r="AF6549">
        <v>1</v>
      </c>
    </row>
    <row r="6550" spans="27:32" x14ac:dyDescent="0.3">
      <c r="AA6550" s="3">
        <v>6614.53</v>
      </c>
      <c r="AB6550">
        <v>1E-4</v>
      </c>
      <c r="AC6550">
        <v>8</v>
      </c>
      <c r="AD6550" s="5">
        <v>5.0193042897396305</v>
      </c>
      <c r="AE6550" s="5">
        <v>2.188629584748035</v>
      </c>
      <c r="AF6550">
        <v>1</v>
      </c>
    </row>
    <row r="6551" spans="27:32" x14ac:dyDescent="0.3">
      <c r="AA6551" s="3">
        <v>8416.83</v>
      </c>
      <c r="AB6551">
        <v>1E-4</v>
      </c>
      <c r="AC6551">
        <v>8</v>
      </c>
      <c r="AD6551" s="5">
        <v>5.1109280935239552</v>
      </c>
      <c r="AE6551" s="5">
        <v>2.1886024245405515</v>
      </c>
      <c r="AF6551">
        <v>1</v>
      </c>
    </row>
    <row r="6552" spans="27:32" x14ac:dyDescent="0.3">
      <c r="AA6552" s="3">
        <v>10511.36</v>
      </c>
      <c r="AB6552">
        <v>1E-4</v>
      </c>
      <c r="AC6552">
        <v>8</v>
      </c>
      <c r="AD6552" s="5">
        <v>4.8925075156730164</v>
      </c>
      <c r="AE6552" s="5">
        <v>2.1635641668339827</v>
      </c>
      <c r="AF6552">
        <v>1</v>
      </c>
    </row>
    <row r="6553" spans="27:32" x14ac:dyDescent="0.3">
      <c r="AA6553" s="3">
        <v>7962.47</v>
      </c>
      <c r="AB6553">
        <v>1E-4</v>
      </c>
      <c r="AC6553">
        <v>8</v>
      </c>
      <c r="AD6553" s="5">
        <v>4.8449514289752571</v>
      </c>
      <c r="AE6553" s="5">
        <v>2.2167498977174649</v>
      </c>
      <c r="AF6553">
        <v>1</v>
      </c>
    </row>
    <row r="6554" spans="27:32" x14ac:dyDescent="0.3">
      <c r="AA6554" s="3">
        <v>23779</v>
      </c>
      <c r="AB6554">
        <v>1E-4</v>
      </c>
      <c r="AC6554">
        <v>8</v>
      </c>
      <c r="AD6554" s="5">
        <v>5.0658583593616981</v>
      </c>
      <c r="AE6554" s="5">
        <v>2.214901364140669</v>
      </c>
      <c r="AF6554">
        <v>1</v>
      </c>
    </row>
    <row r="6555" spans="27:32" x14ac:dyDescent="0.3">
      <c r="AA6555" s="3">
        <v>-13111.62</v>
      </c>
      <c r="AB6555">
        <v>1E-4</v>
      </c>
      <c r="AC6555">
        <v>9</v>
      </c>
      <c r="AD6555" s="5">
        <v>4.8760413379920156</v>
      </c>
      <c r="AE6555" s="5">
        <v>2.1241436219038339</v>
      </c>
      <c r="AF6555">
        <v>1</v>
      </c>
    </row>
    <row r="6556" spans="27:32" x14ac:dyDescent="0.3">
      <c r="AA6556" s="3">
        <v>38510.199999999997</v>
      </c>
      <c r="AB6556">
        <v>1E-4</v>
      </c>
      <c r="AC6556">
        <v>7</v>
      </c>
      <c r="AD6556" s="5">
        <v>5.0005585145286631</v>
      </c>
      <c r="AE6556" s="5">
        <v>2.106676329785603</v>
      </c>
      <c r="AF6556">
        <v>1</v>
      </c>
    </row>
    <row r="6557" spans="27:32" x14ac:dyDescent="0.3">
      <c r="AA6557" s="3">
        <v>1663.76</v>
      </c>
      <c r="AB6557">
        <v>1E-4</v>
      </c>
      <c r="AC6557">
        <v>8</v>
      </c>
      <c r="AD6557" s="5">
        <v>5.0846533329621497</v>
      </c>
      <c r="AE6557" s="5">
        <v>2.1921346501640921</v>
      </c>
      <c r="AF6557">
        <v>1</v>
      </c>
    </row>
    <row r="6558" spans="27:32" x14ac:dyDescent="0.3">
      <c r="AA6558" s="3">
        <v>-22588.2</v>
      </c>
      <c r="AB6558">
        <v>1E-4</v>
      </c>
      <c r="AC6558">
        <v>9</v>
      </c>
      <c r="AD6558" s="5">
        <v>4.8723095748328538</v>
      </c>
      <c r="AE6558" s="5">
        <v>2.2097435427324621</v>
      </c>
      <c r="AF6558">
        <v>1</v>
      </c>
    </row>
    <row r="6559" spans="27:32" x14ac:dyDescent="0.3">
      <c r="AA6559" s="3">
        <v>-28569.543908147629</v>
      </c>
      <c r="AB6559">
        <v>1E-4</v>
      </c>
      <c r="AC6559">
        <v>9</v>
      </c>
      <c r="AD6559" s="5">
        <v>5.0154290517513642</v>
      </c>
      <c r="AE6559" s="5">
        <v>2.2176878276751508</v>
      </c>
      <c r="AF6559">
        <v>0</v>
      </c>
    </row>
    <row r="6560" spans="27:32" x14ac:dyDescent="0.3">
      <c r="AA6560" s="3">
        <v>37792.080000000002</v>
      </c>
      <c r="AB6560">
        <v>1E-4</v>
      </c>
      <c r="AC6560">
        <v>7</v>
      </c>
      <c r="AD6560" s="5">
        <v>5.0135047011752381</v>
      </c>
      <c r="AE6560" s="5">
        <v>2.1740388462069467</v>
      </c>
      <c r="AF6560">
        <v>1</v>
      </c>
    </row>
    <row r="6561" spans="27:32" x14ac:dyDescent="0.3">
      <c r="AA6561" s="3">
        <v>11403.02</v>
      </c>
      <c r="AB6561">
        <v>1E-4</v>
      </c>
      <c r="AC6561">
        <v>8</v>
      </c>
      <c r="AD6561" s="5">
        <v>4.8007005324816019</v>
      </c>
      <c r="AE6561" s="5">
        <v>2.2124188979362462</v>
      </c>
      <c r="AF6561">
        <v>1</v>
      </c>
    </row>
    <row r="6562" spans="27:32" x14ac:dyDescent="0.3">
      <c r="AA6562" s="3">
        <v>2503.46</v>
      </c>
      <c r="AB6562">
        <v>1E-4</v>
      </c>
      <c r="AC6562">
        <v>8</v>
      </c>
      <c r="AD6562" s="5">
        <v>5.0728273670982231</v>
      </c>
      <c r="AE6562" s="5">
        <v>2.244182132215689</v>
      </c>
      <c r="AF6562">
        <v>1</v>
      </c>
    </row>
    <row r="6563" spans="27:32" x14ac:dyDescent="0.3">
      <c r="AA6563" s="3">
        <v>-17875.54</v>
      </c>
      <c r="AB6563">
        <v>1E-4</v>
      </c>
      <c r="AC6563">
        <v>9</v>
      </c>
      <c r="AD6563" s="5">
        <v>4.9151522492060797</v>
      </c>
      <c r="AE6563" s="5">
        <v>2.2104020982607482</v>
      </c>
      <c r="AF6563">
        <v>1</v>
      </c>
    </row>
    <row r="6564" spans="27:32" x14ac:dyDescent="0.3">
      <c r="AA6564" s="3">
        <v>37807.53</v>
      </c>
      <c r="AB6564">
        <v>1E-4</v>
      </c>
      <c r="AC6564">
        <v>7</v>
      </c>
      <c r="AD6564" s="5">
        <v>5.0704408642750183</v>
      </c>
      <c r="AE6564" s="5">
        <v>2.1691021523992267</v>
      </c>
      <c r="AF6564">
        <v>1</v>
      </c>
    </row>
    <row r="6565" spans="27:32" x14ac:dyDescent="0.3">
      <c r="AA6565" s="3">
        <v>35451.89</v>
      </c>
      <c r="AB6565">
        <v>1E-4</v>
      </c>
      <c r="AC6565">
        <v>7</v>
      </c>
      <c r="AD6565" s="5">
        <v>5.1281321483883398</v>
      </c>
      <c r="AE6565" s="5">
        <v>2.2043749231365966</v>
      </c>
      <c r="AF6565">
        <v>1</v>
      </c>
    </row>
    <row r="6566" spans="27:32" x14ac:dyDescent="0.3">
      <c r="AA6566" s="3">
        <v>23290.01</v>
      </c>
      <c r="AB6566">
        <v>1E-4</v>
      </c>
      <c r="AC6566">
        <v>8</v>
      </c>
      <c r="AD6566" s="5">
        <v>5.1328692483037992</v>
      </c>
      <c r="AE6566" s="5">
        <v>2.1065465521836781</v>
      </c>
      <c r="AF6566">
        <v>1</v>
      </c>
    </row>
    <row r="6567" spans="27:32" x14ac:dyDescent="0.3">
      <c r="AA6567" s="3">
        <v>26775.27</v>
      </c>
      <c r="AB6567">
        <v>1E-4</v>
      </c>
      <c r="AC6567">
        <v>8</v>
      </c>
      <c r="AD6567" s="5">
        <v>4.9996129333609476</v>
      </c>
      <c r="AE6567" s="5">
        <v>2.1392339932403721</v>
      </c>
      <c r="AF6567">
        <v>1</v>
      </c>
    </row>
    <row r="6568" spans="27:32" x14ac:dyDescent="0.3">
      <c r="AA6568" s="3">
        <v>-1004.48</v>
      </c>
      <c r="AB6568">
        <v>1E-4</v>
      </c>
      <c r="AC6568">
        <v>9</v>
      </c>
      <c r="AD6568" s="5">
        <v>4.8181430596006454</v>
      </c>
      <c r="AE6568" s="5">
        <v>2.2622021581962857</v>
      </c>
      <c r="AF6568">
        <v>1</v>
      </c>
    </row>
    <row r="6569" spans="27:32" x14ac:dyDescent="0.3">
      <c r="AA6569" s="3">
        <v>-6102.22</v>
      </c>
      <c r="AB6569">
        <v>1E-4</v>
      </c>
      <c r="AC6569">
        <v>9</v>
      </c>
      <c r="AD6569" s="5">
        <v>4.9196896284702873</v>
      </c>
      <c r="AE6569" s="5">
        <v>2.1876896246532693</v>
      </c>
      <c r="AF6569">
        <v>1</v>
      </c>
    </row>
    <row r="6570" spans="27:32" x14ac:dyDescent="0.3">
      <c r="AA6570" s="3">
        <v>12772.21</v>
      </c>
      <c r="AB6570">
        <v>1E-4</v>
      </c>
      <c r="AC6570">
        <v>8</v>
      </c>
      <c r="AD6570" s="5">
        <v>4.9186059976465373</v>
      </c>
      <c r="AE6570" s="5">
        <v>2.1631133915684293</v>
      </c>
      <c r="AF6570">
        <v>1</v>
      </c>
    </row>
    <row r="6571" spans="27:32" x14ac:dyDescent="0.3">
      <c r="AA6571" s="3">
        <v>-5957.8</v>
      </c>
      <c r="AB6571">
        <v>1E-4</v>
      </c>
      <c r="AC6571">
        <v>9</v>
      </c>
      <c r="AD6571" s="5">
        <v>4.7986044956578251</v>
      </c>
      <c r="AE6571" s="5">
        <v>2.2052386101511292</v>
      </c>
      <c r="AF6571">
        <v>1</v>
      </c>
    </row>
    <row r="6572" spans="27:32" x14ac:dyDescent="0.3">
      <c r="AA6572" s="3">
        <v>-7422.66</v>
      </c>
      <c r="AB6572">
        <v>1E-4</v>
      </c>
      <c r="AC6572">
        <v>9</v>
      </c>
      <c r="AD6572" s="5">
        <v>4.9007108951337974</v>
      </c>
      <c r="AE6572" s="5">
        <v>2.2108518253642302</v>
      </c>
      <c r="AF6572">
        <v>1</v>
      </c>
    </row>
    <row r="6573" spans="27:32" x14ac:dyDescent="0.3">
      <c r="AA6573" s="3">
        <v>34817.370000000003</v>
      </c>
      <c r="AB6573">
        <v>1E-4</v>
      </c>
      <c r="AC6573">
        <v>7</v>
      </c>
      <c r="AD6573" s="5">
        <v>5.0680615665167235</v>
      </c>
      <c r="AE6573" s="5">
        <v>2.188100786339553</v>
      </c>
      <c r="AF6573">
        <v>1</v>
      </c>
    </row>
    <row r="6574" spans="27:32" x14ac:dyDescent="0.3">
      <c r="AA6574" s="3">
        <v>-7324.41</v>
      </c>
      <c r="AB6574">
        <v>1E-4</v>
      </c>
      <c r="AC6574">
        <v>9</v>
      </c>
      <c r="AD6574" s="5">
        <v>4.9008149813274171</v>
      </c>
      <c r="AE6574" s="5">
        <v>2.2145117552330107</v>
      </c>
      <c r="AF6574">
        <v>1</v>
      </c>
    </row>
    <row r="6575" spans="27:32" x14ac:dyDescent="0.3">
      <c r="AA6575" s="3">
        <v>19351.25</v>
      </c>
      <c r="AB6575">
        <v>1E-4</v>
      </c>
      <c r="AC6575">
        <v>8</v>
      </c>
      <c r="AD6575" s="5">
        <v>5.20377271160792</v>
      </c>
      <c r="AE6575" s="5">
        <v>2.1877567543160796</v>
      </c>
      <c r="AF6575">
        <v>1</v>
      </c>
    </row>
    <row r="6576" spans="27:32" x14ac:dyDescent="0.3">
      <c r="AA6576" s="3">
        <v>18782.490000000002</v>
      </c>
      <c r="AB6576">
        <v>1E-4</v>
      </c>
      <c r="AC6576">
        <v>8</v>
      </c>
      <c r="AD6576" s="5">
        <v>5.1096095702740936</v>
      </c>
      <c r="AE6576" s="5">
        <v>2.2279939583525077</v>
      </c>
      <c r="AF6576">
        <v>1</v>
      </c>
    </row>
    <row r="6577" spans="27:32" x14ac:dyDescent="0.3">
      <c r="AA6577" s="3">
        <v>30667.98</v>
      </c>
      <c r="AB6577">
        <v>1E-4</v>
      </c>
      <c r="AC6577">
        <v>7</v>
      </c>
      <c r="AD6577" s="5">
        <v>5.0232837640373704</v>
      </c>
      <c r="AE6577" s="5">
        <v>2.1975886196861238</v>
      </c>
      <c r="AF6577">
        <v>1</v>
      </c>
    </row>
    <row r="6578" spans="27:32" x14ac:dyDescent="0.3">
      <c r="AA6578" s="3">
        <v>20489.63</v>
      </c>
      <c r="AB6578">
        <v>1E-4</v>
      </c>
      <c r="AC6578">
        <v>8</v>
      </c>
      <c r="AD6578" s="5">
        <v>4.9947117784786208</v>
      </c>
      <c r="AE6578" s="5">
        <v>2.1553627890721518</v>
      </c>
      <c r="AF6578">
        <v>1</v>
      </c>
    </row>
    <row r="6579" spans="27:32" x14ac:dyDescent="0.3">
      <c r="AA6579" s="3">
        <v>2565.56</v>
      </c>
      <c r="AB6579">
        <v>1E-4</v>
      </c>
      <c r="AC6579">
        <v>8</v>
      </c>
      <c r="AD6579" s="5">
        <v>5.0228614489462409</v>
      </c>
      <c r="AE6579" s="5">
        <v>2.1696822031361451</v>
      </c>
      <c r="AF6579">
        <v>1</v>
      </c>
    </row>
    <row r="6580" spans="27:32" x14ac:dyDescent="0.3">
      <c r="AA6580" s="3">
        <v>-22271.85</v>
      </c>
      <c r="AB6580">
        <v>1E-4</v>
      </c>
      <c r="AC6580">
        <v>9</v>
      </c>
      <c r="AD6580" s="5">
        <v>5.0210306245459737</v>
      </c>
      <c r="AE6580" s="5">
        <v>2.2451477486793521</v>
      </c>
      <c r="AF6580">
        <v>1</v>
      </c>
    </row>
    <row r="6581" spans="27:32" x14ac:dyDescent="0.3">
      <c r="AA6581" s="3">
        <v>31158.86</v>
      </c>
      <c r="AB6581">
        <v>1E-4</v>
      </c>
      <c r="AC6581">
        <v>7</v>
      </c>
      <c r="AD6581" s="5">
        <v>4.9316219071337786</v>
      </c>
      <c r="AE6581" s="5">
        <v>2.1726582187672312</v>
      </c>
      <c r="AF6581">
        <v>1</v>
      </c>
    </row>
    <row r="6582" spans="27:32" x14ac:dyDescent="0.3">
      <c r="AA6582" s="3">
        <v>3598.02</v>
      </c>
      <c r="AB6582">
        <v>1E-4</v>
      </c>
      <c r="AC6582">
        <v>8</v>
      </c>
      <c r="AD6582" s="5">
        <v>4.9005353979908</v>
      </c>
      <c r="AE6582" s="5">
        <v>2.2421470664244669</v>
      </c>
      <c r="AF6582">
        <v>1</v>
      </c>
    </row>
    <row r="6583" spans="27:32" x14ac:dyDescent="0.3">
      <c r="AA6583" s="3">
        <v>37204.980000000003</v>
      </c>
      <c r="AB6583">
        <v>1E-4</v>
      </c>
      <c r="AC6583">
        <v>7</v>
      </c>
      <c r="AD6583" s="5">
        <v>5.0040851724359907</v>
      </c>
      <c r="AE6583" s="5">
        <v>2.2762891705341399</v>
      </c>
      <c r="AF6583">
        <v>1</v>
      </c>
    </row>
    <row r="6584" spans="27:32" x14ac:dyDescent="0.3">
      <c r="AA6584" s="3">
        <v>-13553.13</v>
      </c>
      <c r="AB6584">
        <v>1E-4</v>
      </c>
      <c r="AC6584">
        <v>9</v>
      </c>
      <c r="AD6584" s="5">
        <v>4.8529234775262493</v>
      </c>
      <c r="AE6584" s="5">
        <v>2.2589157910051485</v>
      </c>
      <c r="AF6584">
        <v>1</v>
      </c>
    </row>
    <row r="6585" spans="27:32" x14ac:dyDescent="0.3">
      <c r="AA6585" s="3">
        <v>19662.330000000002</v>
      </c>
      <c r="AB6585">
        <v>1E-4</v>
      </c>
      <c r="AC6585">
        <v>8</v>
      </c>
      <c r="AD6585" s="5">
        <v>4.9989856811452844</v>
      </c>
      <c r="AE6585" s="5">
        <v>2.2313294988135186</v>
      </c>
      <c r="AF6585">
        <v>1</v>
      </c>
    </row>
    <row r="6586" spans="27:32" x14ac:dyDescent="0.3">
      <c r="AA6586" s="3">
        <v>6082.43</v>
      </c>
      <c r="AB6586">
        <v>1E-4</v>
      </c>
      <c r="AC6586">
        <v>8</v>
      </c>
      <c r="AD6586" s="5">
        <v>4.9892556798385561</v>
      </c>
      <c r="AE6586" s="5">
        <v>2.258619765145407</v>
      </c>
      <c r="AF6586">
        <v>1</v>
      </c>
    </row>
    <row r="6587" spans="27:32" x14ac:dyDescent="0.3">
      <c r="AA6587" s="3">
        <v>6200.77</v>
      </c>
      <c r="AB6587">
        <v>1E-4</v>
      </c>
      <c r="AC6587">
        <v>8</v>
      </c>
      <c r="AD6587" s="5">
        <v>5.023101596299953</v>
      </c>
      <c r="AE6587" s="5">
        <v>2.2874185118061132</v>
      </c>
      <c r="AF6587">
        <v>1</v>
      </c>
    </row>
    <row r="6588" spans="27:32" x14ac:dyDescent="0.3">
      <c r="AA6588" s="3">
        <v>29498.959999999999</v>
      </c>
      <c r="AB6588">
        <v>1E-4</v>
      </c>
      <c r="AC6588">
        <v>8</v>
      </c>
      <c r="AD6588" s="5">
        <v>5.1919553240985534</v>
      </c>
      <c r="AE6588" s="5">
        <v>2.2077543878209895</v>
      </c>
      <c r="AF6588">
        <v>1</v>
      </c>
    </row>
    <row r="6589" spans="27:32" x14ac:dyDescent="0.3">
      <c r="AA6589" s="3">
        <v>47109.95</v>
      </c>
      <c r="AB6589">
        <v>1E-4</v>
      </c>
      <c r="AC6589">
        <v>7</v>
      </c>
      <c r="AD6589" s="5">
        <v>5.1547387442257921</v>
      </c>
      <c r="AE6589" s="5">
        <v>2.2335534135320381</v>
      </c>
      <c r="AF6589">
        <v>1</v>
      </c>
    </row>
    <row r="6590" spans="27:32" x14ac:dyDescent="0.3">
      <c r="AA6590" s="3">
        <v>2547.42</v>
      </c>
      <c r="AB6590">
        <v>1E-4</v>
      </c>
      <c r="AC6590">
        <v>8</v>
      </c>
      <c r="AD6590" s="5">
        <v>4.9888869200707679</v>
      </c>
      <c r="AE6590" s="5">
        <v>2.1317407036779916</v>
      </c>
      <c r="AF6590">
        <v>1</v>
      </c>
    </row>
    <row r="6591" spans="27:32" x14ac:dyDescent="0.3">
      <c r="AA6591" s="3">
        <v>11740.78</v>
      </c>
      <c r="AB6591">
        <v>1E-4</v>
      </c>
      <c r="AC6591">
        <v>8</v>
      </c>
      <c r="AD6591" s="5">
        <v>5.0326023767419237</v>
      </c>
      <c r="AE6591" s="5">
        <v>2.2585952342342583</v>
      </c>
      <c r="AF6591">
        <v>1</v>
      </c>
    </row>
    <row r="6592" spans="27:32" x14ac:dyDescent="0.3">
      <c r="AA6592" s="3">
        <v>21100.63</v>
      </c>
      <c r="AB6592">
        <v>1E-4</v>
      </c>
      <c r="AC6592">
        <v>8</v>
      </c>
      <c r="AD6592" s="5">
        <v>5.0466474595949569</v>
      </c>
      <c r="AE6592" s="5">
        <v>2.1963707145178213</v>
      </c>
      <c r="AF6592">
        <v>1</v>
      </c>
    </row>
    <row r="6593" spans="27:32" x14ac:dyDescent="0.3">
      <c r="AA6593" s="3">
        <v>14967.67</v>
      </c>
      <c r="AB6593">
        <v>1E-4</v>
      </c>
      <c r="AC6593">
        <v>8</v>
      </c>
      <c r="AD6593" s="5">
        <v>5.1451658611818711</v>
      </c>
      <c r="AE6593" s="5">
        <v>2.2236657464412968</v>
      </c>
      <c r="AF6593">
        <v>1</v>
      </c>
    </row>
    <row r="6594" spans="27:32" x14ac:dyDescent="0.3">
      <c r="AA6594" s="3">
        <v>22149.200000000001</v>
      </c>
      <c r="AB6594">
        <v>1E-4</v>
      </c>
      <c r="AC6594">
        <v>8</v>
      </c>
      <c r="AD6594" s="5">
        <v>4.9172591541400124</v>
      </c>
      <c r="AE6594" s="5">
        <v>2.2429104325286335</v>
      </c>
      <c r="AF6594">
        <v>1</v>
      </c>
    </row>
    <row r="6595" spans="27:32" x14ac:dyDescent="0.3">
      <c r="AA6595" s="3">
        <v>28673.05</v>
      </c>
      <c r="AB6595">
        <v>1E-4</v>
      </c>
      <c r="AC6595">
        <v>8</v>
      </c>
      <c r="AD6595" s="5">
        <v>5.0365581174519276</v>
      </c>
      <c r="AE6595" s="5">
        <v>2.2856968856250077</v>
      </c>
      <c r="AF6595">
        <v>1</v>
      </c>
    </row>
    <row r="6596" spans="27:32" x14ac:dyDescent="0.3">
      <c r="AA6596" s="3">
        <v>26781.08</v>
      </c>
      <c r="AB6596">
        <v>1E-4</v>
      </c>
      <c r="AC6596">
        <v>8</v>
      </c>
      <c r="AD6596" s="5">
        <v>4.9930890422991938</v>
      </c>
      <c r="AE6596" s="5">
        <v>2.1608325529155592</v>
      </c>
      <c r="AF6596">
        <v>1</v>
      </c>
    </row>
    <row r="6597" spans="27:32" x14ac:dyDescent="0.3">
      <c r="AA6597" s="3">
        <v>-10327.84</v>
      </c>
      <c r="AB6597">
        <v>1E-4</v>
      </c>
      <c r="AC6597">
        <v>9</v>
      </c>
      <c r="AD6597" s="5">
        <v>5.061220321115024</v>
      </c>
      <c r="AE6597" s="5">
        <v>2.2432178324490644</v>
      </c>
      <c r="AF6597">
        <v>1</v>
      </c>
    </row>
    <row r="6598" spans="27:32" x14ac:dyDescent="0.3">
      <c r="AA6598" s="3">
        <v>42427.41</v>
      </c>
      <c r="AB6598">
        <v>1E-4</v>
      </c>
      <c r="AC6598">
        <v>7</v>
      </c>
      <c r="AD6598" s="5">
        <v>4.9381089545187828</v>
      </c>
      <c r="AE6598" s="5">
        <v>2.0587683032267852</v>
      </c>
      <c r="AF6598">
        <v>1</v>
      </c>
    </row>
    <row r="6599" spans="27:32" x14ac:dyDescent="0.3">
      <c r="AA6599" s="3">
        <v>13413.05</v>
      </c>
      <c r="AB6599">
        <v>1E-4</v>
      </c>
      <c r="AC6599">
        <v>8</v>
      </c>
      <c r="AD6599" s="5">
        <v>4.9508895596228939</v>
      </c>
      <c r="AE6599" s="5">
        <v>2.2347007151134188</v>
      </c>
      <c r="AF6599">
        <v>1</v>
      </c>
    </row>
    <row r="6600" spans="27:32" x14ac:dyDescent="0.3">
      <c r="AA6600" s="3">
        <v>29050.23</v>
      </c>
      <c r="AB6600">
        <v>1E-4</v>
      </c>
      <c r="AC6600">
        <v>8</v>
      </c>
      <c r="AD6600" s="5">
        <v>4.9341054549014123</v>
      </c>
      <c r="AE6600" s="5">
        <v>2.2329149286711036</v>
      </c>
      <c r="AF6600">
        <v>1</v>
      </c>
    </row>
    <row r="6601" spans="27:32" x14ac:dyDescent="0.3">
      <c r="AA6601" s="3">
        <v>10242.040000000001</v>
      </c>
      <c r="AB6601">
        <v>1E-4</v>
      </c>
      <c r="AC6601">
        <v>8</v>
      </c>
      <c r="AD6601" s="5">
        <v>5.0674459254213771</v>
      </c>
      <c r="AE6601" s="5">
        <v>2.2330524440717108</v>
      </c>
      <c r="AF6601">
        <v>1</v>
      </c>
    </row>
    <row r="6602" spans="27:32" x14ac:dyDescent="0.3">
      <c r="AA6602" s="3">
        <v>13529.88</v>
      </c>
      <c r="AB6602">
        <v>1E-4</v>
      </c>
      <c r="AC6602">
        <v>8</v>
      </c>
      <c r="AD6602" s="5">
        <v>5.1328284849060832</v>
      </c>
      <c r="AE6602" s="5">
        <v>2.2300156491633163</v>
      </c>
      <c r="AF6602">
        <v>1</v>
      </c>
    </row>
    <row r="6603" spans="27:32" x14ac:dyDescent="0.3">
      <c r="AA6603" s="3">
        <v>-30078.269875050286</v>
      </c>
      <c r="AB6603">
        <v>1E-4</v>
      </c>
      <c r="AC6603">
        <v>9</v>
      </c>
      <c r="AD6603" s="5">
        <v>4.977511767088254</v>
      </c>
      <c r="AE6603" s="5">
        <v>2.2212457696121168</v>
      </c>
      <c r="AF6603">
        <v>0</v>
      </c>
    </row>
    <row r="6604" spans="27:32" x14ac:dyDescent="0.3">
      <c r="AA6604" s="3">
        <v>47094.9</v>
      </c>
      <c r="AB6604">
        <v>1E-4</v>
      </c>
      <c r="AC6604">
        <v>7</v>
      </c>
      <c r="AD6604" s="5">
        <v>5.0366952296675409</v>
      </c>
      <c r="AE6604" s="5">
        <v>2.134088918018954</v>
      </c>
      <c r="AF6604">
        <v>1</v>
      </c>
    </row>
    <row r="6605" spans="27:32" x14ac:dyDescent="0.3">
      <c r="AA6605" s="3">
        <v>19086.509999999998</v>
      </c>
      <c r="AB6605">
        <v>1E-4</v>
      </c>
      <c r="AC6605">
        <v>8</v>
      </c>
      <c r="AD6605" s="5">
        <v>4.9899349373577992</v>
      </c>
      <c r="AE6605" s="5">
        <v>2.2233227635064594</v>
      </c>
      <c r="AF6605">
        <v>1</v>
      </c>
    </row>
    <row r="6606" spans="27:32" x14ac:dyDescent="0.3">
      <c r="AA6606" s="3">
        <v>35448.01</v>
      </c>
      <c r="AB6606">
        <v>1E-4</v>
      </c>
      <c r="AC6606">
        <v>7</v>
      </c>
      <c r="AD6606" s="5">
        <v>4.9441305976606191</v>
      </c>
      <c r="AE6606" s="5">
        <v>2.2271400518736866</v>
      </c>
      <c r="AF6606">
        <v>1</v>
      </c>
    </row>
    <row r="6607" spans="27:32" x14ac:dyDescent="0.3">
      <c r="AA6607" s="3">
        <v>-6498.97</v>
      </c>
      <c r="AB6607">
        <v>1E-4</v>
      </c>
      <c r="AC6607">
        <v>9</v>
      </c>
      <c r="AD6607" s="5">
        <v>4.9727960250164456</v>
      </c>
      <c r="AE6607" s="5">
        <v>2.1699239313299863</v>
      </c>
      <c r="AF6607">
        <v>1</v>
      </c>
    </row>
    <row r="6608" spans="27:32" x14ac:dyDescent="0.3">
      <c r="AA6608" s="3">
        <v>-13913.33</v>
      </c>
      <c r="AB6608">
        <v>1E-4</v>
      </c>
      <c r="AC6608">
        <v>9</v>
      </c>
      <c r="AD6608" s="5">
        <v>4.8727662691918043</v>
      </c>
      <c r="AE6608" s="5">
        <v>2.2440246271407749</v>
      </c>
      <c r="AF6608">
        <v>1</v>
      </c>
    </row>
    <row r="6609" spans="27:32" x14ac:dyDescent="0.3">
      <c r="AA6609" s="3">
        <v>10210.879999999999</v>
      </c>
      <c r="AB6609">
        <v>1E-4</v>
      </c>
      <c r="AC6609">
        <v>8</v>
      </c>
      <c r="AD6609" s="5">
        <v>5.1256054078753799</v>
      </c>
      <c r="AE6609" s="5">
        <v>2.2283738954892351</v>
      </c>
      <c r="AF6609">
        <v>1</v>
      </c>
    </row>
    <row r="6610" spans="27:32" x14ac:dyDescent="0.3">
      <c r="AA6610" s="3">
        <v>50832.59</v>
      </c>
      <c r="AB6610">
        <v>1E-4</v>
      </c>
      <c r="AC6610">
        <v>6</v>
      </c>
      <c r="AD6610" s="5">
        <v>4.899015814577794</v>
      </c>
      <c r="AE6610" s="5">
        <v>2.1813849557850973</v>
      </c>
      <c r="AF6610">
        <v>1</v>
      </c>
    </row>
    <row r="6611" spans="27:32" x14ac:dyDescent="0.3">
      <c r="AA6611" s="3">
        <v>11575.81</v>
      </c>
      <c r="AB6611">
        <v>1E-4</v>
      </c>
      <c r="AC6611">
        <v>8</v>
      </c>
      <c r="AD6611" s="5">
        <v>5.0185972978578102</v>
      </c>
      <c r="AE6611" s="5">
        <v>2.248748189779759</v>
      </c>
      <c r="AF6611">
        <v>1</v>
      </c>
    </row>
    <row r="6612" spans="27:32" x14ac:dyDescent="0.3">
      <c r="AA6612" s="3">
        <v>17748.27</v>
      </c>
      <c r="AB6612">
        <v>1E-4</v>
      </c>
      <c r="AC6612">
        <v>8</v>
      </c>
      <c r="AD6612" s="5">
        <v>5.0987154430064665</v>
      </c>
      <c r="AE6612" s="5">
        <v>2.2703131940577608</v>
      </c>
      <c r="AF6612">
        <v>1</v>
      </c>
    </row>
    <row r="6613" spans="27:32" x14ac:dyDescent="0.3">
      <c r="AA6613" s="3">
        <v>-9954.44</v>
      </c>
      <c r="AB6613">
        <v>1E-4</v>
      </c>
      <c r="AC6613">
        <v>9</v>
      </c>
      <c r="AD6613" s="5">
        <v>4.9371003816143144</v>
      </c>
      <c r="AE6613" s="5">
        <v>2.1419867119426947</v>
      </c>
      <c r="AF6613">
        <v>1</v>
      </c>
    </row>
    <row r="6614" spans="27:32" x14ac:dyDescent="0.3">
      <c r="AA6614" s="3">
        <v>767.7</v>
      </c>
      <c r="AB6614">
        <v>1E-4</v>
      </c>
      <c r="AC6614">
        <v>8</v>
      </c>
      <c r="AD6614" s="5">
        <v>4.9197840699256403</v>
      </c>
      <c r="AE6614" s="5">
        <v>2.1877841731456034</v>
      </c>
      <c r="AF6614">
        <v>1</v>
      </c>
    </row>
    <row r="6615" spans="27:32" x14ac:dyDescent="0.3">
      <c r="AA6615" s="3">
        <v>14389.7</v>
      </c>
      <c r="AB6615">
        <v>1E-4</v>
      </c>
      <c r="AC6615">
        <v>8</v>
      </c>
      <c r="AD6615" s="5">
        <v>5.1265720751449662</v>
      </c>
      <c r="AE6615" s="5">
        <v>2.1656696610056714</v>
      </c>
      <c r="AF6615">
        <v>1</v>
      </c>
    </row>
    <row r="6616" spans="27:32" x14ac:dyDescent="0.3">
      <c r="AA6616" s="3">
        <v>44229.36</v>
      </c>
      <c r="AB6616">
        <v>1E-4</v>
      </c>
      <c r="AC6616">
        <v>7</v>
      </c>
      <c r="AD6616" s="5">
        <v>5.20784966116035</v>
      </c>
      <c r="AE6616" s="5">
        <v>2.2060013447131337</v>
      </c>
      <c r="AF6616">
        <v>1</v>
      </c>
    </row>
    <row r="6617" spans="27:32" x14ac:dyDescent="0.3">
      <c r="AA6617" s="3">
        <v>19509.13</v>
      </c>
      <c r="AB6617">
        <v>1E-4</v>
      </c>
      <c r="AC6617">
        <v>8</v>
      </c>
      <c r="AD6617" s="5">
        <v>5.0090026197259183</v>
      </c>
      <c r="AE6617" s="5">
        <v>2.301215537859215</v>
      </c>
      <c r="AF6617">
        <v>1</v>
      </c>
    </row>
    <row r="6618" spans="27:32" x14ac:dyDescent="0.3">
      <c r="AA6618" s="3">
        <v>28842.11</v>
      </c>
      <c r="AB6618">
        <v>1E-4</v>
      </c>
      <c r="AC6618">
        <v>8</v>
      </c>
      <c r="AD6618" s="5">
        <v>4.9382908653191695</v>
      </c>
      <c r="AE6618" s="5">
        <v>2.1428241931374381</v>
      </c>
      <c r="AF6618">
        <v>1</v>
      </c>
    </row>
    <row r="6619" spans="27:32" x14ac:dyDescent="0.3">
      <c r="AA6619" s="3">
        <v>4686.12</v>
      </c>
      <c r="AB6619">
        <v>1E-4</v>
      </c>
      <c r="AC6619">
        <v>8</v>
      </c>
      <c r="AD6619" s="5">
        <v>5.1603281975382123</v>
      </c>
      <c r="AE6619" s="5">
        <v>2.2232715613683895</v>
      </c>
      <c r="AF6619">
        <v>1</v>
      </c>
    </row>
    <row r="6620" spans="27:32" x14ac:dyDescent="0.3">
      <c r="AA6620" s="3">
        <v>-4863.99</v>
      </c>
      <c r="AB6620">
        <v>1E-4</v>
      </c>
      <c r="AC6620">
        <v>9</v>
      </c>
      <c r="AD6620" s="5">
        <v>4.9102284254422415</v>
      </c>
      <c r="AE6620" s="5">
        <v>2.218890191242116</v>
      </c>
      <c r="AF6620">
        <v>1</v>
      </c>
    </row>
    <row r="6621" spans="27:32" x14ac:dyDescent="0.3">
      <c r="AA6621" s="3">
        <v>25538.9</v>
      </c>
      <c r="AB6621">
        <v>1E-4</v>
      </c>
      <c r="AC6621">
        <v>8</v>
      </c>
      <c r="AD6621" s="5">
        <v>5.0609592468706026</v>
      </c>
      <c r="AE6621" s="5">
        <v>2.2312107524091869</v>
      </c>
      <c r="AF6621">
        <v>1</v>
      </c>
    </row>
    <row r="6622" spans="27:32" x14ac:dyDescent="0.3">
      <c r="AA6622" s="3">
        <v>12422.38</v>
      </c>
      <c r="AB6622">
        <v>1E-4</v>
      </c>
      <c r="AC6622">
        <v>8</v>
      </c>
      <c r="AD6622" s="5">
        <v>4.8469126616445228</v>
      </c>
      <c r="AE6622" s="5">
        <v>2.174630569927523</v>
      </c>
      <c r="AF6622">
        <v>1</v>
      </c>
    </row>
    <row r="6623" spans="27:32" x14ac:dyDescent="0.3">
      <c r="AA6623" s="3">
        <v>35588.17</v>
      </c>
      <c r="AB6623">
        <v>1E-4</v>
      </c>
      <c r="AC6623">
        <v>7</v>
      </c>
      <c r="AD6623" s="5">
        <v>5.2189894884392949</v>
      </c>
      <c r="AE6623" s="5">
        <v>2.1160503524675351</v>
      </c>
      <c r="AF6623">
        <v>1</v>
      </c>
    </row>
    <row r="6624" spans="27:32" x14ac:dyDescent="0.3">
      <c r="AA6624" s="3">
        <v>30951.51</v>
      </c>
      <c r="AB6624">
        <v>1E-4</v>
      </c>
      <c r="AC6624">
        <v>8</v>
      </c>
      <c r="AD6624" s="5">
        <v>5.1085886714746946</v>
      </c>
      <c r="AE6624" s="5">
        <v>2.2374037232871622</v>
      </c>
      <c r="AF6624">
        <v>1</v>
      </c>
    </row>
    <row r="6625" spans="27:32" x14ac:dyDescent="0.3">
      <c r="AA6625" s="3">
        <v>40419.78</v>
      </c>
      <c r="AB6625">
        <v>1E-4</v>
      </c>
      <c r="AC6625">
        <v>7</v>
      </c>
      <c r="AD6625" s="5">
        <v>5.0568648426702758</v>
      </c>
      <c r="AE6625" s="5">
        <v>2.259459155608158</v>
      </c>
      <c r="AF6625">
        <v>1</v>
      </c>
    </row>
    <row r="6626" spans="27:32" x14ac:dyDescent="0.3">
      <c r="AA6626" s="3">
        <v>54671.05</v>
      </c>
      <c r="AB6626">
        <v>1E-4</v>
      </c>
      <c r="AC6626">
        <v>6</v>
      </c>
      <c r="AD6626" s="5">
        <v>5.1736507601439463</v>
      </c>
      <c r="AE6626" s="5">
        <v>2.2372763819647683</v>
      </c>
      <c r="AF6626">
        <v>1</v>
      </c>
    </row>
    <row r="6627" spans="27:32" x14ac:dyDescent="0.3">
      <c r="AA6627" s="3">
        <v>34230.199999999997</v>
      </c>
      <c r="AB6627">
        <v>1E-4</v>
      </c>
      <c r="AC6627">
        <v>7</v>
      </c>
      <c r="AD6627" s="5">
        <v>4.9366147049798856</v>
      </c>
      <c r="AE6627" s="5">
        <v>2.1781276063428074</v>
      </c>
      <c r="AF6627">
        <v>1</v>
      </c>
    </row>
    <row r="6628" spans="27:32" x14ac:dyDescent="0.3">
      <c r="AA6628" s="3">
        <v>19509.43</v>
      </c>
      <c r="AB6628">
        <v>1E-4</v>
      </c>
      <c r="AC6628">
        <v>8</v>
      </c>
      <c r="AD6628" s="5">
        <v>4.9888752039413262</v>
      </c>
      <c r="AE6628" s="5">
        <v>2.1573242363977725</v>
      </c>
      <c r="AF6628">
        <v>1</v>
      </c>
    </row>
    <row r="6629" spans="27:32" x14ac:dyDescent="0.3">
      <c r="AA6629" s="3">
        <v>6525.72</v>
      </c>
      <c r="AB6629">
        <v>1E-4</v>
      </c>
      <c r="AC6629">
        <v>8</v>
      </c>
      <c r="AD6629" s="5">
        <v>4.9605384351072699</v>
      </c>
      <c r="AE6629" s="5">
        <v>2.1979401194632473</v>
      </c>
      <c r="AF6629">
        <v>1</v>
      </c>
    </row>
    <row r="6630" spans="27:32" x14ac:dyDescent="0.3">
      <c r="AA6630" s="3">
        <v>7565.85</v>
      </c>
      <c r="AB6630">
        <v>1E-4</v>
      </c>
      <c r="AC6630">
        <v>8</v>
      </c>
      <c r="AD6630" s="5">
        <v>4.9796869643763531</v>
      </c>
      <c r="AE6630" s="5">
        <v>2.1704540688975342</v>
      </c>
      <c r="AF6630">
        <v>1</v>
      </c>
    </row>
    <row r="6631" spans="27:32" x14ac:dyDescent="0.3">
      <c r="AA6631" s="3">
        <v>31773.48</v>
      </c>
      <c r="AB6631">
        <v>1E-4</v>
      </c>
      <c r="AC6631">
        <v>7</v>
      </c>
      <c r="AD6631" s="5">
        <v>5.0029671378326031</v>
      </c>
      <c r="AE6631" s="5">
        <v>2.2522569423766541</v>
      </c>
      <c r="AF6631">
        <v>1</v>
      </c>
    </row>
    <row r="6632" spans="27:32" x14ac:dyDescent="0.3">
      <c r="AA6632" s="3">
        <v>19615.16</v>
      </c>
      <c r="AB6632">
        <v>1E-4</v>
      </c>
      <c r="AC6632">
        <v>8</v>
      </c>
      <c r="AD6632" s="5">
        <v>5.1042579197205127</v>
      </c>
      <c r="AE6632" s="5">
        <v>2.2260530493337773</v>
      </c>
      <c r="AF6632">
        <v>1</v>
      </c>
    </row>
    <row r="6633" spans="27:32" x14ac:dyDescent="0.3">
      <c r="AA6633" s="3">
        <v>30090.36</v>
      </c>
      <c r="AB6633">
        <v>1E-4</v>
      </c>
      <c r="AC6633">
        <v>7</v>
      </c>
      <c r="AD6633" s="5">
        <v>5.0140198021491473</v>
      </c>
      <c r="AE6633" s="5">
        <v>2.1169636678386419</v>
      </c>
      <c r="AF6633">
        <v>1</v>
      </c>
    </row>
    <row r="6634" spans="27:32" x14ac:dyDescent="0.3">
      <c r="AA6634" s="3">
        <v>28370.33</v>
      </c>
      <c r="AB6634">
        <v>1E-4</v>
      </c>
      <c r="AC6634">
        <v>7</v>
      </c>
      <c r="AD6634" s="5">
        <v>5.1752753946172607</v>
      </c>
      <c r="AE6634" s="5">
        <v>2.2062598525122978</v>
      </c>
      <c r="AF6634">
        <v>1</v>
      </c>
    </row>
    <row r="6635" spans="27:32" x14ac:dyDescent="0.3">
      <c r="AA6635" s="3">
        <v>51558.98</v>
      </c>
      <c r="AB6635">
        <v>1E-4</v>
      </c>
      <c r="AC6635">
        <v>6</v>
      </c>
      <c r="AD6635" s="5">
        <v>5.0235091257737414</v>
      </c>
      <c r="AE6635" s="5">
        <v>2.132982458298184</v>
      </c>
      <c r="AF6635">
        <v>1</v>
      </c>
    </row>
    <row r="6636" spans="27:32" x14ac:dyDescent="0.3">
      <c r="AA6636" s="3">
        <v>23321.99</v>
      </c>
      <c r="AB6636">
        <v>1E-4</v>
      </c>
      <c r="AC6636">
        <v>8</v>
      </c>
      <c r="AD6636" s="5">
        <v>5.04201303869971</v>
      </c>
      <c r="AE6636" s="5">
        <v>2.1881244626409604</v>
      </c>
      <c r="AF6636">
        <v>1</v>
      </c>
    </row>
    <row r="6637" spans="27:32" x14ac:dyDescent="0.3">
      <c r="AA6637" s="3">
        <v>34515.1</v>
      </c>
      <c r="AB6637">
        <v>1E-4</v>
      </c>
      <c r="AC6637">
        <v>7</v>
      </c>
      <c r="AD6637" s="5">
        <v>5.1678890749561264</v>
      </c>
      <c r="AE6637" s="5">
        <v>2.1692911918202449</v>
      </c>
      <c r="AF6637">
        <v>1</v>
      </c>
    </row>
    <row r="6638" spans="27:32" x14ac:dyDescent="0.3">
      <c r="AA6638" s="3">
        <v>3641.49</v>
      </c>
      <c r="AB6638">
        <v>1E-4</v>
      </c>
      <c r="AC6638">
        <v>8</v>
      </c>
      <c r="AD6638" s="5">
        <v>4.9665168036850913</v>
      </c>
      <c r="AE6638" s="5">
        <v>2.1744515263292992</v>
      </c>
      <c r="AF6638">
        <v>1</v>
      </c>
    </row>
    <row r="6639" spans="27:32" x14ac:dyDescent="0.3">
      <c r="AA6639" s="3">
        <v>-5154.76</v>
      </c>
      <c r="AB6639">
        <v>1E-4</v>
      </c>
      <c r="AC6639">
        <v>9</v>
      </c>
      <c r="AD6639" s="5">
        <v>5.0632458123832622</v>
      </c>
      <c r="AE6639" s="5">
        <v>2.222597262759733</v>
      </c>
      <c r="AF6639">
        <v>1</v>
      </c>
    </row>
    <row r="6640" spans="27:32" x14ac:dyDescent="0.3">
      <c r="AA6640" s="3">
        <v>4803.7299999999996</v>
      </c>
      <c r="AB6640">
        <v>1E-4</v>
      </c>
      <c r="AC6640">
        <v>8</v>
      </c>
      <c r="AD6640" s="5">
        <v>4.8810010036917388</v>
      </c>
      <c r="AE6640" s="5">
        <v>2.2048036442031358</v>
      </c>
      <c r="AF6640">
        <v>1</v>
      </c>
    </row>
    <row r="6641" spans="27:32" x14ac:dyDescent="0.3">
      <c r="AA6641" s="3">
        <v>5278.95</v>
      </c>
      <c r="AB6641">
        <v>1E-4</v>
      </c>
      <c r="AC6641">
        <v>8</v>
      </c>
      <c r="AD6641" s="5">
        <v>5.1230275700377588</v>
      </c>
      <c r="AE6641" s="5">
        <v>2.220990641861198</v>
      </c>
      <c r="AF6641">
        <v>1</v>
      </c>
    </row>
    <row r="6642" spans="27:32" x14ac:dyDescent="0.3">
      <c r="AA6642" s="3">
        <v>-6560.92</v>
      </c>
      <c r="AB6642">
        <v>1E-4</v>
      </c>
      <c r="AC6642">
        <v>9</v>
      </c>
      <c r="AD6642" s="5">
        <v>5.017955345018124</v>
      </c>
      <c r="AE6642" s="5">
        <v>2.1567131314506565</v>
      </c>
      <c r="AF6642">
        <v>1</v>
      </c>
    </row>
    <row r="6643" spans="27:32" x14ac:dyDescent="0.3">
      <c r="AA6643" s="3">
        <v>975.81</v>
      </c>
      <c r="AB6643">
        <v>1E-4</v>
      </c>
      <c r="AC6643">
        <v>8</v>
      </c>
      <c r="AD6643" s="5">
        <v>5.1432644832017376</v>
      </c>
      <c r="AE6643" s="5">
        <v>2.3117279043604491</v>
      </c>
      <c r="AF6643">
        <v>1</v>
      </c>
    </row>
    <row r="6644" spans="27:32" x14ac:dyDescent="0.3">
      <c r="AA6644" s="3">
        <v>32697.37</v>
      </c>
      <c r="AB6644">
        <v>1E-4</v>
      </c>
      <c r="AC6644">
        <v>7</v>
      </c>
      <c r="AD6644" s="5">
        <v>4.8799081379806797</v>
      </c>
      <c r="AE6644" s="5">
        <v>2.1758042177247603</v>
      </c>
      <c r="AF6644">
        <v>1</v>
      </c>
    </row>
    <row r="6645" spans="27:32" x14ac:dyDescent="0.3">
      <c r="AA6645" s="3">
        <v>-9147.74</v>
      </c>
      <c r="AB6645">
        <v>1E-4</v>
      </c>
      <c r="AC6645">
        <v>9</v>
      </c>
      <c r="AD6645" s="5">
        <v>4.9513026878774422</v>
      </c>
      <c r="AE6645" s="5">
        <v>2.1829263448070648</v>
      </c>
      <c r="AF6645">
        <v>1</v>
      </c>
    </row>
    <row r="6646" spans="27:32" x14ac:dyDescent="0.3">
      <c r="AA6646" s="3">
        <v>22203.13</v>
      </c>
      <c r="AB6646">
        <v>1E-4</v>
      </c>
      <c r="AC6646">
        <v>8</v>
      </c>
      <c r="AD6646" s="5">
        <v>5.0248811384079755</v>
      </c>
      <c r="AE6646" s="5">
        <v>2.2337333612037371</v>
      </c>
      <c r="AF6646">
        <v>1</v>
      </c>
    </row>
    <row r="6647" spans="27:32" x14ac:dyDescent="0.3">
      <c r="AA6647" s="3">
        <v>-12830.885680986366</v>
      </c>
      <c r="AB6647">
        <v>1E-4</v>
      </c>
      <c r="AC6647">
        <v>9</v>
      </c>
      <c r="AD6647" s="5">
        <v>4.8037402257955577</v>
      </c>
      <c r="AE6647" s="5">
        <v>2.2615373403617816</v>
      </c>
      <c r="AF6647">
        <v>0</v>
      </c>
    </row>
    <row r="6648" spans="27:32" x14ac:dyDescent="0.3">
      <c r="AA6648" s="3">
        <v>13634.84</v>
      </c>
      <c r="AB6648">
        <v>1E-4</v>
      </c>
      <c r="AC6648">
        <v>8</v>
      </c>
      <c r="AD6648" s="5">
        <v>4.8898424850404663</v>
      </c>
      <c r="AE6648" s="5">
        <v>2.1707595953072145</v>
      </c>
      <c r="AF6648">
        <v>1</v>
      </c>
    </row>
    <row r="6649" spans="27:32" x14ac:dyDescent="0.3">
      <c r="AA6649" s="3">
        <v>22859.64</v>
      </c>
      <c r="AB6649">
        <v>1E-4</v>
      </c>
      <c r="AC6649">
        <v>8</v>
      </c>
      <c r="AD6649" s="5">
        <v>5.1170302742407463</v>
      </c>
      <c r="AE6649" s="5">
        <v>2.1849821422255378</v>
      </c>
      <c r="AF6649">
        <v>1</v>
      </c>
    </row>
    <row r="6650" spans="27:32" x14ac:dyDescent="0.3">
      <c r="AA6650" s="3">
        <v>10115.799999999999</v>
      </c>
      <c r="AB6650">
        <v>1E-4</v>
      </c>
      <c r="AC6650">
        <v>8</v>
      </c>
      <c r="AD6650" s="5">
        <v>5.0889461587859932</v>
      </c>
      <c r="AE6650" s="5">
        <v>2.1901693883554039</v>
      </c>
      <c r="AF6650">
        <v>1</v>
      </c>
    </row>
    <row r="6651" spans="27:32" x14ac:dyDescent="0.3">
      <c r="AA6651" s="3">
        <v>-31151.570187128815</v>
      </c>
      <c r="AB6651">
        <v>1E-4</v>
      </c>
      <c r="AC6651">
        <v>9</v>
      </c>
      <c r="AD6651" s="5">
        <v>4.8861900784866377</v>
      </c>
      <c r="AE6651" s="5">
        <v>2.2900488161766512</v>
      </c>
      <c r="AF6651">
        <v>0</v>
      </c>
    </row>
    <row r="6652" spans="27:32" x14ac:dyDescent="0.3">
      <c r="AA6652" s="3">
        <v>24199.83</v>
      </c>
      <c r="AB6652">
        <v>1E-4</v>
      </c>
      <c r="AC6652">
        <v>8</v>
      </c>
      <c r="AD6652" s="5">
        <v>5.0921991309598571</v>
      </c>
      <c r="AE6652" s="5">
        <v>2.1664716476228048</v>
      </c>
      <c r="AF6652">
        <v>1</v>
      </c>
    </row>
    <row r="6653" spans="27:32" x14ac:dyDescent="0.3">
      <c r="AA6653" s="3">
        <v>30634.35</v>
      </c>
      <c r="AB6653">
        <v>1E-4</v>
      </c>
      <c r="AC6653">
        <v>8</v>
      </c>
      <c r="AD6653" s="5">
        <v>5.0532906805095656</v>
      </c>
      <c r="AE6653" s="5">
        <v>2.1550208911725739</v>
      </c>
      <c r="AF6653">
        <v>1</v>
      </c>
    </row>
    <row r="6654" spans="27:32" x14ac:dyDescent="0.3">
      <c r="AA6654" s="3">
        <v>13534.58</v>
      </c>
      <c r="AB6654">
        <v>1E-4</v>
      </c>
      <c r="AC6654">
        <v>8</v>
      </c>
      <c r="AD6654" s="5">
        <v>5.0939438915371893</v>
      </c>
      <c r="AE6654" s="5">
        <v>2.2088968020100577</v>
      </c>
      <c r="AF6654">
        <v>1</v>
      </c>
    </row>
    <row r="6655" spans="27:32" x14ac:dyDescent="0.3">
      <c r="AA6655" s="3">
        <v>24839.85</v>
      </c>
      <c r="AB6655">
        <v>1E-4</v>
      </c>
      <c r="AC6655">
        <v>8</v>
      </c>
      <c r="AD6655" s="5">
        <v>5.0139136304923548</v>
      </c>
      <c r="AE6655" s="5">
        <v>2.1367628841395607</v>
      </c>
      <c r="AF6655">
        <v>1</v>
      </c>
    </row>
    <row r="6656" spans="27:32" x14ac:dyDescent="0.3">
      <c r="AA6656" s="3">
        <v>13887.51</v>
      </c>
      <c r="AB6656">
        <v>1E-4</v>
      </c>
      <c r="AC6656">
        <v>8</v>
      </c>
      <c r="AD6656" s="5">
        <v>4.9767286715680115</v>
      </c>
      <c r="AE6656" s="5">
        <v>2.1610708612736804</v>
      </c>
      <c r="AF6656">
        <v>1</v>
      </c>
    </row>
    <row r="6657" spans="27:32" x14ac:dyDescent="0.3">
      <c r="AA6657" s="3">
        <v>20566.55</v>
      </c>
      <c r="AB6657">
        <v>1E-4</v>
      </c>
      <c r="AC6657">
        <v>8</v>
      </c>
      <c r="AD6657" s="5">
        <v>5.0631029379555326</v>
      </c>
      <c r="AE6657" s="5">
        <v>2.1452359059079438</v>
      </c>
      <c r="AF6657">
        <v>1</v>
      </c>
    </row>
    <row r="6658" spans="27:32" x14ac:dyDescent="0.3">
      <c r="AA6658" s="3">
        <v>14199.31</v>
      </c>
      <c r="AB6658">
        <v>1E-4</v>
      </c>
      <c r="AC6658">
        <v>8</v>
      </c>
      <c r="AD6658" s="5">
        <v>5.0264700005694785</v>
      </c>
      <c r="AE6658" s="5">
        <v>2.2760645799113144</v>
      </c>
      <c r="AF6658">
        <v>1</v>
      </c>
    </row>
    <row r="6659" spans="27:32" x14ac:dyDescent="0.3">
      <c r="AA6659" s="3">
        <v>-371.46</v>
      </c>
      <c r="AB6659">
        <v>1E-4</v>
      </c>
      <c r="AC6659">
        <v>9</v>
      </c>
      <c r="AD6659" s="5">
        <v>5.0786558421932373</v>
      </c>
      <c r="AE6659" s="5">
        <v>2.2756498900764037</v>
      </c>
      <c r="AF6659">
        <v>1</v>
      </c>
    </row>
    <row r="6660" spans="27:32" x14ac:dyDescent="0.3">
      <c r="AA6660" s="3">
        <v>-9966.67</v>
      </c>
      <c r="AB6660">
        <v>1E-4</v>
      </c>
      <c r="AC6660">
        <v>9</v>
      </c>
      <c r="AD6660" s="5">
        <v>5.0787938037288178</v>
      </c>
      <c r="AE6660" s="5">
        <v>2.1825838407323794</v>
      </c>
      <c r="AF6660">
        <v>1</v>
      </c>
    </row>
    <row r="6661" spans="27:32" x14ac:dyDescent="0.3">
      <c r="AA6661" s="3">
        <v>6416.31</v>
      </c>
      <c r="AB6661">
        <v>1E-4</v>
      </c>
      <c r="AC6661">
        <v>8</v>
      </c>
      <c r="AD6661" s="5">
        <v>5.0126190301548679</v>
      </c>
      <c r="AE6661" s="5">
        <v>2.2208655924428395</v>
      </c>
      <c r="AF6661">
        <v>1</v>
      </c>
    </row>
    <row r="6662" spans="27:32" x14ac:dyDescent="0.3">
      <c r="AA6662" s="3">
        <v>33486.720000000001</v>
      </c>
      <c r="AB6662">
        <v>1E-4</v>
      </c>
      <c r="AC6662">
        <v>7</v>
      </c>
      <c r="AD6662" s="5">
        <v>5.0159462363928169</v>
      </c>
      <c r="AE6662" s="5">
        <v>2.2625284871070743</v>
      </c>
      <c r="AF6662">
        <v>1</v>
      </c>
    </row>
    <row r="6663" spans="27:32" x14ac:dyDescent="0.3">
      <c r="AA6663" s="3">
        <v>4408.84</v>
      </c>
      <c r="AB6663">
        <v>1E-4</v>
      </c>
      <c r="AC6663">
        <v>8</v>
      </c>
      <c r="AD6663" s="5">
        <v>4.9194420285146405</v>
      </c>
      <c r="AE6663" s="5">
        <v>2.2175589650041805</v>
      </c>
      <c r="AF6663">
        <v>1</v>
      </c>
    </row>
    <row r="6664" spans="27:32" x14ac:dyDescent="0.3">
      <c r="AA6664" s="3">
        <v>49021.15</v>
      </c>
      <c r="AB6664">
        <v>1E-4</v>
      </c>
      <c r="AC6664">
        <v>6</v>
      </c>
      <c r="AD6664" s="5">
        <v>5.0708651614720193</v>
      </c>
      <c r="AE6664" s="5">
        <v>2.207489600375319</v>
      </c>
      <c r="AF6664">
        <v>1</v>
      </c>
    </row>
    <row r="6665" spans="27:32" x14ac:dyDescent="0.3">
      <c r="AA6665" s="3">
        <v>34585.93</v>
      </c>
      <c r="AB6665">
        <v>1E-4</v>
      </c>
      <c r="AC6665">
        <v>7</v>
      </c>
      <c r="AD6665" s="5">
        <v>5.0668982020157181</v>
      </c>
      <c r="AE6665" s="5">
        <v>2.2099244768075499</v>
      </c>
      <c r="AF6665">
        <v>1</v>
      </c>
    </row>
    <row r="6666" spans="27:32" x14ac:dyDescent="0.3">
      <c r="AA6666" s="3">
        <v>41903.72</v>
      </c>
      <c r="AB6666">
        <v>1E-4</v>
      </c>
      <c r="AC6666">
        <v>7</v>
      </c>
      <c r="AD6666" s="5">
        <v>5.2521004722172053</v>
      </c>
      <c r="AE6666" s="5">
        <v>2.1306416179571372</v>
      </c>
      <c r="AF6666">
        <v>1</v>
      </c>
    </row>
    <row r="6667" spans="27:32" x14ac:dyDescent="0.3">
      <c r="AA6667" s="3">
        <v>11694.02</v>
      </c>
      <c r="AB6667">
        <v>1E-4</v>
      </c>
      <c r="AC6667">
        <v>8</v>
      </c>
      <c r="AD6667" s="5">
        <v>4.971263518724931</v>
      </c>
      <c r="AE6667" s="5">
        <v>2.2190580707763305</v>
      </c>
      <c r="AF6667">
        <v>1</v>
      </c>
    </row>
    <row r="6668" spans="27:32" x14ac:dyDescent="0.3">
      <c r="AA6668" s="3">
        <v>7648.68</v>
      </c>
      <c r="AB6668">
        <v>1E-4</v>
      </c>
      <c r="AC6668">
        <v>8</v>
      </c>
      <c r="AD6668" s="5">
        <v>4.9964757890605309</v>
      </c>
      <c r="AE6668" s="5">
        <v>2.1335732205430502</v>
      </c>
      <c r="AF6668">
        <v>1</v>
      </c>
    </row>
    <row r="6669" spans="27:32" x14ac:dyDescent="0.3">
      <c r="AA6669" s="3">
        <v>2875.18</v>
      </c>
      <c r="AB6669">
        <v>1E-4</v>
      </c>
      <c r="AC6669">
        <v>8</v>
      </c>
      <c r="AD6669" s="5">
        <v>5.0052038262313276</v>
      </c>
      <c r="AE6669" s="5">
        <v>2.2361289677541327</v>
      </c>
      <c r="AF6669">
        <v>1</v>
      </c>
    </row>
    <row r="6670" spans="27:32" x14ac:dyDescent="0.3">
      <c r="AA6670" s="3">
        <v>2529.98</v>
      </c>
      <c r="AB6670">
        <v>1E-4</v>
      </c>
      <c r="AC6670">
        <v>8</v>
      </c>
      <c r="AD6670" s="5">
        <v>4.8581092092636089</v>
      </c>
      <c r="AE6670" s="5">
        <v>2.1879500212550118</v>
      </c>
      <c r="AF6670">
        <v>1</v>
      </c>
    </row>
    <row r="6671" spans="27:32" x14ac:dyDescent="0.3">
      <c r="AA6671" s="3">
        <v>-14096.23</v>
      </c>
      <c r="AB6671">
        <v>1E-4</v>
      </c>
      <c r="AC6671">
        <v>9</v>
      </c>
      <c r="AD6671" s="5">
        <v>4.9151796454416488</v>
      </c>
      <c r="AE6671" s="5">
        <v>2.2144506135975499</v>
      </c>
      <c r="AF6671">
        <v>1</v>
      </c>
    </row>
    <row r="6672" spans="27:32" x14ac:dyDescent="0.3">
      <c r="AA6672" s="3">
        <v>-5403.8</v>
      </c>
      <c r="AB6672">
        <v>1E-4</v>
      </c>
      <c r="AC6672">
        <v>9</v>
      </c>
      <c r="AD6672" s="5">
        <v>4.7774544269210448</v>
      </c>
      <c r="AE6672" s="5">
        <v>2.250672610418293</v>
      </c>
      <c r="AF6672">
        <v>1</v>
      </c>
    </row>
    <row r="6673" spans="27:32" x14ac:dyDescent="0.3">
      <c r="AA6673" s="3">
        <v>18900.849999999999</v>
      </c>
      <c r="AB6673">
        <v>1E-4</v>
      </c>
      <c r="AC6673">
        <v>8</v>
      </c>
      <c r="AD6673" s="5">
        <v>4.9145005683799257</v>
      </c>
      <c r="AE6673" s="5">
        <v>2.2404062421721074</v>
      </c>
      <c r="AF6673">
        <v>1</v>
      </c>
    </row>
    <row r="6674" spans="27:32" x14ac:dyDescent="0.3">
      <c r="AA6674" s="3">
        <v>22710.39</v>
      </c>
      <c r="AB6674">
        <v>1E-4</v>
      </c>
      <c r="AC6674">
        <v>8</v>
      </c>
      <c r="AD6674" s="5">
        <v>4.9798269784275755</v>
      </c>
      <c r="AE6674" s="5">
        <v>2.1387261741170858</v>
      </c>
      <c r="AF6674">
        <v>1</v>
      </c>
    </row>
    <row r="6675" spans="27:32" x14ac:dyDescent="0.3">
      <c r="AA6675" s="3">
        <v>17307.27</v>
      </c>
      <c r="AB6675">
        <v>1E-4</v>
      </c>
      <c r="AC6675">
        <v>8</v>
      </c>
      <c r="AD6675" s="5">
        <v>5.1245574661567508</v>
      </c>
      <c r="AE6675" s="5">
        <v>2.2214936912368257</v>
      </c>
      <c r="AF6675">
        <v>1</v>
      </c>
    </row>
    <row r="6676" spans="27:32" x14ac:dyDescent="0.3">
      <c r="AA6676" s="3">
        <v>28730.19</v>
      </c>
      <c r="AB6676">
        <v>1E-4</v>
      </c>
      <c r="AC6676">
        <v>8</v>
      </c>
      <c r="AD6676" s="5">
        <v>4.8451415917919016</v>
      </c>
      <c r="AE6676" s="5">
        <v>2.1286586605840454</v>
      </c>
      <c r="AF6676">
        <v>1</v>
      </c>
    </row>
    <row r="6677" spans="27:32" x14ac:dyDescent="0.3">
      <c r="AA6677" s="3">
        <v>38382.639999999999</v>
      </c>
      <c r="AB6677">
        <v>1E-4</v>
      </c>
      <c r="AC6677">
        <v>7</v>
      </c>
      <c r="AD6677" s="5">
        <v>5.1686462618234472</v>
      </c>
      <c r="AE6677" s="5">
        <v>2.1385893929723805</v>
      </c>
      <c r="AF6677">
        <v>1</v>
      </c>
    </row>
    <row r="6678" spans="27:32" x14ac:dyDescent="0.3">
      <c r="AA6678" s="3">
        <v>33779.410000000003</v>
      </c>
      <c r="AB6678">
        <v>1E-4</v>
      </c>
      <c r="AC6678">
        <v>7</v>
      </c>
      <c r="AD6678" s="5">
        <v>4.9790162447032742</v>
      </c>
      <c r="AE6678" s="5">
        <v>2.1803080591997217</v>
      </c>
      <c r="AF6678">
        <v>1</v>
      </c>
    </row>
    <row r="6679" spans="27:32" x14ac:dyDescent="0.3">
      <c r="AA6679" s="3">
        <v>-7231.69</v>
      </c>
      <c r="AB6679">
        <v>1E-4</v>
      </c>
      <c r="AC6679">
        <v>9</v>
      </c>
      <c r="AD6679" s="5">
        <v>4.8412030845297691</v>
      </c>
      <c r="AE6679" s="5">
        <v>2.2122091572566625</v>
      </c>
      <c r="AF6679">
        <v>1</v>
      </c>
    </row>
    <row r="6680" spans="27:32" x14ac:dyDescent="0.3">
      <c r="AA6680" s="3">
        <v>1194.32</v>
      </c>
      <c r="AB6680">
        <v>1E-4</v>
      </c>
      <c r="AC6680">
        <v>8</v>
      </c>
      <c r="AD6680" s="5">
        <v>4.8207591815919182</v>
      </c>
      <c r="AE6680" s="5">
        <v>2.2170572532732251</v>
      </c>
      <c r="AF6680">
        <v>1</v>
      </c>
    </row>
    <row r="6681" spans="27:32" x14ac:dyDescent="0.3">
      <c r="AA6681" s="3">
        <v>22335.1</v>
      </c>
      <c r="AB6681">
        <v>1E-4</v>
      </c>
      <c r="AC6681">
        <v>8</v>
      </c>
      <c r="AD6681" s="5">
        <v>4.947902753365371</v>
      </c>
      <c r="AE6681" s="5">
        <v>2.1857728735757704</v>
      </c>
      <c r="AF6681">
        <v>1</v>
      </c>
    </row>
    <row r="6682" spans="27:32" x14ac:dyDescent="0.3">
      <c r="AA6682" s="3">
        <v>34507.21</v>
      </c>
      <c r="AB6682">
        <v>1E-4</v>
      </c>
      <c r="AC6682">
        <v>7</v>
      </c>
      <c r="AD6682" s="5">
        <v>5.0391586988281256</v>
      </c>
      <c r="AE6682" s="5">
        <v>2.1383970383866311</v>
      </c>
      <c r="AF6682">
        <v>1</v>
      </c>
    </row>
    <row r="6683" spans="27:32" x14ac:dyDescent="0.3">
      <c r="AA6683" s="3">
        <v>39011.129999999997</v>
      </c>
      <c r="AB6683">
        <v>1E-4</v>
      </c>
      <c r="AC6683">
        <v>7</v>
      </c>
      <c r="AD6683" s="5">
        <v>4.9838629125278828</v>
      </c>
      <c r="AE6683" s="5">
        <v>2.1690972448116086</v>
      </c>
      <c r="AF6683">
        <v>1</v>
      </c>
    </row>
    <row r="6684" spans="27:32" x14ac:dyDescent="0.3">
      <c r="AA6684" s="3">
        <v>7658.09</v>
      </c>
      <c r="AB6684">
        <v>1E-4</v>
      </c>
      <c r="AC6684">
        <v>8</v>
      </c>
      <c r="AD6684" s="5">
        <v>4.920745359026176</v>
      </c>
      <c r="AE6684" s="5">
        <v>2.1907388005240693</v>
      </c>
      <c r="AF6684">
        <v>1</v>
      </c>
    </row>
    <row r="6685" spans="27:32" x14ac:dyDescent="0.3">
      <c r="AA6685" s="3">
        <v>46693.61</v>
      </c>
      <c r="AB6685">
        <v>1E-4</v>
      </c>
      <c r="AC6685">
        <v>6</v>
      </c>
      <c r="AD6685" s="5">
        <v>5.0987707097326327</v>
      </c>
      <c r="AE6685" s="5">
        <v>2.1706086054428644</v>
      </c>
      <c r="AF6685">
        <v>1</v>
      </c>
    </row>
    <row r="6686" spans="27:32" x14ac:dyDescent="0.3">
      <c r="AA6686" s="3">
        <v>14490.57</v>
      </c>
      <c r="AB6686">
        <v>1E-4</v>
      </c>
      <c r="AC6686">
        <v>8</v>
      </c>
      <c r="AD6686" s="5">
        <v>4.9374709255047398</v>
      </c>
      <c r="AE6686" s="5">
        <v>2.1443567240006387</v>
      </c>
      <c r="AF6686">
        <v>1</v>
      </c>
    </row>
    <row r="6687" spans="27:32" x14ac:dyDescent="0.3">
      <c r="AA6687" s="3">
        <v>-1072.8599999999999</v>
      </c>
      <c r="AB6687">
        <v>1E-4</v>
      </c>
      <c r="AC6687">
        <v>9</v>
      </c>
      <c r="AD6687" s="5">
        <v>4.9436695509857573</v>
      </c>
      <c r="AE6687" s="5">
        <v>2.1921010648517991</v>
      </c>
      <c r="AF6687">
        <v>1</v>
      </c>
    </row>
    <row r="6688" spans="27:32" x14ac:dyDescent="0.3">
      <c r="AA6688" s="3">
        <v>23004.26</v>
      </c>
      <c r="AB6688">
        <v>1E-4</v>
      </c>
      <c r="AC6688">
        <v>8</v>
      </c>
      <c r="AD6688" s="5">
        <v>4.9397690529970077</v>
      </c>
      <c r="AE6688" s="5">
        <v>2.1460466932714253</v>
      </c>
      <c r="AF6688">
        <v>1</v>
      </c>
    </row>
    <row r="6689" spans="27:32" x14ac:dyDescent="0.3">
      <c r="AA6689" s="3">
        <v>19659.41</v>
      </c>
      <c r="AB6689">
        <v>1E-4</v>
      </c>
      <c r="AC6689">
        <v>8</v>
      </c>
      <c r="AD6689" s="5">
        <v>4.9004337378594496</v>
      </c>
      <c r="AE6689" s="5">
        <v>2.1356403553155463</v>
      </c>
      <c r="AF6689">
        <v>1</v>
      </c>
    </row>
    <row r="6690" spans="27:32" x14ac:dyDescent="0.3">
      <c r="AA6690" s="3">
        <v>7509.22</v>
      </c>
      <c r="AB6690">
        <v>1E-4</v>
      </c>
      <c r="AC6690">
        <v>8</v>
      </c>
      <c r="AD6690" s="5">
        <v>5.0973646695191484</v>
      </c>
      <c r="AE6690" s="5">
        <v>2.2127419536668973</v>
      </c>
      <c r="AF6690">
        <v>1</v>
      </c>
    </row>
    <row r="6691" spans="27:32" x14ac:dyDescent="0.3">
      <c r="AA6691" s="3">
        <v>21817.77</v>
      </c>
      <c r="AB6691">
        <v>1E-4</v>
      </c>
      <c r="AC6691">
        <v>8</v>
      </c>
      <c r="AD6691" s="5">
        <v>4.8896256220238987</v>
      </c>
      <c r="AE6691" s="5">
        <v>2.2211117218198457</v>
      </c>
      <c r="AF6691">
        <v>1</v>
      </c>
    </row>
    <row r="6692" spans="27:32" x14ac:dyDescent="0.3">
      <c r="AA6692" s="3">
        <v>46759.44</v>
      </c>
      <c r="AB6692">
        <v>1E-4</v>
      </c>
      <c r="AC6692">
        <v>7</v>
      </c>
      <c r="AD6692" s="5">
        <v>5.1360633894118424</v>
      </c>
      <c r="AE6692" s="5">
        <v>2.2029799840823743</v>
      </c>
      <c r="AF6692">
        <v>1</v>
      </c>
    </row>
    <row r="6693" spans="27:32" x14ac:dyDescent="0.3">
      <c r="AA6693" s="3">
        <v>23258.9</v>
      </c>
      <c r="AB6693">
        <v>1E-4</v>
      </c>
      <c r="AC6693">
        <v>8</v>
      </c>
      <c r="AD6693" s="5">
        <v>5.1023651803397989</v>
      </c>
      <c r="AE6693" s="5">
        <v>2.2281304601169207</v>
      </c>
      <c r="AF6693">
        <v>1</v>
      </c>
    </row>
    <row r="6694" spans="27:32" x14ac:dyDescent="0.3">
      <c r="AA6694" s="3">
        <v>10118.120000000001</v>
      </c>
      <c r="AB6694">
        <v>1E-4</v>
      </c>
      <c r="AC6694">
        <v>8</v>
      </c>
      <c r="AD6694" s="5">
        <v>5.0101198157260933</v>
      </c>
      <c r="AE6694" s="5">
        <v>2.2554337050000681</v>
      </c>
      <c r="AF6694">
        <v>1</v>
      </c>
    </row>
    <row r="6695" spans="27:32" x14ac:dyDescent="0.3">
      <c r="AA6695" s="3">
        <v>37014.5</v>
      </c>
      <c r="AB6695">
        <v>1E-4</v>
      </c>
      <c r="AC6695">
        <v>7</v>
      </c>
      <c r="AD6695" s="5">
        <v>5.0324894883749316</v>
      </c>
      <c r="AE6695" s="5">
        <v>2.1905117974072899</v>
      </c>
      <c r="AF6695">
        <v>1</v>
      </c>
    </row>
    <row r="6696" spans="27:32" x14ac:dyDescent="0.3">
      <c r="AA6696" s="3">
        <v>-3670.37</v>
      </c>
      <c r="AB6696">
        <v>1E-4</v>
      </c>
      <c r="AC6696">
        <v>9</v>
      </c>
      <c r="AD6696" s="5">
        <v>5.0327369819142413</v>
      </c>
      <c r="AE6696" s="5">
        <v>2.1483740044717461</v>
      </c>
      <c r="AF6696">
        <v>1</v>
      </c>
    </row>
    <row r="6697" spans="27:32" x14ac:dyDescent="0.3">
      <c r="AA6697" s="3">
        <v>60752.33</v>
      </c>
      <c r="AB6697">
        <v>1E-4</v>
      </c>
      <c r="AC6697">
        <v>6</v>
      </c>
      <c r="AD6697" s="5">
        <v>5.1496235007715061</v>
      </c>
      <c r="AE6697" s="5">
        <v>2.1696208884021364</v>
      </c>
      <c r="AF6697">
        <v>1</v>
      </c>
    </row>
    <row r="6698" spans="27:32" x14ac:dyDescent="0.3">
      <c r="AA6698" s="3">
        <v>14814.98</v>
      </c>
      <c r="AB6698">
        <v>1E-4</v>
      </c>
      <c r="AC6698">
        <v>8</v>
      </c>
      <c r="AD6698" s="5">
        <v>5.0486507350259684</v>
      </c>
      <c r="AE6698" s="5">
        <v>2.2608092547064405</v>
      </c>
      <c r="AF6698">
        <v>1</v>
      </c>
    </row>
    <row r="6699" spans="27:32" x14ac:dyDescent="0.3">
      <c r="AA6699" s="3">
        <v>17009.66</v>
      </c>
      <c r="AB6699">
        <v>1E-4</v>
      </c>
      <c r="AC6699">
        <v>8</v>
      </c>
      <c r="AD6699" s="5">
        <v>5.0784573243769406</v>
      </c>
      <c r="AE6699" s="5">
        <v>2.1437844636997339</v>
      </c>
      <c r="AF6699">
        <v>1</v>
      </c>
    </row>
    <row r="6700" spans="27:32" x14ac:dyDescent="0.3">
      <c r="AA6700" s="3">
        <v>-2827.96</v>
      </c>
      <c r="AB6700">
        <v>1E-4</v>
      </c>
      <c r="AC6700">
        <v>9</v>
      </c>
      <c r="AD6700" s="5">
        <v>4.985158529405056</v>
      </c>
      <c r="AE6700" s="5">
        <v>2.187019858147587</v>
      </c>
      <c r="AF6700">
        <v>1</v>
      </c>
    </row>
    <row r="6701" spans="27:32" x14ac:dyDescent="0.3">
      <c r="AA6701" s="3">
        <v>2058.31</v>
      </c>
      <c r="AB6701">
        <v>1E-4</v>
      </c>
      <c r="AC6701">
        <v>8</v>
      </c>
      <c r="AD6701" s="5">
        <v>4.857348476679439</v>
      </c>
      <c r="AE6701" s="5">
        <v>2.2052732456772293</v>
      </c>
      <c r="AF6701">
        <v>1</v>
      </c>
    </row>
    <row r="6702" spans="27:32" x14ac:dyDescent="0.3">
      <c r="AA6702" s="3">
        <v>2380.88</v>
      </c>
      <c r="AB6702">
        <v>1E-4</v>
      </c>
      <c r="AC6702">
        <v>8</v>
      </c>
      <c r="AD6702" s="5">
        <v>4.8788741612509545</v>
      </c>
      <c r="AE6702" s="5">
        <v>2.2359010353753757</v>
      </c>
      <c r="AF6702">
        <v>1</v>
      </c>
    </row>
    <row r="6703" spans="27:32" x14ac:dyDescent="0.3">
      <c r="AA6703" s="3">
        <v>20358.060000000001</v>
      </c>
      <c r="AB6703">
        <v>1E-4</v>
      </c>
      <c r="AC6703">
        <v>8</v>
      </c>
      <c r="AD6703" s="5">
        <v>4.9103285832531007</v>
      </c>
      <c r="AE6703" s="5">
        <v>2.2333456492516137</v>
      </c>
      <c r="AF6703">
        <v>1</v>
      </c>
    </row>
    <row r="6704" spans="27:32" x14ac:dyDescent="0.3">
      <c r="AA6704" s="3">
        <v>14390.38</v>
      </c>
      <c r="AB6704">
        <v>1E-4</v>
      </c>
      <c r="AC6704">
        <v>8</v>
      </c>
      <c r="AD6704" s="5">
        <v>5.1921096586640623</v>
      </c>
      <c r="AE6704" s="5">
        <v>2.2337587904489378</v>
      </c>
      <c r="AF6704">
        <v>1</v>
      </c>
    </row>
    <row r="6705" spans="27:32" x14ac:dyDescent="0.3">
      <c r="AA6705" s="3">
        <v>19997.84</v>
      </c>
      <c r="AB6705">
        <v>1E-4</v>
      </c>
      <c r="AC6705">
        <v>8</v>
      </c>
      <c r="AD6705" s="5">
        <v>5.0751560184239661</v>
      </c>
      <c r="AE6705" s="5">
        <v>2.2173540063938684</v>
      </c>
      <c r="AF6705">
        <v>1</v>
      </c>
    </row>
    <row r="6706" spans="27:32" x14ac:dyDescent="0.3">
      <c r="AA6706" s="3">
        <v>-28357.91</v>
      </c>
      <c r="AB6706">
        <v>1E-4</v>
      </c>
      <c r="AC6706">
        <v>9</v>
      </c>
      <c r="AD6706" s="5">
        <v>4.8738109460956291</v>
      </c>
      <c r="AE6706" s="5">
        <v>2.2244579272241225</v>
      </c>
      <c r="AF6706">
        <v>1</v>
      </c>
    </row>
    <row r="6707" spans="27:32" x14ac:dyDescent="0.3">
      <c r="AA6707" s="3">
        <v>15602.67</v>
      </c>
      <c r="AB6707">
        <v>1E-4</v>
      </c>
      <c r="AC6707">
        <v>8</v>
      </c>
      <c r="AD6707" s="5">
        <v>5.0737277320323857</v>
      </c>
      <c r="AE6707" s="5">
        <v>2.2346710138474686</v>
      </c>
      <c r="AF6707">
        <v>1</v>
      </c>
    </row>
    <row r="6708" spans="27:32" x14ac:dyDescent="0.3">
      <c r="AA6708" s="3">
        <v>25369.65</v>
      </c>
      <c r="AB6708">
        <v>1E-4</v>
      </c>
      <c r="AC6708">
        <v>8</v>
      </c>
      <c r="AD6708" s="5">
        <v>4.8679311350219461</v>
      </c>
      <c r="AE6708" s="5">
        <v>2.2259481106373826</v>
      </c>
      <c r="AF6708">
        <v>1</v>
      </c>
    </row>
    <row r="6709" spans="27:32" x14ac:dyDescent="0.3">
      <c r="AA6709" s="3">
        <v>14593.25</v>
      </c>
      <c r="AB6709">
        <v>1E-4</v>
      </c>
      <c r="AC6709">
        <v>8</v>
      </c>
      <c r="AD6709" s="5">
        <v>4.9255100102995666</v>
      </c>
      <c r="AE6709" s="5">
        <v>2.3108822080897338</v>
      </c>
      <c r="AF6709">
        <v>1</v>
      </c>
    </row>
    <row r="6710" spans="27:32" x14ac:dyDescent="0.3">
      <c r="AA6710" s="3">
        <v>22237.41</v>
      </c>
      <c r="AB6710">
        <v>1E-4</v>
      </c>
      <c r="AC6710">
        <v>8</v>
      </c>
      <c r="AD6710" s="5">
        <v>4.9409171629025348</v>
      </c>
      <c r="AE6710" s="5">
        <v>2.2413859920940711</v>
      </c>
      <c r="AF6710">
        <v>1</v>
      </c>
    </row>
    <row r="6711" spans="27:32" x14ac:dyDescent="0.3">
      <c r="AA6711" s="3">
        <v>-2727.16</v>
      </c>
      <c r="AB6711">
        <v>1E-4</v>
      </c>
      <c r="AC6711">
        <v>9</v>
      </c>
      <c r="AD6711" s="5">
        <v>5.0560295277624521</v>
      </c>
      <c r="AE6711" s="5">
        <v>2.1931999032482632</v>
      </c>
      <c r="AF6711">
        <v>1</v>
      </c>
    </row>
    <row r="6712" spans="27:32" x14ac:dyDescent="0.3">
      <c r="AA6712" s="3">
        <v>38827.32</v>
      </c>
      <c r="AB6712">
        <v>1E-4</v>
      </c>
      <c r="AC6712">
        <v>7</v>
      </c>
      <c r="AD6712" s="5">
        <v>5.1536143164726456</v>
      </c>
      <c r="AE6712" s="5">
        <v>2.2744373127669424</v>
      </c>
      <c r="AF6712">
        <v>1</v>
      </c>
    </row>
    <row r="6713" spans="27:32" x14ac:dyDescent="0.3">
      <c r="AA6713" s="3">
        <v>35127.370000000003</v>
      </c>
      <c r="AB6713">
        <v>1E-4</v>
      </c>
      <c r="AC6713">
        <v>7</v>
      </c>
      <c r="AD6713" s="5">
        <v>5.1619977223764462</v>
      </c>
      <c r="AE6713" s="5">
        <v>2.2342558803935435</v>
      </c>
      <c r="AF6713">
        <v>1</v>
      </c>
    </row>
    <row r="6714" spans="27:32" x14ac:dyDescent="0.3">
      <c r="AA6714" s="3">
        <v>-6335.14</v>
      </c>
      <c r="AB6714">
        <v>1E-4</v>
      </c>
      <c r="AC6714">
        <v>9</v>
      </c>
      <c r="AD6714" s="5">
        <v>4.9964277199833136</v>
      </c>
      <c r="AE6714" s="5">
        <v>2.1796581473909553</v>
      </c>
      <c r="AF6714">
        <v>1</v>
      </c>
    </row>
    <row r="6715" spans="27:32" x14ac:dyDescent="0.3">
      <c r="AA6715" s="3">
        <v>14372.47</v>
      </c>
      <c r="AB6715">
        <v>1E-4</v>
      </c>
      <c r="AC6715">
        <v>8</v>
      </c>
      <c r="AD6715" s="5">
        <v>4.9656508801465407</v>
      </c>
      <c r="AE6715" s="5">
        <v>2.2508184425502971</v>
      </c>
      <c r="AF6715">
        <v>1</v>
      </c>
    </row>
    <row r="6716" spans="27:32" x14ac:dyDescent="0.3">
      <c r="AA6716" s="3">
        <v>63527.96</v>
      </c>
      <c r="AB6716">
        <v>1E-4</v>
      </c>
      <c r="AC6716">
        <v>6</v>
      </c>
      <c r="AD6716" s="5">
        <v>5.1442683598462953</v>
      </c>
      <c r="AE6716" s="5">
        <v>2.236306852142611</v>
      </c>
      <c r="AF6716">
        <v>1</v>
      </c>
    </row>
    <row r="6717" spans="27:32" x14ac:dyDescent="0.3">
      <c r="AA6717" s="3">
        <v>47154.77</v>
      </c>
      <c r="AB6717">
        <v>1E-4</v>
      </c>
      <c r="AC6717">
        <v>6</v>
      </c>
      <c r="AD6717" s="5">
        <v>4.8604761881134211</v>
      </c>
      <c r="AE6717" s="5">
        <v>2.1876111406950192</v>
      </c>
      <c r="AF6717">
        <v>1</v>
      </c>
    </row>
    <row r="6718" spans="27:32" x14ac:dyDescent="0.3">
      <c r="AA6718" s="3">
        <v>13184.49</v>
      </c>
      <c r="AB6718">
        <v>1E-4</v>
      </c>
      <c r="AC6718">
        <v>8</v>
      </c>
      <c r="AD6718" s="5">
        <v>4.9508737905059954</v>
      </c>
      <c r="AE6718" s="5">
        <v>2.1753473791391076</v>
      </c>
      <c r="AF6718">
        <v>1</v>
      </c>
    </row>
    <row r="6719" spans="27:32" x14ac:dyDescent="0.3">
      <c r="AA6719" s="3">
        <v>3826.47</v>
      </c>
      <c r="AB6719">
        <v>1E-4</v>
      </c>
      <c r="AC6719">
        <v>8</v>
      </c>
      <c r="AD6719" s="5">
        <v>5.124142553129996</v>
      </c>
      <c r="AE6719" s="5">
        <v>2.2157743162356822</v>
      </c>
      <c r="AF6719">
        <v>1</v>
      </c>
    </row>
    <row r="6720" spans="27:32" x14ac:dyDescent="0.3">
      <c r="AA6720" s="3">
        <v>28476.46</v>
      </c>
      <c r="AB6720">
        <v>1E-4</v>
      </c>
      <c r="AC6720">
        <v>8</v>
      </c>
      <c r="AD6720" s="5">
        <v>5.1890491902553144</v>
      </c>
      <c r="AE6720" s="5">
        <v>2.2546851634842375</v>
      </c>
      <c r="AF6720">
        <v>1</v>
      </c>
    </row>
    <row r="6721" spans="27:32" x14ac:dyDescent="0.3">
      <c r="AA6721" s="3">
        <v>-16252.51</v>
      </c>
      <c r="AB6721">
        <v>1E-4</v>
      </c>
      <c r="AC6721">
        <v>9</v>
      </c>
      <c r="AD6721" s="5">
        <v>4.8870751612673908</v>
      </c>
      <c r="AE6721" s="5">
        <v>2.129318405780189</v>
      </c>
      <c r="AF6721">
        <v>1</v>
      </c>
    </row>
    <row r="6722" spans="27:32" x14ac:dyDescent="0.3">
      <c r="AA6722" s="3">
        <v>42525.52</v>
      </c>
      <c r="AB6722">
        <v>1E-4</v>
      </c>
      <c r="AC6722">
        <v>7</v>
      </c>
      <c r="AD6722" s="5">
        <v>5.2111832620541421</v>
      </c>
      <c r="AE6722" s="5">
        <v>2.1765462318736128</v>
      </c>
      <c r="AF6722">
        <v>1</v>
      </c>
    </row>
    <row r="6723" spans="27:32" x14ac:dyDescent="0.3">
      <c r="AA6723" s="3">
        <v>2074.0500000000002</v>
      </c>
      <c r="AB6723">
        <v>1E-4</v>
      </c>
      <c r="AC6723">
        <v>8</v>
      </c>
      <c r="AD6723" s="5">
        <v>4.9571221050324716</v>
      </c>
      <c r="AE6723" s="5">
        <v>2.1531117928870942</v>
      </c>
      <c r="AF6723">
        <v>1</v>
      </c>
    </row>
    <row r="6724" spans="27:32" x14ac:dyDescent="0.3">
      <c r="AA6724" s="3">
        <v>3401.51</v>
      </c>
      <c r="AB6724">
        <v>1E-4</v>
      </c>
      <c r="AC6724">
        <v>8</v>
      </c>
      <c r="AD6724" s="5">
        <v>4.9555975351610746</v>
      </c>
      <c r="AE6724" s="5">
        <v>2.1810962416762494</v>
      </c>
      <c r="AF6724">
        <v>1</v>
      </c>
    </row>
    <row r="6725" spans="27:32" x14ac:dyDescent="0.3">
      <c r="AA6725" s="3">
        <v>14608.19</v>
      </c>
      <c r="AB6725">
        <v>1E-4</v>
      </c>
      <c r="AC6725">
        <v>8</v>
      </c>
      <c r="AD6725" s="5">
        <v>5.1120843299037624</v>
      </c>
      <c r="AE6725" s="5">
        <v>2.2046130870783296</v>
      </c>
      <c r="AF6725">
        <v>1</v>
      </c>
    </row>
    <row r="6726" spans="27:32" x14ac:dyDescent="0.3">
      <c r="AA6726" s="3">
        <v>45485.87</v>
      </c>
      <c r="AB6726">
        <v>1E-4</v>
      </c>
      <c r="AC6726">
        <v>7</v>
      </c>
      <c r="AD6726" s="5">
        <v>5.0955676636108675</v>
      </c>
      <c r="AE6726" s="5">
        <v>2.2057205707269221</v>
      </c>
      <c r="AF6726">
        <v>1</v>
      </c>
    </row>
    <row r="6727" spans="27:32" x14ac:dyDescent="0.3">
      <c r="AA6727" s="3">
        <v>-17808.93</v>
      </c>
      <c r="AB6727">
        <v>1E-4</v>
      </c>
      <c r="AC6727">
        <v>9</v>
      </c>
      <c r="AD6727" s="5">
        <v>4.9238434354251233</v>
      </c>
      <c r="AE6727" s="5">
        <v>2.2609384030092063</v>
      </c>
      <c r="AF6727">
        <v>1</v>
      </c>
    </row>
    <row r="6728" spans="27:32" x14ac:dyDescent="0.3">
      <c r="AA6728" s="3">
        <v>14753.9</v>
      </c>
      <c r="AB6728">
        <v>1E-4</v>
      </c>
      <c r="AC6728">
        <v>8</v>
      </c>
      <c r="AD6728" s="5">
        <v>5.0428327825415327</v>
      </c>
      <c r="AE6728" s="5">
        <v>2.207860988353302</v>
      </c>
      <c r="AF6728">
        <v>1</v>
      </c>
    </row>
    <row r="6729" spans="27:32" x14ac:dyDescent="0.3">
      <c r="AA6729" s="3">
        <v>16110.21</v>
      </c>
      <c r="AB6729">
        <v>1E-4</v>
      </c>
      <c r="AC6729">
        <v>8</v>
      </c>
      <c r="AD6729" s="5">
        <v>5.0419253565693909</v>
      </c>
      <c r="AE6729" s="5">
        <v>2.236232180108606</v>
      </c>
      <c r="AF6729">
        <v>1</v>
      </c>
    </row>
    <row r="6730" spans="27:32" x14ac:dyDescent="0.3">
      <c r="AA6730" s="3">
        <v>24718.26</v>
      </c>
      <c r="AB6730">
        <v>1E-4</v>
      </c>
      <c r="AC6730">
        <v>8</v>
      </c>
      <c r="AD6730" s="5">
        <v>5.0905789377160158</v>
      </c>
      <c r="AE6730" s="5">
        <v>2.2205379910849543</v>
      </c>
      <c r="AF6730">
        <v>1</v>
      </c>
    </row>
    <row r="6731" spans="27:32" x14ac:dyDescent="0.3">
      <c r="AA6731" s="3">
        <v>13904.19</v>
      </c>
      <c r="AB6731">
        <v>1E-4</v>
      </c>
      <c r="AC6731">
        <v>8</v>
      </c>
      <c r="AD6731" s="5">
        <v>5.0004970165373601</v>
      </c>
      <c r="AE6731" s="5">
        <v>2.2868640432100609</v>
      </c>
      <c r="AF6731">
        <v>1</v>
      </c>
    </row>
    <row r="6732" spans="27:32" x14ac:dyDescent="0.3">
      <c r="AA6732" s="3">
        <v>30576.07</v>
      </c>
      <c r="AB6732">
        <v>1E-4</v>
      </c>
      <c r="AC6732">
        <v>7</v>
      </c>
      <c r="AD6732" s="5">
        <v>4.9256790809923725</v>
      </c>
      <c r="AE6732" s="5">
        <v>2.1816973641170776</v>
      </c>
      <c r="AF6732">
        <v>1</v>
      </c>
    </row>
    <row r="6733" spans="27:32" x14ac:dyDescent="0.3">
      <c r="AA6733" s="3">
        <v>24861.43</v>
      </c>
      <c r="AB6733">
        <v>1E-4</v>
      </c>
      <c r="AC6733">
        <v>8</v>
      </c>
      <c r="AD6733" s="5">
        <v>4.961018583308376</v>
      </c>
      <c r="AE6733" s="5">
        <v>2.1516293010862144</v>
      </c>
      <c r="AF6733">
        <v>1</v>
      </c>
    </row>
    <row r="6734" spans="27:32" x14ac:dyDescent="0.3">
      <c r="AA6734" s="3">
        <v>-9365.16</v>
      </c>
      <c r="AB6734">
        <v>1E-4</v>
      </c>
      <c r="AC6734">
        <v>9</v>
      </c>
      <c r="AD6734" s="5">
        <v>4.927869663430795</v>
      </c>
      <c r="AE6734" s="5">
        <v>2.1896620256434316</v>
      </c>
      <c r="AF6734">
        <v>1</v>
      </c>
    </row>
    <row r="6735" spans="27:32" x14ac:dyDescent="0.3">
      <c r="AA6735" s="3">
        <v>10079.23</v>
      </c>
      <c r="AB6735">
        <v>1E-4</v>
      </c>
      <c r="AC6735">
        <v>8</v>
      </c>
      <c r="AD6735" s="5">
        <v>4.9376596395080945</v>
      </c>
      <c r="AE6735" s="5">
        <v>2.1895845631424327</v>
      </c>
      <c r="AF6735">
        <v>1</v>
      </c>
    </row>
    <row r="6736" spans="27:32" x14ac:dyDescent="0.3">
      <c r="AA6736" s="3">
        <v>26491.42</v>
      </c>
      <c r="AB6736">
        <v>1E-4</v>
      </c>
      <c r="AC6736">
        <v>8</v>
      </c>
      <c r="AD6736" s="5">
        <v>4.8806906507967618</v>
      </c>
      <c r="AE6736" s="5">
        <v>2.0931009757991781</v>
      </c>
      <c r="AF6736">
        <v>1</v>
      </c>
    </row>
    <row r="6737" spans="27:32" x14ac:dyDescent="0.3">
      <c r="AA6737" s="3">
        <v>-2321.7399999999998</v>
      </c>
      <c r="AB6737">
        <v>1E-4</v>
      </c>
      <c r="AC6737">
        <v>9</v>
      </c>
      <c r="AD6737" s="5">
        <v>4.7906106740524832</v>
      </c>
      <c r="AE6737" s="5">
        <v>2.1792480387410196</v>
      </c>
      <c r="AF6737">
        <v>1</v>
      </c>
    </row>
    <row r="6738" spans="27:32" x14ac:dyDescent="0.3">
      <c r="AA6738" s="3">
        <v>-1456.18</v>
      </c>
      <c r="AB6738">
        <v>1E-4</v>
      </c>
      <c r="AC6738">
        <v>9</v>
      </c>
      <c r="AD6738" s="5">
        <v>4.9147287787280982</v>
      </c>
      <c r="AE6738" s="5">
        <v>2.2061319620549322</v>
      </c>
      <c r="AF6738">
        <v>1</v>
      </c>
    </row>
    <row r="6739" spans="27:32" x14ac:dyDescent="0.3">
      <c r="AA6739" s="3">
        <v>9415.31</v>
      </c>
      <c r="AB6739">
        <v>1E-4</v>
      </c>
      <c r="AC6739">
        <v>8</v>
      </c>
      <c r="AD6739" s="5">
        <v>4.9959012807138121</v>
      </c>
      <c r="AE6739" s="5">
        <v>2.1832061318715597</v>
      </c>
      <c r="AF6739">
        <v>1</v>
      </c>
    </row>
    <row r="6740" spans="27:32" x14ac:dyDescent="0.3">
      <c r="AA6740" s="3">
        <v>8504.08</v>
      </c>
      <c r="AB6740">
        <v>1E-4</v>
      </c>
      <c r="AC6740">
        <v>8</v>
      </c>
      <c r="AD6740" s="5">
        <v>4.9222219723795142</v>
      </c>
      <c r="AE6740" s="5">
        <v>2.2068461424414259</v>
      </c>
      <c r="AF6740">
        <v>1</v>
      </c>
    </row>
    <row r="6741" spans="27:32" x14ac:dyDescent="0.3">
      <c r="AA6741" s="3">
        <v>9449.94</v>
      </c>
      <c r="AB6741">
        <v>1E-4</v>
      </c>
      <c r="AC6741">
        <v>8</v>
      </c>
      <c r="AD6741" s="5">
        <v>5.0039336092664151</v>
      </c>
      <c r="AE6741" s="5">
        <v>2.2396126713811859</v>
      </c>
      <c r="AF6741">
        <v>1</v>
      </c>
    </row>
    <row r="6742" spans="27:32" x14ac:dyDescent="0.3">
      <c r="AA6742" s="3">
        <v>-8839.76</v>
      </c>
      <c r="AB6742">
        <v>1E-4</v>
      </c>
      <c r="AC6742">
        <v>9</v>
      </c>
      <c r="AD6742" s="5">
        <v>4.7740723005943835</v>
      </c>
      <c r="AE6742" s="5">
        <v>2.3357281482924761</v>
      </c>
      <c r="AF6742">
        <v>1</v>
      </c>
    </row>
    <row r="6743" spans="27:32" x14ac:dyDescent="0.3">
      <c r="AA6743" s="3">
        <v>10139.11</v>
      </c>
      <c r="AB6743">
        <v>1E-4</v>
      </c>
      <c r="AC6743">
        <v>8</v>
      </c>
      <c r="AD6743" s="5">
        <v>4.9762971322111724</v>
      </c>
      <c r="AE6743" s="5">
        <v>2.1104156197209725</v>
      </c>
      <c r="AF6743">
        <v>1</v>
      </c>
    </row>
    <row r="6744" spans="27:32" x14ac:dyDescent="0.3">
      <c r="AA6744" s="3">
        <v>16380.45</v>
      </c>
      <c r="AB6744">
        <v>1E-4</v>
      </c>
      <c r="AC6744">
        <v>8</v>
      </c>
      <c r="AD6744" s="5">
        <v>4.874409896959059</v>
      </c>
      <c r="AE6744" s="5">
        <v>2.130573095093534</v>
      </c>
      <c r="AF6744">
        <v>1</v>
      </c>
    </row>
    <row r="6745" spans="27:32" x14ac:dyDescent="0.3">
      <c r="AA6745" s="3">
        <v>23463.87</v>
      </c>
      <c r="AB6745">
        <v>1E-4</v>
      </c>
      <c r="AC6745">
        <v>8</v>
      </c>
      <c r="AD6745" s="5">
        <v>5.1533161824492844</v>
      </c>
      <c r="AE6745" s="5">
        <v>2.2488512488566763</v>
      </c>
      <c r="AF6745">
        <v>1</v>
      </c>
    </row>
    <row r="6746" spans="27:32" x14ac:dyDescent="0.3">
      <c r="AA6746" s="3">
        <v>14680.34</v>
      </c>
      <c r="AB6746">
        <v>1E-4</v>
      </c>
      <c r="AC6746">
        <v>8</v>
      </c>
      <c r="AD6746" s="5">
        <v>4.9702323704385165</v>
      </c>
      <c r="AE6746" s="5">
        <v>2.1700637662777105</v>
      </c>
      <c r="AF6746">
        <v>1</v>
      </c>
    </row>
    <row r="6747" spans="27:32" x14ac:dyDescent="0.3">
      <c r="AA6747" s="3">
        <v>13281.68</v>
      </c>
      <c r="AB6747">
        <v>1E-4</v>
      </c>
      <c r="AC6747">
        <v>8</v>
      </c>
      <c r="AD6747" s="5">
        <v>4.9612847066788461</v>
      </c>
      <c r="AE6747" s="5">
        <v>2.2587499049204043</v>
      </c>
      <c r="AF6747">
        <v>1</v>
      </c>
    </row>
    <row r="6748" spans="27:32" x14ac:dyDescent="0.3">
      <c r="AA6748" s="3">
        <v>42300.7</v>
      </c>
      <c r="AB6748">
        <v>1E-4</v>
      </c>
      <c r="AC6748">
        <v>7</v>
      </c>
      <c r="AD6748" s="5">
        <v>4.9667834149485737</v>
      </c>
      <c r="AE6748" s="5">
        <v>2.157403790714608</v>
      </c>
      <c r="AF6748">
        <v>1</v>
      </c>
    </row>
    <row r="6749" spans="27:32" x14ac:dyDescent="0.3">
      <c r="AA6749" s="3">
        <v>11568.99</v>
      </c>
      <c r="AB6749">
        <v>1E-4</v>
      </c>
      <c r="AC6749">
        <v>8</v>
      </c>
      <c r="AD6749" s="5">
        <v>5.1126344729458451</v>
      </c>
      <c r="AE6749" s="5">
        <v>2.1843549666817039</v>
      </c>
      <c r="AF6749">
        <v>1</v>
      </c>
    </row>
    <row r="6750" spans="27:32" x14ac:dyDescent="0.3">
      <c r="AA6750" s="3">
        <v>9930.49</v>
      </c>
      <c r="AB6750">
        <v>1E-4</v>
      </c>
      <c r="AC6750">
        <v>8</v>
      </c>
      <c r="AD6750" s="5">
        <v>4.9389979732208804</v>
      </c>
      <c r="AE6750" s="5">
        <v>2.2239337875259193</v>
      </c>
      <c r="AF6750">
        <v>1</v>
      </c>
    </row>
    <row r="6751" spans="27:32" x14ac:dyDescent="0.3">
      <c r="AA6751" s="3">
        <v>10925.93</v>
      </c>
      <c r="AB6751">
        <v>1E-4</v>
      </c>
      <c r="AC6751">
        <v>8</v>
      </c>
      <c r="AD6751" s="5">
        <v>5.0043002020534715</v>
      </c>
      <c r="AE6751" s="5">
        <v>2.182249882173001</v>
      </c>
      <c r="AF6751">
        <v>1</v>
      </c>
    </row>
    <row r="6752" spans="27:32" x14ac:dyDescent="0.3">
      <c r="AA6752" s="3">
        <v>3274.4</v>
      </c>
      <c r="AB6752">
        <v>1E-4</v>
      </c>
      <c r="AC6752">
        <v>8</v>
      </c>
      <c r="AD6752" s="5">
        <v>5.1574347644283618</v>
      </c>
      <c r="AE6752" s="5">
        <v>2.1710704574802779</v>
      </c>
      <c r="AF6752">
        <v>1</v>
      </c>
    </row>
    <row r="6753" spans="27:32" x14ac:dyDescent="0.3">
      <c r="AA6753" s="3">
        <v>36427.18</v>
      </c>
      <c r="AB6753">
        <v>1E-4</v>
      </c>
      <c r="AC6753">
        <v>7</v>
      </c>
      <c r="AD6753" s="5">
        <v>5.1162724959215558</v>
      </c>
      <c r="AE6753" s="5">
        <v>2.2447363042837334</v>
      </c>
      <c r="AF6753">
        <v>1</v>
      </c>
    </row>
    <row r="6754" spans="27:32" x14ac:dyDescent="0.3">
      <c r="AA6754" s="3">
        <v>-6292.98</v>
      </c>
      <c r="AB6754">
        <v>1E-4</v>
      </c>
      <c r="AC6754">
        <v>9</v>
      </c>
      <c r="AD6754" s="5">
        <v>4.9583109518624608</v>
      </c>
      <c r="AE6754" s="5">
        <v>2.1585932595606621</v>
      </c>
      <c r="AF6754">
        <v>1</v>
      </c>
    </row>
    <row r="6755" spans="27:32" x14ac:dyDescent="0.3">
      <c r="AA6755" s="3">
        <v>13592.04</v>
      </c>
      <c r="AB6755">
        <v>1E-4</v>
      </c>
      <c r="AC6755">
        <v>8</v>
      </c>
      <c r="AD6755" s="5">
        <v>4.9765126260990069</v>
      </c>
      <c r="AE6755" s="5">
        <v>2.1922027910282131</v>
      </c>
      <c r="AF6755">
        <v>1</v>
      </c>
    </row>
    <row r="6756" spans="27:32" x14ac:dyDescent="0.3">
      <c r="AA6756" s="3">
        <v>-5042.63</v>
      </c>
      <c r="AB6756">
        <v>1E-4</v>
      </c>
      <c r="AC6756">
        <v>9</v>
      </c>
      <c r="AD6756" s="5">
        <v>4.8095992356769113</v>
      </c>
      <c r="AE6756" s="5">
        <v>2.2226302673833254</v>
      </c>
      <c r="AF6756">
        <v>1</v>
      </c>
    </row>
    <row r="6757" spans="27:32" x14ac:dyDescent="0.3">
      <c r="AA6757" s="3">
        <v>4831.7</v>
      </c>
      <c r="AB6757">
        <v>1E-4</v>
      </c>
      <c r="AC6757">
        <v>8</v>
      </c>
      <c r="AD6757" s="5">
        <v>4.9403376721635324</v>
      </c>
      <c r="AE6757" s="5">
        <v>2.2121296771598851</v>
      </c>
      <c r="AF6757">
        <v>1</v>
      </c>
    </row>
    <row r="6758" spans="27:32" x14ac:dyDescent="0.3">
      <c r="AA6758" s="3">
        <v>1333.96</v>
      </c>
      <c r="AB6758">
        <v>1E-4</v>
      </c>
      <c r="AC6758">
        <v>8</v>
      </c>
      <c r="AD6758" s="5">
        <v>5.0096282755027479</v>
      </c>
      <c r="AE6758" s="5">
        <v>2.1357615046160592</v>
      </c>
      <c r="AF6758">
        <v>1</v>
      </c>
    </row>
    <row r="6759" spans="27:32" x14ac:dyDescent="0.3">
      <c r="AA6759" s="3">
        <v>-4922.99</v>
      </c>
      <c r="AB6759">
        <v>1E-4</v>
      </c>
      <c r="AC6759">
        <v>9</v>
      </c>
      <c r="AD6759" s="5">
        <v>4.9355439896814204</v>
      </c>
      <c r="AE6759" s="5">
        <v>2.2385790467023026</v>
      </c>
      <c r="AF6759">
        <v>1</v>
      </c>
    </row>
    <row r="6760" spans="27:32" x14ac:dyDescent="0.3">
      <c r="AA6760" s="3">
        <v>54049.77</v>
      </c>
      <c r="AB6760">
        <v>1E-4</v>
      </c>
      <c r="AC6760">
        <v>6</v>
      </c>
      <c r="AD6760" s="5">
        <v>5.0030048815652224</v>
      </c>
      <c r="AE6760" s="5">
        <v>2.1184967885231361</v>
      </c>
      <c r="AF6760">
        <v>1</v>
      </c>
    </row>
    <row r="6761" spans="27:32" x14ac:dyDescent="0.3">
      <c r="AA6761" s="3">
        <v>21465.29</v>
      </c>
      <c r="AB6761">
        <v>1E-4</v>
      </c>
      <c r="AC6761">
        <v>8</v>
      </c>
      <c r="AD6761" s="5">
        <v>5.0054868227041709</v>
      </c>
      <c r="AE6761" s="5">
        <v>2.211951870241136</v>
      </c>
      <c r="AF6761">
        <v>1</v>
      </c>
    </row>
    <row r="6762" spans="27:32" x14ac:dyDescent="0.3">
      <c r="AA6762" s="3">
        <v>22422.14</v>
      </c>
      <c r="AB6762">
        <v>1E-4</v>
      </c>
      <c r="AC6762">
        <v>8</v>
      </c>
      <c r="AD6762" s="5">
        <v>5.137928523196253</v>
      </c>
      <c r="AE6762" s="5">
        <v>2.1949650171950914</v>
      </c>
      <c r="AF6762">
        <v>1</v>
      </c>
    </row>
    <row r="6763" spans="27:32" x14ac:dyDescent="0.3">
      <c r="AA6763" s="3">
        <v>46430.49</v>
      </c>
      <c r="AB6763">
        <v>1E-4</v>
      </c>
      <c r="AC6763">
        <v>7</v>
      </c>
      <c r="AD6763" s="5">
        <v>5.0736854009067738</v>
      </c>
      <c r="AE6763" s="5">
        <v>2.2263165958531776</v>
      </c>
      <c r="AF6763">
        <v>1</v>
      </c>
    </row>
    <row r="6764" spans="27:32" x14ac:dyDescent="0.3">
      <c r="AA6764" s="3">
        <v>46363.39</v>
      </c>
      <c r="AB6764">
        <v>1E-4</v>
      </c>
      <c r="AC6764">
        <v>7</v>
      </c>
      <c r="AD6764" s="5">
        <v>5.1817525103778204</v>
      </c>
      <c r="AE6764" s="5">
        <v>2.1776193328261693</v>
      </c>
      <c r="AF6764">
        <v>1</v>
      </c>
    </row>
    <row r="6765" spans="27:32" x14ac:dyDescent="0.3">
      <c r="AA6765" s="3">
        <v>13709.34</v>
      </c>
      <c r="AB6765">
        <v>1E-4</v>
      </c>
      <c r="AC6765">
        <v>8</v>
      </c>
      <c r="AD6765" s="5">
        <v>4.983634200216728</v>
      </c>
      <c r="AE6765" s="5">
        <v>2.2551381650629039</v>
      </c>
      <c r="AF6765">
        <v>1</v>
      </c>
    </row>
    <row r="6766" spans="27:32" x14ac:dyDescent="0.3">
      <c r="AA6766" s="3">
        <v>46581.51</v>
      </c>
      <c r="AB6766">
        <v>1E-4</v>
      </c>
      <c r="AC6766">
        <v>7</v>
      </c>
      <c r="AD6766" s="5">
        <v>5.0662396554723159</v>
      </c>
      <c r="AE6766" s="5">
        <v>2.2520519130935153</v>
      </c>
      <c r="AF6766">
        <v>1</v>
      </c>
    </row>
    <row r="6767" spans="27:32" x14ac:dyDescent="0.3">
      <c r="AA6767" s="3">
        <v>26194</v>
      </c>
      <c r="AB6767">
        <v>1E-4</v>
      </c>
      <c r="AC6767">
        <v>8</v>
      </c>
      <c r="AD6767" s="5">
        <v>5.057030078999829</v>
      </c>
      <c r="AE6767" s="5">
        <v>2.1828704310136269</v>
      </c>
      <c r="AF6767">
        <v>1</v>
      </c>
    </row>
    <row r="6768" spans="27:32" x14ac:dyDescent="0.3">
      <c r="AA6768" s="3">
        <v>21485.46</v>
      </c>
      <c r="AB6768">
        <v>1E-4</v>
      </c>
      <c r="AC6768">
        <v>8</v>
      </c>
      <c r="AD6768" s="5">
        <v>4.8575621653424115</v>
      </c>
      <c r="AE6768" s="5">
        <v>2.2300647714768598</v>
      </c>
      <c r="AF6768">
        <v>1</v>
      </c>
    </row>
    <row r="6769" spans="27:32" x14ac:dyDescent="0.3">
      <c r="AA6769" s="3">
        <v>-351.7</v>
      </c>
      <c r="AB6769">
        <v>1E-4</v>
      </c>
      <c r="AC6769">
        <v>9</v>
      </c>
      <c r="AD6769" s="5">
        <v>5.0773668028949963</v>
      </c>
      <c r="AE6769" s="5">
        <v>2.2239396041410258</v>
      </c>
      <c r="AF6769">
        <v>1</v>
      </c>
    </row>
    <row r="6770" spans="27:32" x14ac:dyDescent="0.3">
      <c r="AA6770" s="3">
        <v>21832.080000000002</v>
      </c>
      <c r="AB6770">
        <v>1E-4</v>
      </c>
      <c r="AC6770">
        <v>8</v>
      </c>
      <c r="AD6770" s="5">
        <v>4.9696480543384487</v>
      </c>
      <c r="AE6770" s="5">
        <v>2.1232078017441527</v>
      </c>
      <c r="AF6770">
        <v>1</v>
      </c>
    </row>
    <row r="6771" spans="27:32" x14ac:dyDescent="0.3">
      <c r="AA6771" s="3">
        <v>3010.44</v>
      </c>
      <c r="AB6771">
        <v>1E-4</v>
      </c>
      <c r="AC6771">
        <v>8</v>
      </c>
      <c r="AD6771" s="5">
        <v>5.1159363685893684</v>
      </c>
      <c r="AE6771" s="5">
        <v>2.1694806898148471</v>
      </c>
      <c r="AF6771">
        <v>1</v>
      </c>
    </row>
    <row r="6772" spans="27:32" x14ac:dyDescent="0.3">
      <c r="AA6772" s="3">
        <v>5376.98</v>
      </c>
      <c r="AB6772">
        <v>1E-4</v>
      </c>
      <c r="AC6772">
        <v>8</v>
      </c>
      <c r="AD6772" s="5">
        <v>5.0181236504018649</v>
      </c>
      <c r="AE6772" s="5">
        <v>2.1720957154308067</v>
      </c>
      <c r="AF6772">
        <v>1</v>
      </c>
    </row>
    <row r="6773" spans="27:32" x14ac:dyDescent="0.3">
      <c r="AA6773" s="3">
        <v>16493.52</v>
      </c>
      <c r="AB6773">
        <v>1E-4</v>
      </c>
      <c r="AC6773">
        <v>8</v>
      </c>
      <c r="AD6773" s="5">
        <v>4.9343830354756282</v>
      </c>
      <c r="AE6773" s="5">
        <v>2.1163928867108321</v>
      </c>
      <c r="AF6773">
        <v>1</v>
      </c>
    </row>
    <row r="6774" spans="27:32" x14ac:dyDescent="0.3">
      <c r="AA6774" s="3">
        <v>-19890.830000000002</v>
      </c>
      <c r="AB6774">
        <v>1E-4</v>
      </c>
      <c r="AC6774">
        <v>9</v>
      </c>
      <c r="AD6774" s="5">
        <v>4.9476572801065108</v>
      </c>
      <c r="AE6774" s="5">
        <v>2.3021893170498551</v>
      </c>
      <c r="AF6774">
        <v>1</v>
      </c>
    </row>
    <row r="6775" spans="27:32" x14ac:dyDescent="0.3">
      <c r="AA6775" s="3">
        <v>21110.69</v>
      </c>
      <c r="AB6775">
        <v>1E-4</v>
      </c>
      <c r="AC6775">
        <v>8</v>
      </c>
      <c r="AD6775" s="5">
        <v>4.8939236685741081</v>
      </c>
      <c r="AE6775" s="5">
        <v>2.1783358491122446</v>
      </c>
      <c r="AF6775">
        <v>1</v>
      </c>
    </row>
    <row r="6776" spans="27:32" x14ac:dyDescent="0.3">
      <c r="AA6776" s="3">
        <v>41735.03</v>
      </c>
      <c r="AB6776">
        <v>1E-4</v>
      </c>
      <c r="AC6776">
        <v>7</v>
      </c>
      <c r="AD6776" s="5">
        <v>5.0608807247526526</v>
      </c>
      <c r="AE6776" s="5">
        <v>2.0994053037550038</v>
      </c>
      <c r="AF6776">
        <v>1</v>
      </c>
    </row>
    <row r="6777" spans="27:32" x14ac:dyDescent="0.3">
      <c r="AA6777" s="3">
        <v>9262.4</v>
      </c>
      <c r="AB6777">
        <v>1E-4</v>
      </c>
      <c r="AC6777">
        <v>8</v>
      </c>
      <c r="AD6777" s="5">
        <v>5.0595186262640155</v>
      </c>
      <c r="AE6777" s="5">
        <v>2.3130249158296623</v>
      </c>
      <c r="AF6777">
        <v>1</v>
      </c>
    </row>
    <row r="6778" spans="27:32" x14ac:dyDescent="0.3">
      <c r="AA6778" s="3">
        <v>4480.7299999999996</v>
      </c>
      <c r="AB6778">
        <v>1E-4</v>
      </c>
      <c r="AC6778">
        <v>8</v>
      </c>
      <c r="AD6778" s="5">
        <v>5.0282173749511676</v>
      </c>
      <c r="AE6778" s="5">
        <v>2.2591490020294072</v>
      </c>
      <c r="AF6778">
        <v>1</v>
      </c>
    </row>
    <row r="6779" spans="27:32" x14ac:dyDescent="0.3">
      <c r="AA6779" s="3">
        <v>3862</v>
      </c>
      <c r="AB6779">
        <v>1E-4</v>
      </c>
      <c r="AC6779">
        <v>8</v>
      </c>
      <c r="AD6779" s="5">
        <v>4.9836836955461807</v>
      </c>
      <c r="AE6779" s="5">
        <v>2.1613758267100818</v>
      </c>
      <c r="AF6779">
        <v>1</v>
      </c>
    </row>
    <row r="6780" spans="27:32" x14ac:dyDescent="0.3">
      <c r="AA6780" s="3">
        <v>18218.669999999998</v>
      </c>
      <c r="AB6780">
        <v>1E-4</v>
      </c>
      <c r="AC6780">
        <v>8</v>
      </c>
      <c r="AD6780" s="5">
        <v>4.8915620206522021</v>
      </c>
      <c r="AE6780" s="5">
        <v>2.20323765795855</v>
      </c>
      <c r="AF6780">
        <v>1</v>
      </c>
    </row>
    <row r="6781" spans="27:32" x14ac:dyDescent="0.3">
      <c r="AA6781" s="3">
        <v>15738.63</v>
      </c>
      <c r="AB6781">
        <v>1E-4</v>
      </c>
      <c r="AC6781">
        <v>8</v>
      </c>
      <c r="AD6781" s="5">
        <v>5.0613164851440535</v>
      </c>
      <c r="AE6781" s="5">
        <v>2.2537010859475326</v>
      </c>
      <c r="AF6781">
        <v>1</v>
      </c>
    </row>
    <row r="6782" spans="27:32" x14ac:dyDescent="0.3">
      <c r="AA6782" s="3">
        <v>25935.34</v>
      </c>
      <c r="AB6782">
        <v>1E-4</v>
      </c>
      <c r="AC6782">
        <v>8</v>
      </c>
      <c r="AD6782" s="5">
        <v>5.0986463698262776</v>
      </c>
      <c r="AE6782" s="5">
        <v>2.2441670750868115</v>
      </c>
      <c r="AF6782">
        <v>1</v>
      </c>
    </row>
    <row r="6783" spans="27:32" x14ac:dyDescent="0.3">
      <c r="AA6783" s="3">
        <v>45374.92</v>
      </c>
      <c r="AB6783">
        <v>1E-4</v>
      </c>
      <c r="AC6783">
        <v>7</v>
      </c>
      <c r="AD6783" s="5">
        <v>5.1095529982428092</v>
      </c>
      <c r="AE6783" s="5">
        <v>2.2754522204666565</v>
      </c>
      <c r="AF6783">
        <v>1</v>
      </c>
    </row>
    <row r="6784" spans="27:32" x14ac:dyDescent="0.3">
      <c r="AA6784" s="3">
        <v>24177.88</v>
      </c>
      <c r="AB6784">
        <v>1E-4</v>
      </c>
      <c r="AC6784">
        <v>8</v>
      </c>
      <c r="AD6784" s="5">
        <v>4.990270238426274</v>
      </c>
      <c r="AE6784" s="5">
        <v>2.1477626737200919</v>
      </c>
      <c r="AF6784">
        <v>1</v>
      </c>
    </row>
    <row r="6785" spans="27:32" x14ac:dyDescent="0.3">
      <c r="AA6785" s="3">
        <v>-47630.050842423407</v>
      </c>
      <c r="AB6785">
        <v>1E-4</v>
      </c>
      <c r="AC6785">
        <v>9</v>
      </c>
      <c r="AD6785" s="5">
        <v>4.9989559590368131</v>
      </c>
      <c r="AE6785" s="5">
        <v>2.2909137717671819</v>
      </c>
      <c r="AF6785">
        <v>0</v>
      </c>
    </row>
    <row r="6786" spans="27:32" x14ac:dyDescent="0.3">
      <c r="AA6786" s="3">
        <v>42309.11</v>
      </c>
      <c r="AB6786">
        <v>1E-4</v>
      </c>
      <c r="AC6786">
        <v>7</v>
      </c>
      <c r="AD6786" s="5">
        <v>5.1592125009168592</v>
      </c>
      <c r="AE6786" s="5">
        <v>2.2462777876405906</v>
      </c>
      <c r="AF6786">
        <v>1</v>
      </c>
    </row>
    <row r="6787" spans="27:32" x14ac:dyDescent="0.3">
      <c r="AA6787" s="3">
        <v>37999.9</v>
      </c>
      <c r="AB6787">
        <v>1E-4</v>
      </c>
      <c r="AC6787">
        <v>7</v>
      </c>
      <c r="AD6787" s="5">
        <v>5.0757800833623543</v>
      </c>
      <c r="AE6787" s="5">
        <v>2.0887481577543148</v>
      </c>
      <c r="AF6787">
        <v>1</v>
      </c>
    </row>
    <row r="6788" spans="27:32" x14ac:dyDescent="0.3">
      <c r="AA6788" s="3">
        <v>-8972.67</v>
      </c>
      <c r="AB6788">
        <v>1E-4</v>
      </c>
      <c r="AC6788">
        <v>9</v>
      </c>
      <c r="AD6788" s="5">
        <v>5.051181336654345</v>
      </c>
      <c r="AE6788" s="5">
        <v>2.2613016938138868</v>
      </c>
      <c r="AF6788">
        <v>1</v>
      </c>
    </row>
    <row r="6789" spans="27:32" x14ac:dyDescent="0.3">
      <c r="AA6789" s="3">
        <v>27954.28</v>
      </c>
      <c r="AB6789">
        <v>1E-4</v>
      </c>
      <c r="AC6789">
        <v>8</v>
      </c>
      <c r="AD6789" s="5">
        <v>5.0763869577576921</v>
      </c>
      <c r="AE6789" s="5">
        <v>2.1485306355513698</v>
      </c>
      <c r="AF6789">
        <v>1</v>
      </c>
    </row>
    <row r="6790" spans="27:32" x14ac:dyDescent="0.3">
      <c r="AA6790" s="3">
        <v>7901.93</v>
      </c>
      <c r="AB6790">
        <v>1E-4</v>
      </c>
      <c r="AC6790">
        <v>8</v>
      </c>
      <c r="AD6790" s="5">
        <v>4.9153245743009766</v>
      </c>
      <c r="AE6790" s="5">
        <v>2.2501571480138907</v>
      </c>
      <c r="AF6790">
        <v>1</v>
      </c>
    </row>
    <row r="6791" spans="27:32" x14ac:dyDescent="0.3">
      <c r="AA6791" s="3">
        <v>7202.07</v>
      </c>
      <c r="AB6791">
        <v>1E-4</v>
      </c>
      <c r="AC6791">
        <v>8</v>
      </c>
      <c r="AD6791" s="5">
        <v>5.0308510448784993</v>
      </c>
      <c r="AE6791" s="5">
        <v>2.2170750530343235</v>
      </c>
      <c r="AF6791">
        <v>1</v>
      </c>
    </row>
    <row r="6792" spans="27:32" x14ac:dyDescent="0.3">
      <c r="AA6792" s="3">
        <v>3184.49</v>
      </c>
      <c r="AB6792">
        <v>1E-4</v>
      </c>
      <c r="AC6792">
        <v>8</v>
      </c>
      <c r="AD6792" s="5">
        <v>4.950883061327545</v>
      </c>
      <c r="AE6792" s="5">
        <v>2.1402553242077516</v>
      </c>
      <c r="AF6792">
        <v>1</v>
      </c>
    </row>
    <row r="6793" spans="27:32" x14ac:dyDescent="0.3">
      <c r="AA6793" s="3">
        <v>44736.46</v>
      </c>
      <c r="AB6793">
        <v>1E-4</v>
      </c>
      <c r="AC6793">
        <v>7</v>
      </c>
      <c r="AD6793" s="5">
        <v>5.1061944244601696</v>
      </c>
      <c r="AE6793" s="5">
        <v>2.0849839957245142</v>
      </c>
      <c r="AF6793">
        <v>1</v>
      </c>
    </row>
    <row r="6794" spans="27:32" x14ac:dyDescent="0.3">
      <c r="AA6794" s="3">
        <v>22084.880000000001</v>
      </c>
      <c r="AB6794">
        <v>1E-4</v>
      </c>
      <c r="AC6794">
        <v>8</v>
      </c>
      <c r="AD6794" s="5">
        <v>4.862870923771851</v>
      </c>
      <c r="AE6794" s="5">
        <v>2.0855584794763748</v>
      </c>
      <c r="AF6794">
        <v>1</v>
      </c>
    </row>
    <row r="6795" spans="27:32" x14ac:dyDescent="0.3">
      <c r="AA6795" s="3">
        <v>20292.63</v>
      </c>
      <c r="AB6795">
        <v>1E-4</v>
      </c>
      <c r="AC6795">
        <v>8</v>
      </c>
      <c r="AD6795" s="5">
        <v>5.0558857849455059</v>
      </c>
      <c r="AE6795" s="5">
        <v>2.126815889337021</v>
      </c>
      <c r="AF6795">
        <v>1</v>
      </c>
    </row>
    <row r="6796" spans="27:32" x14ac:dyDescent="0.3">
      <c r="AA6796" s="3">
        <v>13366.99</v>
      </c>
      <c r="AB6796">
        <v>1E-4</v>
      </c>
      <c r="AC6796">
        <v>8</v>
      </c>
      <c r="AD6796" s="5">
        <v>5.0207598589068168</v>
      </c>
      <c r="AE6796" s="5">
        <v>2.1150155735292429</v>
      </c>
      <c r="AF6796">
        <v>1</v>
      </c>
    </row>
    <row r="6797" spans="27:32" x14ac:dyDescent="0.3">
      <c r="AA6797" s="3">
        <v>23032.28</v>
      </c>
      <c r="AB6797">
        <v>1E-4</v>
      </c>
      <c r="AC6797">
        <v>8</v>
      </c>
      <c r="AD6797" s="5">
        <v>5.0308119002777287</v>
      </c>
      <c r="AE6797" s="5">
        <v>2.2137478595920705</v>
      </c>
      <c r="AF6797">
        <v>1</v>
      </c>
    </row>
    <row r="6798" spans="27:32" x14ac:dyDescent="0.3">
      <c r="AA6798" s="3">
        <v>18314.87</v>
      </c>
      <c r="AB6798">
        <v>1E-4</v>
      </c>
      <c r="AC6798">
        <v>8</v>
      </c>
      <c r="AD6798" s="5">
        <v>5.1239267961704851</v>
      </c>
      <c r="AE6798" s="5">
        <v>2.2166703294586716</v>
      </c>
      <c r="AF6798">
        <v>1</v>
      </c>
    </row>
    <row r="6799" spans="27:32" x14ac:dyDescent="0.3">
      <c r="AA6799" s="3">
        <v>114.08</v>
      </c>
      <c r="AB6799">
        <v>1E-4</v>
      </c>
      <c r="AC6799">
        <v>8</v>
      </c>
      <c r="AD6799" s="5">
        <v>4.8494391103791061</v>
      </c>
      <c r="AE6799" s="5">
        <v>2.1776922369223866</v>
      </c>
      <c r="AF6799">
        <v>1</v>
      </c>
    </row>
    <row r="6800" spans="27:32" x14ac:dyDescent="0.3">
      <c r="AA6800" s="3">
        <v>9553.2199999999993</v>
      </c>
      <c r="AB6800">
        <v>1E-4</v>
      </c>
      <c r="AC6800">
        <v>8</v>
      </c>
      <c r="AD6800" s="5">
        <v>5.1200878332191069</v>
      </c>
      <c r="AE6800" s="5">
        <v>2.2567598610319881</v>
      </c>
      <c r="AF6800">
        <v>1</v>
      </c>
    </row>
    <row r="6801" spans="27:32" x14ac:dyDescent="0.3">
      <c r="AA6801" s="3">
        <v>25510.7</v>
      </c>
      <c r="AB6801">
        <v>1E-4</v>
      </c>
      <c r="AC6801">
        <v>8</v>
      </c>
      <c r="AD6801" s="5">
        <v>5.0040427646637102</v>
      </c>
      <c r="AE6801" s="5">
        <v>2.2656762241938919</v>
      </c>
      <c r="AF6801">
        <v>1</v>
      </c>
    </row>
    <row r="6802" spans="27:32" x14ac:dyDescent="0.3">
      <c r="AA6802" s="3">
        <v>35717.71</v>
      </c>
      <c r="AB6802">
        <v>1E-4</v>
      </c>
      <c r="AC6802">
        <v>7</v>
      </c>
      <c r="AD6802" s="5">
        <v>4.9759755013683691</v>
      </c>
      <c r="AE6802" s="5">
        <v>2.1909680729666983</v>
      </c>
      <c r="AF6802">
        <v>1</v>
      </c>
    </row>
    <row r="6803" spans="27:32" x14ac:dyDescent="0.3">
      <c r="AA6803" s="3">
        <v>23537.9</v>
      </c>
      <c r="AB6803">
        <v>1E-4</v>
      </c>
      <c r="AC6803">
        <v>8</v>
      </c>
      <c r="AD6803" s="5">
        <v>5.0915608669471206</v>
      </c>
      <c r="AE6803" s="5">
        <v>2.2023260285092396</v>
      </c>
      <c r="AF6803">
        <v>1</v>
      </c>
    </row>
    <row r="6804" spans="27:32" x14ac:dyDescent="0.3">
      <c r="AA6804" s="3">
        <v>-8434.9500000000007</v>
      </c>
      <c r="AB6804">
        <v>1E-4</v>
      </c>
      <c r="AC6804">
        <v>9</v>
      </c>
      <c r="AD6804" s="5">
        <v>4.8170229036423153</v>
      </c>
      <c r="AE6804" s="5">
        <v>2.2349162149957622</v>
      </c>
      <c r="AF6804">
        <v>1</v>
      </c>
    </row>
    <row r="6805" spans="27:32" x14ac:dyDescent="0.3">
      <c r="AA6805" s="3">
        <v>11745.9</v>
      </c>
      <c r="AB6805">
        <v>1E-4</v>
      </c>
      <c r="AC6805">
        <v>8</v>
      </c>
      <c r="AD6805" s="5">
        <v>5.1618488660408719</v>
      </c>
      <c r="AE6805" s="5">
        <v>2.2612897653167279</v>
      </c>
      <c r="AF6805">
        <v>1</v>
      </c>
    </row>
    <row r="6806" spans="27:32" x14ac:dyDescent="0.3">
      <c r="AA6806" s="3">
        <v>-7052.3</v>
      </c>
      <c r="AB6806">
        <v>1E-4</v>
      </c>
      <c r="AC6806">
        <v>9</v>
      </c>
      <c r="AD6806" s="5">
        <v>4.8841381671430417</v>
      </c>
      <c r="AE6806" s="5">
        <v>2.1358939130681689</v>
      </c>
      <c r="AF6806">
        <v>1</v>
      </c>
    </row>
    <row r="6807" spans="27:32" x14ac:dyDescent="0.3">
      <c r="AA6807" s="3">
        <v>12373.93</v>
      </c>
      <c r="AB6807">
        <v>1E-4</v>
      </c>
      <c r="AC6807">
        <v>8</v>
      </c>
      <c r="AD6807" s="5">
        <v>4.8696617996455345</v>
      </c>
      <c r="AE6807" s="5">
        <v>2.2390787141810855</v>
      </c>
      <c r="AF6807">
        <v>1</v>
      </c>
    </row>
    <row r="6808" spans="27:32" x14ac:dyDescent="0.3">
      <c r="AA6808" s="3">
        <v>30292.48</v>
      </c>
      <c r="AB6808">
        <v>1E-4</v>
      </c>
      <c r="AC6808">
        <v>8</v>
      </c>
      <c r="AD6808" s="5">
        <v>5.0730725846384184</v>
      </c>
      <c r="AE6808" s="5">
        <v>2.1382885214429175</v>
      </c>
      <c r="AF6808">
        <v>1</v>
      </c>
    </row>
    <row r="6809" spans="27:32" x14ac:dyDescent="0.3">
      <c r="AA6809" s="3">
        <v>33924.43</v>
      </c>
      <c r="AB6809">
        <v>1E-4</v>
      </c>
      <c r="AC6809">
        <v>7</v>
      </c>
      <c r="AD6809" s="5">
        <v>5.1325449875377078</v>
      </c>
      <c r="AE6809" s="5">
        <v>2.2015822413651076</v>
      </c>
      <c r="AF6809">
        <v>1</v>
      </c>
    </row>
    <row r="6810" spans="27:32" x14ac:dyDescent="0.3">
      <c r="AA6810" s="3">
        <v>40240.080000000002</v>
      </c>
      <c r="AB6810">
        <v>1E-4</v>
      </c>
      <c r="AC6810">
        <v>7</v>
      </c>
      <c r="AD6810" s="5">
        <v>5.0421887427916063</v>
      </c>
      <c r="AE6810" s="5">
        <v>2.1884443958623034</v>
      </c>
      <c r="AF6810">
        <v>1</v>
      </c>
    </row>
    <row r="6811" spans="27:32" x14ac:dyDescent="0.3">
      <c r="AA6811" s="3">
        <v>-13924.15</v>
      </c>
      <c r="AB6811">
        <v>1E-4</v>
      </c>
      <c r="AC6811">
        <v>9</v>
      </c>
      <c r="AD6811" s="5">
        <v>4.8723942168349836</v>
      </c>
      <c r="AE6811" s="5">
        <v>2.2146372248582482</v>
      </c>
      <c r="AF6811">
        <v>1</v>
      </c>
    </row>
    <row r="6812" spans="27:32" x14ac:dyDescent="0.3">
      <c r="AA6812" s="3">
        <v>25480.45</v>
      </c>
      <c r="AB6812">
        <v>1E-4</v>
      </c>
      <c r="AC6812">
        <v>8</v>
      </c>
      <c r="AD6812" s="5">
        <v>5.0978326888098113</v>
      </c>
      <c r="AE6812" s="5">
        <v>2.2182539072457321</v>
      </c>
      <c r="AF6812">
        <v>1</v>
      </c>
    </row>
    <row r="6813" spans="27:32" x14ac:dyDescent="0.3">
      <c r="AA6813" s="3">
        <v>15524.11</v>
      </c>
      <c r="AB6813">
        <v>1E-4</v>
      </c>
      <c r="AC6813">
        <v>8</v>
      </c>
      <c r="AD6813" s="5">
        <v>4.9663491450187909</v>
      </c>
      <c r="AE6813" s="5">
        <v>2.1386833466920883</v>
      </c>
      <c r="AF6813">
        <v>1</v>
      </c>
    </row>
    <row r="6814" spans="27:32" x14ac:dyDescent="0.3">
      <c r="AA6814" s="3">
        <v>16757.419999999998</v>
      </c>
      <c r="AB6814">
        <v>1E-4</v>
      </c>
      <c r="AC6814">
        <v>8</v>
      </c>
      <c r="AD6814" s="5">
        <v>4.9593943814275674</v>
      </c>
      <c r="AE6814" s="5">
        <v>2.1497271978201971</v>
      </c>
      <c r="AF6814">
        <v>1</v>
      </c>
    </row>
    <row r="6815" spans="27:32" x14ac:dyDescent="0.3">
      <c r="AA6815" s="3">
        <v>-17112.900435362499</v>
      </c>
      <c r="AB6815">
        <v>1E-4</v>
      </c>
      <c r="AC6815">
        <v>8</v>
      </c>
      <c r="AD6815" s="5">
        <v>4.8445387643899709</v>
      </c>
      <c r="AE6815" s="5">
        <v>2.2343690737217838</v>
      </c>
      <c r="AF6815">
        <v>0</v>
      </c>
    </row>
    <row r="6816" spans="27:32" x14ac:dyDescent="0.3">
      <c r="AA6816" s="3">
        <v>10149.86</v>
      </c>
      <c r="AB6816">
        <v>1E-4</v>
      </c>
      <c r="AC6816">
        <v>8</v>
      </c>
      <c r="AD6816" s="5">
        <v>4.9741423633733444</v>
      </c>
      <c r="AE6816" s="5">
        <v>2.2014485941277231</v>
      </c>
      <c r="AF6816">
        <v>1</v>
      </c>
    </row>
    <row r="6817" spans="27:32" x14ac:dyDescent="0.3">
      <c r="AA6817" s="3">
        <v>9043.9500000000007</v>
      </c>
      <c r="AB6817">
        <v>1E-4</v>
      </c>
      <c r="AC6817">
        <v>8</v>
      </c>
      <c r="AD6817" s="5">
        <v>4.875506803248979</v>
      </c>
      <c r="AE6817" s="5">
        <v>2.2413218166880089</v>
      </c>
      <c r="AF6817">
        <v>1</v>
      </c>
    </row>
    <row r="6818" spans="27:32" x14ac:dyDescent="0.3">
      <c r="AA6818" s="3">
        <v>42126.68</v>
      </c>
      <c r="AB6818">
        <v>1E-4</v>
      </c>
      <c r="AC6818">
        <v>7</v>
      </c>
      <c r="AD6818" s="5">
        <v>4.9788258833146779</v>
      </c>
      <c r="AE6818" s="5">
        <v>2.196668336349314</v>
      </c>
      <c r="AF6818">
        <v>1</v>
      </c>
    </row>
    <row r="6819" spans="27:32" x14ac:dyDescent="0.3">
      <c r="AA6819" s="3">
        <v>-4178.8502675149084</v>
      </c>
      <c r="AB6819">
        <v>1E-4</v>
      </c>
      <c r="AC6819">
        <v>8</v>
      </c>
      <c r="AD6819" s="5">
        <v>4.9384179524882672</v>
      </c>
      <c r="AE6819" s="5">
        <v>2.2529137492526261</v>
      </c>
      <c r="AF6819">
        <v>0</v>
      </c>
    </row>
    <row r="6820" spans="27:32" x14ac:dyDescent="0.3">
      <c r="AA6820" s="3">
        <v>10795.53</v>
      </c>
      <c r="AB6820">
        <v>1E-4</v>
      </c>
      <c r="AC6820">
        <v>8</v>
      </c>
      <c r="AD6820" s="5">
        <v>4.9655933994809089</v>
      </c>
      <c r="AE6820" s="5">
        <v>2.1864619489329629</v>
      </c>
      <c r="AF6820">
        <v>1</v>
      </c>
    </row>
    <row r="6821" spans="27:32" x14ac:dyDescent="0.3">
      <c r="AA6821" s="3">
        <v>30924.92</v>
      </c>
      <c r="AB6821">
        <v>1E-4</v>
      </c>
      <c r="AC6821">
        <v>8</v>
      </c>
      <c r="AD6821" s="5">
        <v>5.1075431456977238</v>
      </c>
      <c r="AE6821" s="5">
        <v>2.1766955108952066</v>
      </c>
      <c r="AF6821">
        <v>1</v>
      </c>
    </row>
    <row r="6822" spans="27:32" x14ac:dyDescent="0.3">
      <c r="AA6822" s="3">
        <v>35991.64</v>
      </c>
      <c r="AB6822">
        <v>1E-4</v>
      </c>
      <c r="AC6822">
        <v>7</v>
      </c>
      <c r="AD6822" s="5">
        <v>5.1644390239821041</v>
      </c>
      <c r="AE6822" s="5">
        <v>2.1275719477706891</v>
      </c>
      <c r="AF6822">
        <v>1</v>
      </c>
    </row>
    <row r="6823" spans="27:32" x14ac:dyDescent="0.3">
      <c r="AA6823" s="3">
        <v>93.98</v>
      </c>
      <c r="AB6823">
        <v>1E-4</v>
      </c>
      <c r="AC6823">
        <v>8</v>
      </c>
      <c r="AD6823" s="5">
        <v>5.0300107912097829</v>
      </c>
      <c r="AE6823" s="5">
        <v>2.2203992556338714</v>
      </c>
      <c r="AF6823">
        <v>1</v>
      </c>
    </row>
    <row r="6824" spans="27:32" x14ac:dyDescent="0.3">
      <c r="AA6824" s="3">
        <v>33133.699999999997</v>
      </c>
      <c r="AB6824">
        <v>1E-4</v>
      </c>
      <c r="AC6824">
        <v>7</v>
      </c>
      <c r="AD6824" s="5">
        <v>5.1454988335419189</v>
      </c>
      <c r="AE6824" s="5">
        <v>2.2259402986478065</v>
      </c>
      <c r="AF6824">
        <v>1</v>
      </c>
    </row>
    <row r="6825" spans="27:32" x14ac:dyDescent="0.3">
      <c r="AA6825" s="3">
        <v>8320.33</v>
      </c>
      <c r="AB6825">
        <v>1E-4</v>
      </c>
      <c r="AC6825">
        <v>8</v>
      </c>
      <c r="AD6825" s="5">
        <v>5.117018456856151</v>
      </c>
      <c r="AE6825" s="5">
        <v>2.1684987749420466</v>
      </c>
      <c r="AF6825">
        <v>1</v>
      </c>
    </row>
    <row r="6826" spans="27:32" x14ac:dyDescent="0.3">
      <c r="AA6826" s="3">
        <v>14176.86</v>
      </c>
      <c r="AB6826">
        <v>1E-4</v>
      </c>
      <c r="AC6826">
        <v>8</v>
      </c>
      <c r="AD6826" s="5">
        <v>5.0145052328787543</v>
      </c>
      <c r="AE6826" s="5">
        <v>2.2348217204807042</v>
      </c>
      <c r="AF6826">
        <v>1</v>
      </c>
    </row>
    <row r="6827" spans="27:32" x14ac:dyDescent="0.3">
      <c r="AA6827" s="3">
        <v>11435.26</v>
      </c>
      <c r="AB6827">
        <v>1E-4</v>
      </c>
      <c r="AC6827">
        <v>8</v>
      </c>
      <c r="AD6827" s="5">
        <v>5.0190586725536992</v>
      </c>
      <c r="AE6827" s="5">
        <v>2.1573184443341029</v>
      </c>
      <c r="AF6827">
        <v>1</v>
      </c>
    </row>
    <row r="6828" spans="27:32" x14ac:dyDescent="0.3">
      <c r="AA6828" s="3">
        <v>13185.04</v>
      </c>
      <c r="AB6828">
        <v>1E-4</v>
      </c>
      <c r="AC6828">
        <v>8</v>
      </c>
      <c r="AD6828" s="5">
        <v>5.103648274449804</v>
      </c>
      <c r="AE6828" s="5">
        <v>2.1517945216667029</v>
      </c>
      <c r="AF6828">
        <v>1</v>
      </c>
    </row>
    <row r="6829" spans="27:32" x14ac:dyDescent="0.3">
      <c r="AA6829" s="3">
        <v>-1912.63</v>
      </c>
      <c r="AB6829">
        <v>1E-4</v>
      </c>
      <c r="AC6829">
        <v>9</v>
      </c>
      <c r="AD6829" s="5">
        <v>4.9608690778583284</v>
      </c>
      <c r="AE6829" s="5">
        <v>2.2121482513043871</v>
      </c>
      <c r="AF6829">
        <v>1</v>
      </c>
    </row>
    <row r="6830" spans="27:32" x14ac:dyDescent="0.3">
      <c r="AA6830" s="3">
        <v>38582.980000000003</v>
      </c>
      <c r="AB6830">
        <v>1E-4</v>
      </c>
      <c r="AC6830">
        <v>7</v>
      </c>
      <c r="AD6830" s="5">
        <v>5.1128838174760904</v>
      </c>
      <c r="AE6830" s="5">
        <v>2.1713946131533852</v>
      </c>
      <c r="AF6830">
        <v>1</v>
      </c>
    </row>
    <row r="6831" spans="27:32" x14ac:dyDescent="0.3">
      <c r="AA6831" s="3">
        <v>23534.22</v>
      </c>
      <c r="AB6831">
        <v>1E-4</v>
      </c>
      <c r="AC6831">
        <v>8</v>
      </c>
      <c r="AD6831" s="5">
        <v>4.9469316758338762</v>
      </c>
      <c r="AE6831" s="5">
        <v>2.2412733770086843</v>
      </c>
      <c r="AF6831">
        <v>1</v>
      </c>
    </row>
    <row r="6832" spans="27:32" x14ac:dyDescent="0.3">
      <c r="AA6832" s="3">
        <v>43656.63</v>
      </c>
      <c r="AB6832">
        <v>1E-4</v>
      </c>
      <c r="AC6832">
        <v>7</v>
      </c>
      <c r="AD6832" s="5">
        <v>5.0148761343545658</v>
      </c>
      <c r="AE6832" s="5">
        <v>2.1863060587941399</v>
      </c>
      <c r="AF6832">
        <v>1</v>
      </c>
    </row>
    <row r="6833" spans="27:32" x14ac:dyDescent="0.3">
      <c r="AA6833" s="3">
        <v>11039.12</v>
      </c>
      <c r="AB6833">
        <v>1E-4</v>
      </c>
      <c r="AC6833">
        <v>8</v>
      </c>
      <c r="AD6833" s="5">
        <v>4.917283644377533</v>
      </c>
      <c r="AE6833" s="5">
        <v>2.3106973769221941</v>
      </c>
      <c r="AF6833">
        <v>1</v>
      </c>
    </row>
    <row r="6834" spans="27:32" x14ac:dyDescent="0.3">
      <c r="AA6834" s="3">
        <v>26733.49</v>
      </c>
      <c r="AB6834">
        <v>1E-4</v>
      </c>
      <c r="AC6834">
        <v>8</v>
      </c>
      <c r="AD6834" s="5">
        <v>5.0672339236242241</v>
      </c>
      <c r="AE6834" s="5">
        <v>2.1551619909119171</v>
      </c>
      <c r="AF6834">
        <v>1</v>
      </c>
    </row>
    <row r="6835" spans="27:32" x14ac:dyDescent="0.3">
      <c r="AA6835" s="3">
        <v>16583.89</v>
      </c>
      <c r="AB6835">
        <v>1E-4</v>
      </c>
      <c r="AC6835">
        <v>8</v>
      </c>
      <c r="AD6835" s="5">
        <v>4.8923203336288772</v>
      </c>
      <c r="AE6835" s="5">
        <v>2.2078623158721213</v>
      </c>
      <c r="AF6835">
        <v>1</v>
      </c>
    </row>
    <row r="6836" spans="27:32" x14ac:dyDescent="0.3">
      <c r="AA6836" s="3">
        <v>25198.43</v>
      </c>
      <c r="AB6836">
        <v>1E-4</v>
      </c>
      <c r="AC6836">
        <v>8</v>
      </c>
      <c r="AD6836" s="5">
        <v>4.9361191050105173</v>
      </c>
      <c r="AE6836" s="5">
        <v>2.1709108013605674</v>
      </c>
      <c r="AF6836">
        <v>1</v>
      </c>
    </row>
    <row r="6837" spans="27:32" x14ac:dyDescent="0.3">
      <c r="AA6837" s="3">
        <v>28162.21</v>
      </c>
      <c r="AB6837">
        <v>1E-4</v>
      </c>
      <c r="AC6837">
        <v>8</v>
      </c>
      <c r="AD6837" s="5">
        <v>5.0434075786621326</v>
      </c>
      <c r="AE6837" s="5">
        <v>2.2064051601533166</v>
      </c>
      <c r="AF6837">
        <v>1</v>
      </c>
    </row>
    <row r="6838" spans="27:32" x14ac:dyDescent="0.3">
      <c r="AA6838" s="3">
        <v>-4676.96</v>
      </c>
      <c r="AB6838">
        <v>1E-4</v>
      </c>
      <c r="AC6838">
        <v>9</v>
      </c>
      <c r="AD6838" s="5">
        <v>4.9637814346892268</v>
      </c>
      <c r="AE6838" s="5">
        <v>2.1449734900954356</v>
      </c>
      <c r="AF6838">
        <v>1</v>
      </c>
    </row>
    <row r="6839" spans="27:32" x14ac:dyDescent="0.3">
      <c r="AA6839" s="3">
        <v>-6537.99</v>
      </c>
      <c r="AB6839">
        <v>1E-4</v>
      </c>
      <c r="AC6839">
        <v>9</v>
      </c>
      <c r="AD6839" s="5">
        <v>4.9933625116893898</v>
      </c>
      <c r="AE6839" s="5">
        <v>2.1552818261936273</v>
      </c>
      <c r="AF6839">
        <v>1</v>
      </c>
    </row>
    <row r="6840" spans="27:32" x14ac:dyDescent="0.3">
      <c r="AA6840" s="3">
        <v>-30321.130525653389</v>
      </c>
      <c r="AB6840">
        <v>1E-4</v>
      </c>
      <c r="AC6840">
        <v>9</v>
      </c>
      <c r="AD6840" s="5">
        <v>4.9116364948652915</v>
      </c>
      <c r="AE6840" s="5">
        <v>2.1833460873584953</v>
      </c>
      <c r="AF6840">
        <v>0</v>
      </c>
    </row>
    <row r="6841" spans="27:32" x14ac:dyDescent="0.3">
      <c r="AA6841" s="3">
        <v>20216.43</v>
      </c>
      <c r="AB6841">
        <v>1E-4</v>
      </c>
      <c r="AC6841">
        <v>8</v>
      </c>
      <c r="AD6841" s="5">
        <v>5.0608478911730499</v>
      </c>
      <c r="AE6841" s="5">
        <v>2.1957327835134062</v>
      </c>
      <c r="AF6841">
        <v>1</v>
      </c>
    </row>
    <row r="6842" spans="27:32" x14ac:dyDescent="0.3">
      <c r="AA6842" s="3">
        <v>6918.91</v>
      </c>
      <c r="AB6842">
        <v>1E-4</v>
      </c>
      <c r="AC6842">
        <v>8</v>
      </c>
      <c r="AD6842" s="5">
        <v>5.1325085605076515</v>
      </c>
      <c r="AE6842" s="5">
        <v>2.2905452437675375</v>
      </c>
      <c r="AF6842">
        <v>1</v>
      </c>
    </row>
    <row r="6843" spans="27:32" x14ac:dyDescent="0.3">
      <c r="AA6843" s="3">
        <v>11665.42</v>
      </c>
      <c r="AB6843">
        <v>1E-4</v>
      </c>
      <c r="AC6843">
        <v>8</v>
      </c>
      <c r="AD6843" s="5">
        <v>4.9215981153764599</v>
      </c>
      <c r="AE6843" s="5">
        <v>2.1887867514618673</v>
      </c>
      <c r="AF6843">
        <v>1</v>
      </c>
    </row>
    <row r="6844" spans="27:32" x14ac:dyDescent="0.3">
      <c r="AA6844" s="3">
        <v>52720.72</v>
      </c>
      <c r="AB6844">
        <v>1E-4</v>
      </c>
      <c r="AC6844">
        <v>6</v>
      </c>
      <c r="AD6844" s="5">
        <v>5.008533339746827</v>
      </c>
      <c r="AE6844" s="5">
        <v>2.1781375693500835</v>
      </c>
      <c r="AF6844">
        <v>1</v>
      </c>
    </row>
    <row r="6845" spans="27:32" x14ac:dyDescent="0.3">
      <c r="AA6845" s="3">
        <v>-9448.25</v>
      </c>
      <c r="AB6845">
        <v>1E-4</v>
      </c>
      <c r="AC6845">
        <v>9</v>
      </c>
      <c r="AD6845" s="5">
        <v>4.9606018288661602</v>
      </c>
      <c r="AE6845" s="5">
        <v>2.1772777298166175</v>
      </c>
      <c r="AF6845">
        <v>1</v>
      </c>
    </row>
    <row r="6846" spans="27:32" x14ac:dyDescent="0.3">
      <c r="AA6846" s="3">
        <v>25242.04</v>
      </c>
      <c r="AB6846">
        <v>1E-4</v>
      </c>
      <c r="AC6846">
        <v>8</v>
      </c>
      <c r="AD6846" s="5">
        <v>5.0344565934656513</v>
      </c>
      <c r="AE6846" s="5">
        <v>2.1241269820014637</v>
      </c>
      <c r="AF6846">
        <v>1</v>
      </c>
    </row>
    <row r="6847" spans="27:32" x14ac:dyDescent="0.3">
      <c r="AA6847" s="3">
        <v>12421.83</v>
      </c>
      <c r="AB6847">
        <v>1E-4</v>
      </c>
      <c r="AC6847">
        <v>8</v>
      </c>
      <c r="AD6847" s="5">
        <v>5.0540592161262303</v>
      </c>
      <c r="AE6847" s="5">
        <v>2.2868247835881679</v>
      </c>
      <c r="AF6847">
        <v>1</v>
      </c>
    </row>
    <row r="6848" spans="27:32" x14ac:dyDescent="0.3">
      <c r="AA6848" s="3">
        <v>21756.15</v>
      </c>
      <c r="AB6848">
        <v>1E-4</v>
      </c>
      <c r="AC6848">
        <v>8</v>
      </c>
      <c r="AD6848" s="5">
        <v>4.9937048189719295</v>
      </c>
      <c r="AE6848" s="5">
        <v>2.2041808639075144</v>
      </c>
      <c r="AF6848">
        <v>1</v>
      </c>
    </row>
    <row r="6849" spans="27:32" x14ac:dyDescent="0.3">
      <c r="AA6849" s="3">
        <v>18518.22</v>
      </c>
      <c r="AB6849">
        <v>1E-4</v>
      </c>
      <c r="AC6849">
        <v>8</v>
      </c>
      <c r="AD6849" s="5">
        <v>4.9228557982740231</v>
      </c>
      <c r="AE6849" s="5">
        <v>2.2403178158022734</v>
      </c>
      <c r="AF6849">
        <v>1</v>
      </c>
    </row>
    <row r="6850" spans="27:32" x14ac:dyDescent="0.3">
      <c r="AA6850" s="3">
        <v>37120.57</v>
      </c>
      <c r="AB6850">
        <v>1E-4</v>
      </c>
      <c r="AC6850">
        <v>7</v>
      </c>
      <c r="AD6850" s="5">
        <v>5.12075846176847</v>
      </c>
      <c r="AE6850" s="5">
        <v>2.2157094506250394</v>
      </c>
      <c r="AF6850">
        <v>1</v>
      </c>
    </row>
    <row r="6851" spans="27:32" x14ac:dyDescent="0.3">
      <c r="AA6851" s="3">
        <v>29254.03</v>
      </c>
      <c r="AB6851">
        <v>1E-4</v>
      </c>
      <c r="AC6851">
        <v>7</v>
      </c>
      <c r="AD6851" s="5">
        <v>4.9780388762268819</v>
      </c>
      <c r="AE6851" s="5">
        <v>2.1439408077536393</v>
      </c>
      <c r="AF6851">
        <v>1</v>
      </c>
    </row>
    <row r="6852" spans="27:32" x14ac:dyDescent="0.3">
      <c r="AA6852" s="3">
        <v>23933.77</v>
      </c>
      <c r="AB6852">
        <v>1E-4</v>
      </c>
      <c r="AC6852">
        <v>8</v>
      </c>
      <c r="AD6852" s="5">
        <v>5.0482592462652462</v>
      </c>
      <c r="AE6852" s="5">
        <v>2.1998389081221008</v>
      </c>
      <c r="AF6852">
        <v>1</v>
      </c>
    </row>
    <row r="6853" spans="27:32" x14ac:dyDescent="0.3">
      <c r="AA6853" s="3">
        <v>40086.06</v>
      </c>
      <c r="AB6853">
        <v>1E-4</v>
      </c>
      <c r="AC6853">
        <v>7</v>
      </c>
      <c r="AD6853" s="5">
        <v>5.0220202023506584</v>
      </c>
      <c r="AE6853" s="5">
        <v>2.2278109781125708</v>
      </c>
      <c r="AF6853">
        <v>1</v>
      </c>
    </row>
    <row r="6854" spans="27:32" x14ac:dyDescent="0.3">
      <c r="AA6854" s="3">
        <v>28529.279999999999</v>
      </c>
      <c r="AB6854">
        <v>1E-4</v>
      </c>
      <c r="AC6854">
        <v>7</v>
      </c>
      <c r="AD6854" s="5">
        <v>4.9751859595716832</v>
      </c>
      <c r="AE6854" s="5">
        <v>2.303966371872451</v>
      </c>
      <c r="AF6854">
        <v>1</v>
      </c>
    </row>
    <row r="6855" spans="27:32" x14ac:dyDescent="0.3">
      <c r="AA6855" s="3">
        <v>41579.61</v>
      </c>
      <c r="AB6855">
        <v>1E-4</v>
      </c>
      <c r="AC6855">
        <v>7</v>
      </c>
      <c r="AD6855" s="5">
        <v>4.9322849754490958</v>
      </c>
      <c r="AE6855" s="5">
        <v>2.1519015732401812</v>
      </c>
      <c r="AF6855">
        <v>1</v>
      </c>
    </row>
    <row r="6856" spans="27:32" x14ac:dyDescent="0.3">
      <c r="AA6856" s="3">
        <v>-10921.66</v>
      </c>
      <c r="AB6856">
        <v>1E-4</v>
      </c>
      <c r="AC6856">
        <v>9</v>
      </c>
      <c r="AD6856" s="5">
        <v>5.0200570520254955</v>
      </c>
      <c r="AE6856" s="5">
        <v>2.1812936428038738</v>
      </c>
      <c r="AF6856">
        <v>1</v>
      </c>
    </row>
    <row r="6857" spans="27:32" x14ac:dyDescent="0.3">
      <c r="AA6857" s="3">
        <v>50266.46</v>
      </c>
      <c r="AB6857">
        <v>1E-4</v>
      </c>
      <c r="AC6857">
        <v>6</v>
      </c>
      <c r="AD6857" s="5">
        <v>5.1588864787013851</v>
      </c>
      <c r="AE6857" s="5">
        <v>2.2148381918472912</v>
      </c>
      <c r="AF6857">
        <v>1</v>
      </c>
    </row>
    <row r="6858" spans="27:32" x14ac:dyDescent="0.3">
      <c r="AA6858" s="3">
        <v>2610.3200000000002</v>
      </c>
      <c r="AB6858">
        <v>1E-4</v>
      </c>
      <c r="AC6858">
        <v>8</v>
      </c>
      <c r="AD6858" s="5">
        <v>5.0720820631477732</v>
      </c>
      <c r="AE6858" s="5">
        <v>2.2201945915087244</v>
      </c>
      <c r="AF6858">
        <v>1</v>
      </c>
    </row>
    <row r="6859" spans="27:32" x14ac:dyDescent="0.3">
      <c r="AA6859" s="3">
        <v>5170.95</v>
      </c>
      <c r="AB6859">
        <v>1E-4</v>
      </c>
      <c r="AC6859">
        <v>8</v>
      </c>
      <c r="AD6859" s="5">
        <v>5.0773540780705808</v>
      </c>
      <c r="AE6859" s="5">
        <v>2.1873405648708317</v>
      </c>
      <c r="AF6859">
        <v>1</v>
      </c>
    </row>
    <row r="6860" spans="27:32" x14ac:dyDescent="0.3">
      <c r="AA6860" s="3">
        <v>33808.36</v>
      </c>
      <c r="AB6860">
        <v>1E-4</v>
      </c>
      <c r="AC6860">
        <v>7</v>
      </c>
      <c r="AD6860" s="5">
        <v>5.1556704864047544</v>
      </c>
      <c r="AE6860" s="5">
        <v>2.2133040435358802</v>
      </c>
      <c r="AF6860">
        <v>1</v>
      </c>
    </row>
    <row r="6861" spans="27:32" x14ac:dyDescent="0.3">
      <c r="AA6861" s="3">
        <v>5656.7</v>
      </c>
      <c r="AB6861">
        <v>1E-4</v>
      </c>
      <c r="AC6861">
        <v>8</v>
      </c>
      <c r="AD6861" s="5">
        <v>4.9459490740061289</v>
      </c>
      <c r="AE6861" s="5">
        <v>2.3172715083868756</v>
      </c>
      <c r="AF6861">
        <v>1</v>
      </c>
    </row>
    <row r="6862" spans="27:32" x14ac:dyDescent="0.3">
      <c r="AA6862" s="3">
        <v>2944.04</v>
      </c>
      <c r="AB6862">
        <v>1E-4</v>
      </c>
      <c r="AC6862">
        <v>8</v>
      </c>
      <c r="AD6862" s="5">
        <v>4.7659572858924761</v>
      </c>
      <c r="AE6862" s="5">
        <v>2.1430408850987694</v>
      </c>
      <c r="AF6862">
        <v>1</v>
      </c>
    </row>
    <row r="6863" spans="27:32" x14ac:dyDescent="0.3">
      <c r="AA6863" s="3">
        <v>27063.08</v>
      </c>
      <c r="AB6863">
        <v>1E-4</v>
      </c>
      <c r="AC6863">
        <v>8</v>
      </c>
      <c r="AD6863" s="5">
        <v>5.1668111096095846</v>
      </c>
      <c r="AE6863" s="5">
        <v>2.0908014158731385</v>
      </c>
      <c r="AF6863">
        <v>1</v>
      </c>
    </row>
    <row r="6864" spans="27:32" x14ac:dyDescent="0.3">
      <c r="AA6864" s="3">
        <v>24043.14</v>
      </c>
      <c r="AB6864">
        <v>1E-4</v>
      </c>
      <c r="AC6864">
        <v>7</v>
      </c>
      <c r="AD6864" s="5">
        <v>4.9698268631823712</v>
      </c>
      <c r="AE6864" s="5">
        <v>2.1517847526351579</v>
      </c>
      <c r="AF6864">
        <v>1</v>
      </c>
    </row>
    <row r="6865" spans="27:32" x14ac:dyDescent="0.3">
      <c r="AA6865" s="3">
        <v>-2110.7600000000002</v>
      </c>
      <c r="AB6865">
        <v>1E-4</v>
      </c>
      <c r="AC6865">
        <v>9</v>
      </c>
      <c r="AD6865" s="5">
        <v>4.8911539207278958</v>
      </c>
      <c r="AE6865" s="5">
        <v>2.2234406385024972</v>
      </c>
      <c r="AF6865">
        <v>1</v>
      </c>
    </row>
    <row r="6866" spans="27:32" x14ac:dyDescent="0.3">
      <c r="AA6866" s="3">
        <v>31186.52</v>
      </c>
      <c r="AB6866">
        <v>1E-4</v>
      </c>
      <c r="AC6866">
        <v>7</v>
      </c>
      <c r="AD6866" s="5">
        <v>5.0017169606737308</v>
      </c>
      <c r="AE6866" s="5">
        <v>2.1936977942358555</v>
      </c>
      <c r="AF6866">
        <v>1</v>
      </c>
    </row>
    <row r="6867" spans="27:32" x14ac:dyDescent="0.3">
      <c r="AA6867" s="3">
        <v>54969.65</v>
      </c>
      <c r="AB6867">
        <v>1E-4</v>
      </c>
      <c r="AC6867">
        <v>6</v>
      </c>
      <c r="AD6867" s="5">
        <v>5.0928564018366709</v>
      </c>
      <c r="AE6867" s="5">
        <v>2.2264612962166801</v>
      </c>
      <c r="AF6867">
        <v>1</v>
      </c>
    </row>
    <row r="6868" spans="27:32" x14ac:dyDescent="0.3">
      <c r="AA6868" s="3">
        <v>49456.91</v>
      </c>
      <c r="AB6868">
        <v>1E-4</v>
      </c>
      <c r="AC6868">
        <v>7</v>
      </c>
      <c r="AD6868" s="5">
        <v>5.1357576879994031</v>
      </c>
      <c r="AE6868" s="5">
        <v>2.1773942447013273</v>
      </c>
      <c r="AF6868">
        <v>1</v>
      </c>
    </row>
    <row r="6869" spans="27:32" x14ac:dyDescent="0.3">
      <c r="AA6869" s="3">
        <v>-1314.42</v>
      </c>
      <c r="AB6869">
        <v>1E-4</v>
      </c>
      <c r="AC6869">
        <v>9</v>
      </c>
      <c r="AD6869" s="5">
        <v>4.8464100155092078</v>
      </c>
      <c r="AE6869" s="5">
        <v>2.113518898618544</v>
      </c>
      <c r="AF6869">
        <v>1</v>
      </c>
    </row>
    <row r="6870" spans="27:32" x14ac:dyDescent="0.3">
      <c r="AA6870" s="3">
        <v>2639.65</v>
      </c>
      <c r="AB6870">
        <v>1E-4</v>
      </c>
      <c r="AC6870">
        <v>8</v>
      </c>
      <c r="AD6870" s="5">
        <v>4.8099191161597012</v>
      </c>
      <c r="AE6870" s="5">
        <v>2.1622613954383563</v>
      </c>
      <c r="AF6870">
        <v>1</v>
      </c>
    </row>
    <row r="6871" spans="27:32" x14ac:dyDescent="0.3">
      <c r="AA6871" s="3">
        <v>-769</v>
      </c>
      <c r="AB6871">
        <v>1E-4</v>
      </c>
      <c r="AC6871">
        <v>9</v>
      </c>
      <c r="AD6871" s="5">
        <v>4.7963128666357315</v>
      </c>
      <c r="AE6871" s="5">
        <v>2.2400804844093427</v>
      </c>
      <c r="AF6871">
        <v>1</v>
      </c>
    </row>
    <row r="6872" spans="27:32" x14ac:dyDescent="0.3">
      <c r="AA6872" s="3">
        <v>24891.279999999999</v>
      </c>
      <c r="AB6872">
        <v>1E-4</v>
      </c>
      <c r="AC6872">
        <v>8</v>
      </c>
      <c r="AD6872" s="5">
        <v>4.9948315065882962</v>
      </c>
      <c r="AE6872" s="5">
        <v>2.2604360137882482</v>
      </c>
      <c r="AF6872">
        <v>1</v>
      </c>
    </row>
    <row r="6873" spans="27:32" x14ac:dyDescent="0.3">
      <c r="AA6873" s="3">
        <v>1502.25</v>
      </c>
      <c r="AB6873">
        <v>1E-4</v>
      </c>
      <c r="AC6873">
        <v>8</v>
      </c>
      <c r="AD6873" s="5">
        <v>5.1081952040822278</v>
      </c>
      <c r="AE6873" s="5">
        <v>2.2036321203030598</v>
      </c>
      <c r="AF6873">
        <v>1</v>
      </c>
    </row>
    <row r="6874" spans="27:32" x14ac:dyDescent="0.3">
      <c r="AA6874" s="3">
        <v>19422.490000000002</v>
      </c>
      <c r="AB6874">
        <v>1E-4</v>
      </c>
      <c r="AC6874">
        <v>8</v>
      </c>
      <c r="AD6874" s="5">
        <v>5.0561755200092442</v>
      </c>
      <c r="AE6874" s="5">
        <v>2.2486092164794598</v>
      </c>
      <c r="AF6874">
        <v>1</v>
      </c>
    </row>
    <row r="6875" spans="27:32" x14ac:dyDescent="0.3">
      <c r="AA6875" s="3">
        <v>19664.29</v>
      </c>
      <c r="AB6875">
        <v>1E-4</v>
      </c>
      <c r="AC6875">
        <v>8</v>
      </c>
      <c r="AD6875" s="5">
        <v>4.9689674561495192</v>
      </c>
      <c r="AE6875" s="5">
        <v>2.186863005233489</v>
      </c>
      <c r="AF6875">
        <v>1</v>
      </c>
    </row>
    <row r="6876" spans="27:32" x14ac:dyDescent="0.3">
      <c r="AA6876" s="3">
        <v>3102.27</v>
      </c>
      <c r="AB6876">
        <v>1E-4</v>
      </c>
      <c r="AC6876">
        <v>8</v>
      </c>
      <c r="AD6876" s="5">
        <v>4.8506908689569377</v>
      </c>
      <c r="AE6876" s="5">
        <v>2.2235572636814958</v>
      </c>
      <c r="AF6876">
        <v>1</v>
      </c>
    </row>
    <row r="6877" spans="27:32" x14ac:dyDescent="0.3">
      <c r="AA6877" s="3">
        <v>27421.58</v>
      </c>
      <c r="AB6877">
        <v>1E-4</v>
      </c>
      <c r="AC6877">
        <v>8</v>
      </c>
      <c r="AD6877" s="5">
        <v>5.0321649487483455</v>
      </c>
      <c r="AE6877" s="5">
        <v>2.2028495916734885</v>
      </c>
      <c r="AF6877">
        <v>1</v>
      </c>
    </row>
    <row r="6878" spans="27:32" x14ac:dyDescent="0.3">
      <c r="AA6878" s="3">
        <v>21740.47</v>
      </c>
      <c r="AB6878">
        <v>1E-4</v>
      </c>
      <c r="AC6878">
        <v>8</v>
      </c>
      <c r="AD6878" s="5">
        <v>5.0385176699987699</v>
      </c>
      <c r="AE6878" s="5">
        <v>2.1794633826424259</v>
      </c>
      <c r="AF6878">
        <v>1</v>
      </c>
    </row>
    <row r="6879" spans="27:32" x14ac:dyDescent="0.3">
      <c r="AA6879" s="3">
        <v>30484.94</v>
      </c>
      <c r="AB6879">
        <v>1E-4</v>
      </c>
      <c r="AC6879">
        <v>8</v>
      </c>
      <c r="AD6879" s="5">
        <v>5.0871455359281414</v>
      </c>
      <c r="AE6879" s="5">
        <v>2.1819675027604326</v>
      </c>
      <c r="AF6879">
        <v>1</v>
      </c>
    </row>
    <row r="6880" spans="27:32" x14ac:dyDescent="0.3">
      <c r="AA6880" s="3">
        <v>8581.66</v>
      </c>
      <c r="AB6880">
        <v>1E-4</v>
      </c>
      <c r="AC6880">
        <v>8</v>
      </c>
      <c r="AD6880" s="5">
        <v>4.9323608871517806</v>
      </c>
      <c r="AE6880" s="5">
        <v>2.1900243748146599</v>
      </c>
      <c r="AF6880">
        <v>1</v>
      </c>
    </row>
    <row r="6881" spans="27:32" x14ac:dyDescent="0.3">
      <c r="AA6881" s="3">
        <v>3685.02</v>
      </c>
      <c r="AB6881">
        <v>1E-4</v>
      </c>
      <c r="AC6881">
        <v>8</v>
      </c>
      <c r="AD6881" s="5">
        <v>4.9633208880465762</v>
      </c>
      <c r="AE6881" s="5">
        <v>2.1855739789375552</v>
      </c>
      <c r="AF6881">
        <v>1</v>
      </c>
    </row>
    <row r="6882" spans="27:32" x14ac:dyDescent="0.3">
      <c r="AA6882" s="3">
        <v>815.12</v>
      </c>
      <c r="AB6882">
        <v>1E-4</v>
      </c>
      <c r="AC6882">
        <v>8</v>
      </c>
      <c r="AD6882" s="5">
        <v>5.0897222369289477</v>
      </c>
      <c r="AE6882" s="5">
        <v>2.1839048983440814</v>
      </c>
      <c r="AF6882">
        <v>1</v>
      </c>
    </row>
    <row r="6883" spans="27:32" x14ac:dyDescent="0.3">
      <c r="AA6883" s="3">
        <v>25149.040000000001</v>
      </c>
      <c r="AB6883">
        <v>1E-4</v>
      </c>
      <c r="AC6883">
        <v>8</v>
      </c>
      <c r="AD6883" s="5">
        <v>5.0204718668652859</v>
      </c>
      <c r="AE6883" s="5">
        <v>2.2308987026296911</v>
      </c>
      <c r="AF6883">
        <v>1</v>
      </c>
    </row>
    <row r="6884" spans="27:32" x14ac:dyDescent="0.3">
      <c r="AA6884" s="3">
        <v>-4107.1899999999996</v>
      </c>
      <c r="AB6884">
        <v>1E-4</v>
      </c>
      <c r="AC6884">
        <v>9</v>
      </c>
      <c r="AD6884" s="5">
        <v>5.0772219216354921</v>
      </c>
      <c r="AE6884" s="5">
        <v>2.2316265622873672</v>
      </c>
      <c r="AF6884">
        <v>1</v>
      </c>
    </row>
    <row r="6885" spans="27:32" x14ac:dyDescent="0.3">
      <c r="AA6885" s="3">
        <v>20530.46</v>
      </c>
      <c r="AB6885">
        <v>1E-4</v>
      </c>
      <c r="AC6885">
        <v>8</v>
      </c>
      <c r="AD6885" s="5">
        <v>5.1638638407593414</v>
      </c>
      <c r="AE6885" s="5">
        <v>2.2119093315845202</v>
      </c>
      <c r="AF6885">
        <v>1</v>
      </c>
    </row>
    <row r="6886" spans="27:32" x14ac:dyDescent="0.3">
      <c r="AA6886" s="3">
        <v>-3169.43</v>
      </c>
      <c r="AB6886">
        <v>1E-4</v>
      </c>
      <c r="AC6886">
        <v>9</v>
      </c>
      <c r="AD6886" s="5">
        <v>4.8440491794736014</v>
      </c>
      <c r="AE6886" s="5">
        <v>2.0924794386301615</v>
      </c>
      <c r="AF6886">
        <v>1</v>
      </c>
    </row>
    <row r="6887" spans="27:32" x14ac:dyDescent="0.3">
      <c r="AA6887" s="3">
        <v>19170.59</v>
      </c>
      <c r="AB6887">
        <v>1E-4</v>
      </c>
      <c r="AC6887">
        <v>8</v>
      </c>
      <c r="AD6887" s="5">
        <v>5.0115702977883521</v>
      </c>
      <c r="AE6887" s="5">
        <v>2.3217425303996184</v>
      </c>
      <c r="AF6887">
        <v>1</v>
      </c>
    </row>
    <row r="6888" spans="27:32" x14ac:dyDescent="0.3">
      <c r="AA6888" s="3">
        <v>9400.9</v>
      </c>
      <c r="AB6888">
        <v>1E-4</v>
      </c>
      <c r="AC6888">
        <v>8</v>
      </c>
      <c r="AD6888" s="5">
        <v>4.9202868008935488</v>
      </c>
      <c r="AE6888" s="5">
        <v>2.1845383405020899</v>
      </c>
      <c r="AF6888">
        <v>1</v>
      </c>
    </row>
    <row r="6889" spans="27:32" x14ac:dyDescent="0.3">
      <c r="AA6889" s="3">
        <v>19867.650000000001</v>
      </c>
      <c r="AB6889">
        <v>1E-4</v>
      </c>
      <c r="AC6889">
        <v>8</v>
      </c>
      <c r="AD6889" s="5">
        <v>5.0065673826693198</v>
      </c>
      <c r="AE6889" s="5">
        <v>2.2322603776532808</v>
      </c>
      <c r="AF6889">
        <v>1</v>
      </c>
    </row>
    <row r="6890" spans="27:32" x14ac:dyDescent="0.3">
      <c r="AA6890" s="3">
        <v>62831.13</v>
      </c>
      <c r="AB6890">
        <v>1E-4</v>
      </c>
      <c r="AC6890">
        <v>6</v>
      </c>
      <c r="AD6890" s="5">
        <v>5.1179968070106225</v>
      </c>
      <c r="AE6890" s="5">
        <v>2.1928001355573152</v>
      </c>
      <c r="AF6890">
        <v>1</v>
      </c>
    </row>
    <row r="6891" spans="27:32" x14ac:dyDescent="0.3">
      <c r="AA6891" s="3">
        <v>-2774.6050082323709</v>
      </c>
      <c r="AB6891">
        <v>1E-4</v>
      </c>
      <c r="AC6891">
        <v>8</v>
      </c>
      <c r="AD6891" s="5">
        <v>4.971428413690945</v>
      </c>
      <c r="AE6891" s="5">
        <v>2.1411016583981248</v>
      </c>
      <c r="AF6891">
        <v>0</v>
      </c>
    </row>
    <row r="6892" spans="27:32" x14ac:dyDescent="0.3">
      <c r="AA6892" s="3">
        <v>14155.76</v>
      </c>
      <c r="AB6892">
        <v>1E-4</v>
      </c>
      <c r="AC6892">
        <v>8</v>
      </c>
      <c r="AD6892" s="5">
        <v>5.1174832149467564</v>
      </c>
      <c r="AE6892" s="5">
        <v>2.110212092850956</v>
      </c>
      <c r="AF6892">
        <v>1</v>
      </c>
    </row>
    <row r="6893" spans="27:32" x14ac:dyDescent="0.3">
      <c r="AA6893" s="3">
        <v>30667.23</v>
      </c>
      <c r="AB6893">
        <v>1E-4</v>
      </c>
      <c r="AC6893">
        <v>7</v>
      </c>
      <c r="AD6893" s="5">
        <v>4.9872368127941016</v>
      </c>
      <c r="AE6893" s="5">
        <v>2.1297289205511971</v>
      </c>
      <c r="AF6893">
        <v>1</v>
      </c>
    </row>
    <row r="6894" spans="27:32" x14ac:dyDescent="0.3">
      <c r="AA6894" s="3">
        <v>16445.47</v>
      </c>
      <c r="AB6894">
        <v>1E-4</v>
      </c>
      <c r="AC6894">
        <v>8</v>
      </c>
      <c r="AD6894" s="5">
        <v>4.929537489338955</v>
      </c>
      <c r="AE6894" s="5">
        <v>2.1595811383986923</v>
      </c>
      <c r="AF6894">
        <v>1</v>
      </c>
    </row>
    <row r="6895" spans="27:32" x14ac:dyDescent="0.3">
      <c r="AA6895" s="3">
        <v>21905.99</v>
      </c>
      <c r="AB6895">
        <v>1E-4</v>
      </c>
      <c r="AC6895">
        <v>8</v>
      </c>
      <c r="AD6895" s="5">
        <v>4.9606035926606804</v>
      </c>
      <c r="AE6895" s="5">
        <v>2.2483100841904125</v>
      </c>
      <c r="AF6895">
        <v>1</v>
      </c>
    </row>
    <row r="6896" spans="27:32" x14ac:dyDescent="0.3">
      <c r="AA6896" s="3">
        <v>-4775.49</v>
      </c>
      <c r="AB6896">
        <v>1E-4</v>
      </c>
      <c r="AC6896">
        <v>9</v>
      </c>
      <c r="AD6896" s="5">
        <v>4.9541931851787915</v>
      </c>
      <c r="AE6896" s="5">
        <v>2.2076367177176972</v>
      </c>
      <c r="AF6896">
        <v>1</v>
      </c>
    </row>
    <row r="6897" spans="27:32" x14ac:dyDescent="0.3">
      <c r="AA6897" s="3">
        <v>8097.92</v>
      </c>
      <c r="AB6897">
        <v>1E-4</v>
      </c>
      <c r="AC6897">
        <v>8</v>
      </c>
      <c r="AD6897" s="5">
        <v>4.79343508877938</v>
      </c>
      <c r="AE6897" s="5">
        <v>2.2528947778254156</v>
      </c>
      <c r="AF6897">
        <v>1</v>
      </c>
    </row>
    <row r="6898" spans="27:32" x14ac:dyDescent="0.3">
      <c r="AA6898" s="3">
        <v>-3054</v>
      </c>
      <c r="AB6898">
        <v>1E-4</v>
      </c>
      <c r="AC6898">
        <v>9</v>
      </c>
      <c r="AD6898" s="5">
        <v>5.1199988114361226</v>
      </c>
      <c r="AE6898" s="5">
        <v>2.1872541082975636</v>
      </c>
      <c r="AF6898">
        <v>1</v>
      </c>
    </row>
    <row r="6899" spans="27:32" x14ac:dyDescent="0.3">
      <c r="AA6899" s="3">
        <v>15973.45</v>
      </c>
      <c r="AB6899">
        <v>1E-4</v>
      </c>
      <c r="AC6899">
        <v>8</v>
      </c>
      <c r="AD6899" s="5">
        <v>4.9359600479395196</v>
      </c>
      <c r="AE6899" s="5">
        <v>2.2332076449140064</v>
      </c>
      <c r="AF6899">
        <v>1</v>
      </c>
    </row>
    <row r="6900" spans="27:32" x14ac:dyDescent="0.3">
      <c r="AA6900" s="3">
        <v>37097.440000000002</v>
      </c>
      <c r="AB6900">
        <v>1E-4</v>
      </c>
      <c r="AC6900">
        <v>7</v>
      </c>
      <c r="AD6900" s="5">
        <v>4.8335258881586656</v>
      </c>
      <c r="AE6900" s="5">
        <v>2.1541470813558083</v>
      </c>
      <c r="AF6900">
        <v>1</v>
      </c>
    </row>
    <row r="6901" spans="27:32" x14ac:dyDescent="0.3">
      <c r="AA6901" s="3">
        <v>34906.769999999997</v>
      </c>
      <c r="AB6901">
        <v>1E-4</v>
      </c>
      <c r="AC6901">
        <v>7</v>
      </c>
      <c r="AD6901" s="5">
        <v>4.9156518762328449</v>
      </c>
      <c r="AE6901" s="5">
        <v>2.2310586927372187</v>
      </c>
      <c r="AF6901">
        <v>1</v>
      </c>
    </row>
    <row r="6902" spans="27:32" x14ac:dyDescent="0.3">
      <c r="AA6902" s="3">
        <v>36061.14</v>
      </c>
      <c r="AB6902">
        <v>1E-4</v>
      </c>
      <c r="AC6902">
        <v>7</v>
      </c>
      <c r="AD6902" s="5">
        <v>5.0115477160311794</v>
      </c>
      <c r="AE6902" s="5">
        <v>2.1789298746225891</v>
      </c>
      <c r="AF6902">
        <v>1</v>
      </c>
    </row>
    <row r="6903" spans="27:32" x14ac:dyDescent="0.3">
      <c r="AA6903" s="3">
        <v>6808.02</v>
      </c>
      <c r="AB6903">
        <v>1E-4</v>
      </c>
      <c r="AC6903">
        <v>8</v>
      </c>
      <c r="AD6903" s="5">
        <v>5.1164224091153763</v>
      </c>
      <c r="AE6903" s="5">
        <v>2.1645964073952344</v>
      </c>
      <c r="AF6903">
        <v>1</v>
      </c>
    </row>
    <row r="6904" spans="27:32" x14ac:dyDescent="0.3">
      <c r="AA6904" s="3">
        <v>16490.080000000002</v>
      </c>
      <c r="AB6904">
        <v>1E-4</v>
      </c>
      <c r="AC6904">
        <v>8</v>
      </c>
      <c r="AD6904" s="5">
        <v>4.8482687854524089</v>
      </c>
      <c r="AE6904" s="5">
        <v>2.2750711472361527</v>
      </c>
      <c r="AF6904">
        <v>1</v>
      </c>
    </row>
    <row r="6905" spans="27:32" x14ac:dyDescent="0.3">
      <c r="AA6905" s="3">
        <v>12518.95</v>
      </c>
      <c r="AB6905">
        <v>1E-4</v>
      </c>
      <c r="AC6905">
        <v>8</v>
      </c>
      <c r="AD6905" s="5">
        <v>4.9595161566658623</v>
      </c>
      <c r="AE6905" s="5">
        <v>2.1639313165191063</v>
      </c>
      <c r="AF6905">
        <v>1</v>
      </c>
    </row>
    <row r="6906" spans="27:32" x14ac:dyDescent="0.3">
      <c r="AA6906" s="3">
        <v>15528.43</v>
      </c>
      <c r="AB6906">
        <v>1E-4</v>
      </c>
      <c r="AC6906">
        <v>8</v>
      </c>
      <c r="AD6906" s="5">
        <v>4.9935511281302389</v>
      </c>
      <c r="AE6906" s="5">
        <v>2.2143667850203803</v>
      </c>
      <c r="AF6906">
        <v>1</v>
      </c>
    </row>
    <row r="6907" spans="27:32" x14ac:dyDescent="0.3">
      <c r="AA6907" s="3">
        <v>29521.7</v>
      </c>
      <c r="AB6907">
        <v>1E-4</v>
      </c>
      <c r="AC6907">
        <v>7</v>
      </c>
      <c r="AD6907" s="5">
        <v>4.8174474454876473</v>
      </c>
      <c r="AE6907" s="5">
        <v>2.1863082785776129</v>
      </c>
      <c r="AF6907">
        <v>1</v>
      </c>
    </row>
    <row r="6908" spans="27:32" x14ac:dyDescent="0.3">
      <c r="AA6908" s="3">
        <v>206.25</v>
      </c>
      <c r="AB6908">
        <v>1E-4</v>
      </c>
      <c r="AC6908">
        <v>8</v>
      </c>
      <c r="AD6908" s="5">
        <v>5.0277393596905222</v>
      </c>
      <c r="AE6908" s="5">
        <v>2.1458860087999367</v>
      </c>
      <c r="AF6908">
        <v>1</v>
      </c>
    </row>
    <row r="6909" spans="27:32" x14ac:dyDescent="0.3">
      <c r="AA6909" s="3">
        <v>14067.34</v>
      </c>
      <c r="AB6909">
        <v>1E-4</v>
      </c>
      <c r="AC6909">
        <v>8</v>
      </c>
      <c r="AD6909" s="5">
        <v>4.857955205363834</v>
      </c>
      <c r="AE6909" s="5">
        <v>2.2798531937827557</v>
      </c>
      <c r="AF6909">
        <v>1</v>
      </c>
    </row>
    <row r="6910" spans="27:32" x14ac:dyDescent="0.3">
      <c r="AA6910" s="3">
        <v>9763.81</v>
      </c>
      <c r="AB6910">
        <v>1E-4</v>
      </c>
      <c r="AC6910">
        <v>8</v>
      </c>
      <c r="AD6910" s="5">
        <v>5.0699649018700637</v>
      </c>
      <c r="AE6910" s="5">
        <v>2.2533299379115888</v>
      </c>
      <c r="AF6910">
        <v>1</v>
      </c>
    </row>
    <row r="6911" spans="27:32" x14ac:dyDescent="0.3">
      <c r="AA6911" s="3">
        <v>38273.33</v>
      </c>
      <c r="AB6911">
        <v>1E-4</v>
      </c>
      <c r="AC6911">
        <v>7</v>
      </c>
      <c r="AD6911" s="5">
        <v>4.9969673019837835</v>
      </c>
      <c r="AE6911" s="5">
        <v>2.2134306622439501</v>
      </c>
      <c r="AF6911">
        <v>1</v>
      </c>
    </row>
    <row r="6912" spans="27:32" x14ac:dyDescent="0.3">
      <c r="AA6912" s="3">
        <v>12736.16</v>
      </c>
      <c r="AB6912">
        <v>1E-4</v>
      </c>
      <c r="AC6912">
        <v>8</v>
      </c>
      <c r="AD6912" s="5">
        <v>5.0996834683778038</v>
      </c>
      <c r="AE6912" s="5">
        <v>2.2597198275894095</v>
      </c>
      <c r="AF6912">
        <v>1</v>
      </c>
    </row>
    <row r="6913" spans="27:32" x14ac:dyDescent="0.3">
      <c r="AA6913" s="3">
        <v>19291.25</v>
      </c>
      <c r="AB6913">
        <v>1E-4</v>
      </c>
      <c r="AC6913">
        <v>8</v>
      </c>
      <c r="AD6913" s="5">
        <v>5.0343324746194495</v>
      </c>
      <c r="AE6913" s="5">
        <v>2.1660727883707809</v>
      </c>
      <c r="AF6913">
        <v>1</v>
      </c>
    </row>
    <row r="6914" spans="27:32" x14ac:dyDescent="0.3">
      <c r="AA6914" s="3">
        <v>-1964.45</v>
      </c>
      <c r="AB6914">
        <v>1E-4</v>
      </c>
      <c r="AC6914">
        <v>9</v>
      </c>
      <c r="AD6914" s="5">
        <v>4.9895121683326256</v>
      </c>
      <c r="AE6914" s="5">
        <v>2.1448768023218339</v>
      </c>
      <c r="AF6914">
        <v>1</v>
      </c>
    </row>
    <row r="6915" spans="27:32" x14ac:dyDescent="0.3">
      <c r="AA6915" s="3">
        <v>-20029.7</v>
      </c>
      <c r="AB6915">
        <v>1E-4</v>
      </c>
      <c r="AC6915">
        <v>9</v>
      </c>
      <c r="AD6915" s="5">
        <v>4.8769904660536145</v>
      </c>
      <c r="AE6915" s="5">
        <v>2.2709936414138245</v>
      </c>
      <c r="AF6915">
        <v>1</v>
      </c>
    </row>
    <row r="6916" spans="27:32" x14ac:dyDescent="0.3">
      <c r="AA6916" s="3">
        <v>19140.78</v>
      </c>
      <c r="AB6916">
        <v>1E-4</v>
      </c>
      <c r="AC6916">
        <v>8</v>
      </c>
      <c r="AD6916" s="5">
        <v>4.9316434706566685</v>
      </c>
      <c r="AE6916" s="5">
        <v>2.1881813850128515</v>
      </c>
      <c r="AF6916">
        <v>1</v>
      </c>
    </row>
    <row r="6917" spans="27:32" x14ac:dyDescent="0.3">
      <c r="AA6917" s="3">
        <v>38731.58</v>
      </c>
      <c r="AB6917">
        <v>1E-4</v>
      </c>
      <c r="AC6917">
        <v>7</v>
      </c>
      <c r="AD6917" s="5">
        <v>5.2080055945598751</v>
      </c>
      <c r="AE6917" s="5">
        <v>2.1972260059957502</v>
      </c>
      <c r="AF6917">
        <v>1</v>
      </c>
    </row>
    <row r="6918" spans="27:32" x14ac:dyDescent="0.3">
      <c r="AA6918" s="3">
        <v>40175.17</v>
      </c>
      <c r="AB6918">
        <v>1E-4</v>
      </c>
      <c r="AC6918">
        <v>7</v>
      </c>
      <c r="AD6918" s="5">
        <v>5.1396325298163337</v>
      </c>
      <c r="AE6918" s="5">
        <v>2.1605317634817749</v>
      </c>
      <c r="AF6918">
        <v>1</v>
      </c>
    </row>
    <row r="6919" spans="27:32" x14ac:dyDescent="0.3">
      <c r="AA6919" s="3">
        <v>1859.75</v>
      </c>
      <c r="AB6919">
        <v>1E-4</v>
      </c>
      <c r="AC6919">
        <v>8</v>
      </c>
      <c r="AD6919" s="5">
        <v>4.8081175198302164</v>
      </c>
      <c r="AE6919" s="5">
        <v>2.2202479943582469</v>
      </c>
      <c r="AF6919">
        <v>1</v>
      </c>
    </row>
    <row r="6920" spans="27:32" x14ac:dyDescent="0.3">
      <c r="AA6920" s="3">
        <v>26497.75</v>
      </c>
      <c r="AB6920">
        <v>1E-4</v>
      </c>
      <c r="AC6920">
        <v>8</v>
      </c>
      <c r="AD6920" s="5">
        <v>5.1558256120498847</v>
      </c>
      <c r="AE6920" s="5">
        <v>2.2372479281051585</v>
      </c>
      <c r="AF6920">
        <v>1</v>
      </c>
    </row>
    <row r="6921" spans="27:32" x14ac:dyDescent="0.3">
      <c r="AA6921" s="3">
        <v>23535.08</v>
      </c>
      <c r="AB6921">
        <v>1E-4</v>
      </c>
      <c r="AC6921">
        <v>8</v>
      </c>
      <c r="AD6921" s="5">
        <v>4.9451043424218613</v>
      </c>
      <c r="AE6921" s="5">
        <v>2.2624405976252184</v>
      </c>
      <c r="AF6921">
        <v>1</v>
      </c>
    </row>
    <row r="6922" spans="27:32" x14ac:dyDescent="0.3">
      <c r="AA6922" s="3">
        <v>23556.65</v>
      </c>
      <c r="AB6922">
        <v>1E-4</v>
      </c>
      <c r="AC6922">
        <v>8</v>
      </c>
      <c r="AD6922" s="5">
        <v>5.0178337763008782</v>
      </c>
      <c r="AE6922" s="5">
        <v>2.2244086156638119</v>
      </c>
      <c r="AF6922">
        <v>1</v>
      </c>
    </row>
    <row r="6923" spans="27:32" x14ac:dyDescent="0.3">
      <c r="AA6923" s="3">
        <v>-18203.68</v>
      </c>
      <c r="AB6923">
        <v>1E-4</v>
      </c>
      <c r="AC6923">
        <v>9</v>
      </c>
      <c r="AD6923" s="5">
        <v>4.9450064273933707</v>
      </c>
      <c r="AE6923" s="5">
        <v>2.2042319392114251</v>
      </c>
      <c r="AF6923">
        <v>1</v>
      </c>
    </row>
    <row r="6924" spans="27:32" x14ac:dyDescent="0.3">
      <c r="AA6924" s="3">
        <v>43226.400000000001</v>
      </c>
      <c r="AB6924">
        <v>1E-4</v>
      </c>
      <c r="AC6924">
        <v>7</v>
      </c>
      <c r="AD6924" s="5">
        <v>5.0350594342115</v>
      </c>
      <c r="AE6924" s="5">
        <v>2.2355584477327777</v>
      </c>
      <c r="AF6924">
        <v>1</v>
      </c>
    </row>
    <row r="6925" spans="27:32" x14ac:dyDescent="0.3">
      <c r="AA6925" s="3">
        <v>28636.93</v>
      </c>
      <c r="AB6925">
        <v>1E-4</v>
      </c>
      <c r="AC6925">
        <v>8</v>
      </c>
      <c r="AD6925" s="5">
        <v>5.142659447770261</v>
      </c>
      <c r="AE6925" s="5">
        <v>2.2961799245923644</v>
      </c>
      <c r="AF6925">
        <v>1</v>
      </c>
    </row>
    <row r="6926" spans="27:32" x14ac:dyDescent="0.3">
      <c r="AA6926" s="3">
        <v>36189.9</v>
      </c>
      <c r="AB6926">
        <v>1E-4</v>
      </c>
      <c r="AC6926">
        <v>7</v>
      </c>
      <c r="AD6926" s="5">
        <v>5.0965868673055414</v>
      </c>
      <c r="AE6926" s="5">
        <v>2.2017113016609651</v>
      </c>
      <c r="AF6926">
        <v>1</v>
      </c>
    </row>
    <row r="6927" spans="27:32" x14ac:dyDescent="0.3">
      <c r="AA6927" s="3">
        <v>-11818.78</v>
      </c>
      <c r="AB6927">
        <v>1E-4</v>
      </c>
      <c r="AC6927">
        <v>9</v>
      </c>
      <c r="AD6927" s="5">
        <v>4.9339903884526874</v>
      </c>
      <c r="AE6927" s="5">
        <v>2.1872872688793774</v>
      </c>
      <c r="AF6927">
        <v>1</v>
      </c>
    </row>
    <row r="6928" spans="27:32" x14ac:dyDescent="0.3">
      <c r="AA6928" s="3">
        <v>17548.18</v>
      </c>
      <c r="AB6928">
        <v>1E-4</v>
      </c>
      <c r="AC6928">
        <v>8</v>
      </c>
      <c r="AD6928" s="5">
        <v>5.1435432813613478</v>
      </c>
      <c r="AE6928" s="5">
        <v>2.2459275708628184</v>
      </c>
      <c r="AF6928">
        <v>1</v>
      </c>
    </row>
    <row r="6929" spans="27:32" x14ac:dyDescent="0.3">
      <c r="AA6929" s="3">
        <v>40711.18</v>
      </c>
      <c r="AB6929">
        <v>1E-4</v>
      </c>
      <c r="AC6929">
        <v>7</v>
      </c>
      <c r="AD6929" s="5">
        <v>5.0533409372474463</v>
      </c>
      <c r="AE6929" s="5">
        <v>2.222259031335454</v>
      </c>
      <c r="AF6929">
        <v>1</v>
      </c>
    </row>
    <row r="6930" spans="27:32" x14ac:dyDescent="0.3">
      <c r="AA6930" s="3">
        <v>36903.21</v>
      </c>
      <c r="AB6930">
        <v>1E-4</v>
      </c>
      <c r="AC6930">
        <v>7</v>
      </c>
      <c r="AD6930" s="5">
        <v>4.9064523461378329</v>
      </c>
      <c r="AE6930" s="5">
        <v>2.1932362010408677</v>
      </c>
      <c r="AF6930">
        <v>1</v>
      </c>
    </row>
    <row r="6931" spans="27:32" x14ac:dyDescent="0.3">
      <c r="AA6931" s="3">
        <v>16745.84</v>
      </c>
      <c r="AB6931">
        <v>1E-4</v>
      </c>
      <c r="AC6931">
        <v>8</v>
      </c>
      <c r="AD6931" s="5">
        <v>5.0034738801754886</v>
      </c>
      <c r="AE6931" s="5">
        <v>2.1768181382423979</v>
      </c>
      <c r="AF6931">
        <v>1</v>
      </c>
    </row>
    <row r="6932" spans="27:32" x14ac:dyDescent="0.3">
      <c r="AA6932" s="3">
        <v>19683.8</v>
      </c>
      <c r="AB6932">
        <v>1E-4</v>
      </c>
      <c r="AC6932">
        <v>8</v>
      </c>
      <c r="AD6932" s="5">
        <v>4.9609423445019729</v>
      </c>
      <c r="AE6932" s="5">
        <v>2.156502310293956</v>
      </c>
      <c r="AF6932">
        <v>1</v>
      </c>
    </row>
    <row r="6933" spans="27:32" x14ac:dyDescent="0.3">
      <c r="AA6933" s="3">
        <v>32118.39</v>
      </c>
      <c r="AB6933">
        <v>1E-4</v>
      </c>
      <c r="AC6933">
        <v>7</v>
      </c>
      <c r="AD6933" s="5">
        <v>5.0438404726371822</v>
      </c>
      <c r="AE6933" s="5">
        <v>2.228782858675034</v>
      </c>
      <c r="AF6933">
        <v>1</v>
      </c>
    </row>
    <row r="6934" spans="27:32" x14ac:dyDescent="0.3">
      <c r="AA6934" s="3">
        <v>-13263.1</v>
      </c>
      <c r="AB6934">
        <v>1E-4</v>
      </c>
      <c r="AC6934">
        <v>9</v>
      </c>
      <c r="AD6934" s="5">
        <v>4.8963620772165459</v>
      </c>
      <c r="AE6934" s="5">
        <v>2.2146786436125967</v>
      </c>
      <c r="AF6934">
        <v>1</v>
      </c>
    </row>
    <row r="6935" spans="27:32" x14ac:dyDescent="0.3">
      <c r="AA6935" s="3">
        <v>16619.64</v>
      </c>
      <c r="AB6935">
        <v>1E-4</v>
      </c>
      <c r="AC6935">
        <v>8</v>
      </c>
      <c r="AD6935" s="5">
        <v>5.0710851631295153</v>
      </c>
      <c r="AE6935" s="5">
        <v>2.1768053928231961</v>
      </c>
      <c r="AF6935">
        <v>1</v>
      </c>
    </row>
    <row r="6936" spans="27:32" x14ac:dyDescent="0.3">
      <c r="AA6936" s="3">
        <v>-3484.88</v>
      </c>
      <c r="AB6936">
        <v>1E-4</v>
      </c>
      <c r="AC6936">
        <v>9</v>
      </c>
      <c r="AD6936" s="5">
        <v>4.9072132606262935</v>
      </c>
      <c r="AE6936" s="5">
        <v>2.2015341768677645</v>
      </c>
      <c r="AF6936">
        <v>1</v>
      </c>
    </row>
    <row r="6937" spans="27:32" x14ac:dyDescent="0.3">
      <c r="AA6937" s="3">
        <v>-9433.08</v>
      </c>
      <c r="AB6937">
        <v>1E-4</v>
      </c>
      <c r="AC6937">
        <v>9</v>
      </c>
      <c r="AD6937" s="5">
        <v>4.825954083688675</v>
      </c>
      <c r="AE6937" s="5">
        <v>2.1292860361734336</v>
      </c>
      <c r="AF6937">
        <v>1</v>
      </c>
    </row>
    <row r="6938" spans="27:32" x14ac:dyDescent="0.3">
      <c r="AA6938" s="3">
        <v>41689.4</v>
      </c>
      <c r="AB6938">
        <v>1E-4</v>
      </c>
      <c r="AC6938">
        <v>7</v>
      </c>
      <c r="AD6938" s="5">
        <v>4.9806657627937652</v>
      </c>
      <c r="AE6938" s="5">
        <v>2.1341268009825862</v>
      </c>
      <c r="AF6938">
        <v>1</v>
      </c>
    </row>
    <row r="6939" spans="27:32" x14ac:dyDescent="0.3">
      <c r="AA6939" s="3">
        <v>19783.68</v>
      </c>
      <c r="AB6939">
        <v>1E-4</v>
      </c>
      <c r="AC6939">
        <v>8</v>
      </c>
      <c r="AD6939" s="5">
        <v>5.0451905320129375</v>
      </c>
      <c r="AE6939" s="5">
        <v>2.2161603523863911</v>
      </c>
      <c r="AF6939">
        <v>1</v>
      </c>
    </row>
    <row r="6940" spans="27:32" x14ac:dyDescent="0.3">
      <c r="AA6940" s="3">
        <v>-1507.89</v>
      </c>
      <c r="AB6940">
        <v>1E-4</v>
      </c>
      <c r="AC6940">
        <v>9</v>
      </c>
      <c r="AD6940" s="5">
        <v>5.0326133423358836</v>
      </c>
      <c r="AE6940" s="5">
        <v>2.1678109702736008</v>
      </c>
      <c r="AF6940">
        <v>1</v>
      </c>
    </row>
    <row r="6941" spans="27:32" x14ac:dyDescent="0.3">
      <c r="AA6941" s="3">
        <v>16734.490000000002</v>
      </c>
      <c r="AB6941">
        <v>1E-4</v>
      </c>
      <c r="AC6941">
        <v>8</v>
      </c>
      <c r="AD6941" s="5">
        <v>4.9958969667261153</v>
      </c>
      <c r="AE6941" s="5">
        <v>2.2278264728904884</v>
      </c>
      <c r="AF6941">
        <v>1</v>
      </c>
    </row>
    <row r="6942" spans="27:32" x14ac:dyDescent="0.3">
      <c r="AA6942" s="3">
        <v>5738.86</v>
      </c>
      <c r="AB6942">
        <v>1E-4</v>
      </c>
      <c r="AC6942">
        <v>8</v>
      </c>
      <c r="AD6942" s="5">
        <v>4.8363399929518813</v>
      </c>
      <c r="AE6942" s="5">
        <v>2.1231258268129896</v>
      </c>
      <c r="AF6942">
        <v>1</v>
      </c>
    </row>
    <row r="6943" spans="27:32" x14ac:dyDescent="0.3">
      <c r="AA6943" s="3">
        <v>26847.47</v>
      </c>
      <c r="AB6943">
        <v>1E-4</v>
      </c>
      <c r="AC6943">
        <v>8</v>
      </c>
      <c r="AD6943" s="5">
        <v>5.1715165397330933</v>
      </c>
      <c r="AE6943" s="5">
        <v>2.2824106865140776</v>
      </c>
      <c r="AF6943">
        <v>1</v>
      </c>
    </row>
    <row r="6944" spans="27:32" x14ac:dyDescent="0.3">
      <c r="AA6944" s="3">
        <v>-12386.52</v>
      </c>
      <c r="AB6944">
        <v>1E-4</v>
      </c>
      <c r="AC6944">
        <v>9</v>
      </c>
      <c r="AD6944" s="5">
        <v>4.885241191014754</v>
      </c>
      <c r="AE6944" s="5">
        <v>2.2261762072017142</v>
      </c>
      <c r="AF6944">
        <v>1</v>
      </c>
    </row>
    <row r="6945" spans="27:32" x14ac:dyDescent="0.3">
      <c r="AA6945" s="3">
        <v>7974.8</v>
      </c>
      <c r="AB6945">
        <v>1E-4</v>
      </c>
      <c r="AC6945">
        <v>8</v>
      </c>
      <c r="AD6945" s="5">
        <v>4.92591921720821</v>
      </c>
      <c r="AE6945" s="5">
        <v>2.2506598940900351</v>
      </c>
      <c r="AF6945">
        <v>1</v>
      </c>
    </row>
    <row r="6946" spans="27:32" x14ac:dyDescent="0.3">
      <c r="AA6946" s="3">
        <v>336.65</v>
      </c>
      <c r="AB6946">
        <v>1E-4</v>
      </c>
      <c r="AC6946">
        <v>8</v>
      </c>
      <c r="AD6946" s="5">
        <v>4.8937031510990412</v>
      </c>
      <c r="AE6946" s="5">
        <v>2.2614272829467437</v>
      </c>
      <c r="AF6946">
        <v>1</v>
      </c>
    </row>
    <row r="6947" spans="27:32" x14ac:dyDescent="0.3">
      <c r="AA6947" s="3">
        <v>24918.880000000001</v>
      </c>
      <c r="AB6947">
        <v>1E-4</v>
      </c>
      <c r="AC6947">
        <v>8</v>
      </c>
      <c r="AD6947" s="5">
        <v>4.987245359446991</v>
      </c>
      <c r="AE6947" s="5">
        <v>2.2471577086159336</v>
      </c>
      <c r="AF6947">
        <v>1</v>
      </c>
    </row>
    <row r="6948" spans="27:32" x14ac:dyDescent="0.3">
      <c r="AA6948" s="3">
        <v>42507.99</v>
      </c>
      <c r="AB6948">
        <v>1E-4</v>
      </c>
      <c r="AC6948">
        <v>7</v>
      </c>
      <c r="AD6948" s="5">
        <v>4.8752539811795605</v>
      </c>
      <c r="AE6948" s="5">
        <v>2.1743393033815304</v>
      </c>
      <c r="AF6948">
        <v>1</v>
      </c>
    </row>
    <row r="6949" spans="27:32" x14ac:dyDescent="0.3">
      <c r="AA6949" s="3">
        <v>-15535.726736897714</v>
      </c>
      <c r="AB6949">
        <v>1E-4</v>
      </c>
      <c r="AC6949">
        <v>8</v>
      </c>
      <c r="AD6949" s="5">
        <v>4.7726026520538634</v>
      </c>
      <c r="AE6949" s="5">
        <v>2.1799646313676049</v>
      </c>
      <c r="AF6949">
        <v>0</v>
      </c>
    </row>
    <row r="6950" spans="27:32" x14ac:dyDescent="0.3">
      <c r="AA6950" s="3">
        <v>14731.75</v>
      </c>
      <c r="AB6950">
        <v>1E-4</v>
      </c>
      <c r="AC6950">
        <v>8</v>
      </c>
      <c r="AD6950" s="5">
        <v>5.0165824620462507</v>
      </c>
      <c r="AE6950" s="5">
        <v>2.208500657483786</v>
      </c>
      <c r="AF6950">
        <v>1</v>
      </c>
    </row>
    <row r="6951" spans="27:32" x14ac:dyDescent="0.3">
      <c r="AA6951" s="3">
        <v>30177.29</v>
      </c>
      <c r="AB6951">
        <v>1E-4</v>
      </c>
      <c r="AC6951">
        <v>8</v>
      </c>
      <c r="AD6951" s="5">
        <v>5.0684268634365646</v>
      </c>
      <c r="AE6951" s="5">
        <v>2.2235327773264997</v>
      </c>
      <c r="AF6951">
        <v>1</v>
      </c>
    </row>
    <row r="6952" spans="27:32" x14ac:dyDescent="0.3">
      <c r="AA6952" s="3">
        <v>8152.68</v>
      </c>
      <c r="AB6952">
        <v>1E-4</v>
      </c>
      <c r="AC6952">
        <v>8</v>
      </c>
      <c r="AD6952" s="5">
        <v>5.2180365645212881</v>
      </c>
      <c r="AE6952" s="5">
        <v>2.2350919406421652</v>
      </c>
      <c r="AF6952">
        <v>1</v>
      </c>
    </row>
    <row r="6953" spans="27:32" x14ac:dyDescent="0.3">
      <c r="AA6953" s="3">
        <v>5235.87</v>
      </c>
      <c r="AB6953">
        <v>1E-4</v>
      </c>
      <c r="AC6953">
        <v>8</v>
      </c>
      <c r="AD6953" s="5">
        <v>4.9271737063266583</v>
      </c>
      <c r="AE6953" s="5">
        <v>2.2305469039838672</v>
      </c>
      <c r="AF6953">
        <v>1</v>
      </c>
    </row>
    <row r="6954" spans="27:32" x14ac:dyDescent="0.3">
      <c r="AA6954" s="3">
        <v>10736.61</v>
      </c>
      <c r="AB6954">
        <v>1E-4</v>
      </c>
      <c r="AC6954">
        <v>8</v>
      </c>
      <c r="AD6954" s="5">
        <v>5.1340424000248026</v>
      </c>
      <c r="AE6954" s="5">
        <v>2.2212753650330184</v>
      </c>
      <c r="AF6954">
        <v>1</v>
      </c>
    </row>
    <row r="6955" spans="27:32" x14ac:dyDescent="0.3">
      <c r="AA6955" s="3">
        <v>22671.13</v>
      </c>
      <c r="AB6955">
        <v>1E-4</v>
      </c>
      <c r="AC6955">
        <v>8</v>
      </c>
      <c r="AD6955" s="5">
        <v>5.2229630953979997</v>
      </c>
      <c r="AE6955" s="5">
        <v>2.300962005591638</v>
      </c>
      <c r="AF6955">
        <v>1</v>
      </c>
    </row>
    <row r="6956" spans="27:32" x14ac:dyDescent="0.3">
      <c r="AA6956" s="3">
        <v>19952.16</v>
      </c>
      <c r="AB6956">
        <v>1E-4</v>
      </c>
      <c r="AC6956">
        <v>8</v>
      </c>
      <c r="AD6956" s="5">
        <v>4.8650873229879998</v>
      </c>
      <c r="AE6956" s="5">
        <v>2.1945493246253367</v>
      </c>
      <c r="AF6956">
        <v>1</v>
      </c>
    </row>
    <row r="6957" spans="27:32" x14ac:dyDescent="0.3">
      <c r="AA6957" s="3">
        <v>17482.78</v>
      </c>
      <c r="AB6957">
        <v>1E-4</v>
      </c>
      <c r="AC6957">
        <v>8</v>
      </c>
      <c r="AD6957" s="5">
        <v>5.0505427659339164</v>
      </c>
      <c r="AE6957" s="5">
        <v>2.2739136452444209</v>
      </c>
      <c r="AF6957">
        <v>1</v>
      </c>
    </row>
    <row r="6958" spans="27:32" x14ac:dyDescent="0.3">
      <c r="AA6958" s="3">
        <v>12459.26</v>
      </c>
      <c r="AB6958">
        <v>1E-4</v>
      </c>
      <c r="AC6958">
        <v>8</v>
      </c>
      <c r="AD6958" s="5">
        <v>5.0481200022294832</v>
      </c>
      <c r="AE6958" s="5">
        <v>2.2556619280163948</v>
      </c>
      <c r="AF6958">
        <v>1</v>
      </c>
    </row>
    <row r="6959" spans="27:32" x14ac:dyDescent="0.3">
      <c r="AA6959" s="3">
        <v>-18636.04498819376</v>
      </c>
      <c r="AB6959">
        <v>1E-4</v>
      </c>
      <c r="AC6959">
        <v>9</v>
      </c>
      <c r="AD6959" s="5">
        <v>4.8896155372619399</v>
      </c>
      <c r="AE6959" s="5">
        <v>2.1837631000579587</v>
      </c>
      <c r="AF6959">
        <v>0</v>
      </c>
    </row>
    <row r="6960" spans="27:32" x14ac:dyDescent="0.3">
      <c r="AA6960" s="3">
        <v>22475.39</v>
      </c>
      <c r="AB6960">
        <v>1E-4</v>
      </c>
      <c r="AC6960">
        <v>8</v>
      </c>
      <c r="AD6960" s="5">
        <v>4.9495589495467636</v>
      </c>
      <c r="AE6960" s="5">
        <v>2.1494631021094293</v>
      </c>
      <c r="AF6960">
        <v>1</v>
      </c>
    </row>
    <row r="6961" spans="27:32" x14ac:dyDescent="0.3">
      <c r="AA6961" s="3">
        <v>-7866.79</v>
      </c>
      <c r="AB6961">
        <v>1E-4</v>
      </c>
      <c r="AC6961">
        <v>9</v>
      </c>
      <c r="AD6961" s="5">
        <v>4.805613649777392</v>
      </c>
      <c r="AE6961" s="5">
        <v>2.299394549139834</v>
      </c>
      <c r="AF6961">
        <v>1</v>
      </c>
    </row>
    <row r="6962" spans="27:32" x14ac:dyDescent="0.3">
      <c r="AA6962" s="3">
        <v>-2691.1</v>
      </c>
      <c r="AB6962">
        <v>1E-4</v>
      </c>
      <c r="AC6962">
        <v>9</v>
      </c>
      <c r="AD6962" s="5">
        <v>4.9970644695939779</v>
      </c>
      <c r="AE6962" s="5">
        <v>2.2496768995057113</v>
      </c>
      <c r="AF6962">
        <v>1</v>
      </c>
    </row>
    <row r="6963" spans="27:32" x14ac:dyDescent="0.3">
      <c r="AA6963" s="3">
        <v>3027.16</v>
      </c>
      <c r="AB6963">
        <v>1E-4</v>
      </c>
      <c r="AC6963">
        <v>8</v>
      </c>
      <c r="AD6963" s="5">
        <v>5.177461255045027</v>
      </c>
      <c r="AE6963" s="5">
        <v>2.2481668617815411</v>
      </c>
      <c r="AF6963">
        <v>1</v>
      </c>
    </row>
    <row r="6964" spans="27:32" x14ac:dyDescent="0.3">
      <c r="AA6964" s="3">
        <v>-2388.19</v>
      </c>
      <c r="AB6964">
        <v>1E-4</v>
      </c>
      <c r="AC6964">
        <v>9</v>
      </c>
      <c r="AD6964" s="5">
        <v>5.1258635300569599</v>
      </c>
      <c r="AE6964" s="5">
        <v>2.1454596833372515</v>
      </c>
      <c r="AF6964">
        <v>1</v>
      </c>
    </row>
    <row r="6965" spans="27:32" x14ac:dyDescent="0.3">
      <c r="AA6965" s="3">
        <v>16528.39</v>
      </c>
      <c r="AB6965">
        <v>1E-4</v>
      </c>
      <c r="AC6965">
        <v>8</v>
      </c>
      <c r="AD6965" s="5">
        <v>4.9624684603567539</v>
      </c>
      <c r="AE6965" s="5">
        <v>2.1712254394849082</v>
      </c>
      <c r="AF6965">
        <v>1</v>
      </c>
    </row>
    <row r="6966" spans="27:32" x14ac:dyDescent="0.3">
      <c r="AA6966" s="3">
        <v>6254.39</v>
      </c>
      <c r="AB6966">
        <v>1E-4</v>
      </c>
      <c r="AC6966">
        <v>8</v>
      </c>
      <c r="AD6966" s="5">
        <v>5.0123128527948104</v>
      </c>
      <c r="AE6966" s="5">
        <v>2.2053814208124489</v>
      </c>
      <c r="AF6966">
        <v>1</v>
      </c>
    </row>
    <row r="6967" spans="27:32" x14ac:dyDescent="0.3">
      <c r="AA6967" s="3">
        <v>30007.200000000001</v>
      </c>
      <c r="AB6967">
        <v>1E-4</v>
      </c>
      <c r="AC6967">
        <v>7</v>
      </c>
      <c r="AD6967" s="5">
        <v>4.8967652440361418</v>
      </c>
      <c r="AE6967" s="5">
        <v>2.2116220283589443</v>
      </c>
      <c r="AF6967">
        <v>1</v>
      </c>
    </row>
    <row r="6968" spans="27:32" x14ac:dyDescent="0.3">
      <c r="AA6968" s="3">
        <v>42446.41</v>
      </c>
      <c r="AB6968">
        <v>1E-4</v>
      </c>
      <c r="AC6968">
        <v>6</v>
      </c>
      <c r="AD6968" s="5">
        <v>4.9812228322695331</v>
      </c>
      <c r="AE6968" s="5">
        <v>2.2423217467194556</v>
      </c>
      <c r="AF6968">
        <v>1</v>
      </c>
    </row>
    <row r="6969" spans="27:32" x14ac:dyDescent="0.3">
      <c r="AA6969" s="3">
        <v>575.52</v>
      </c>
      <c r="AB6969">
        <v>1E-4</v>
      </c>
      <c r="AC6969">
        <v>8</v>
      </c>
      <c r="AD6969" s="5">
        <v>5.0665100232160283</v>
      </c>
      <c r="AE6969" s="5">
        <v>2.1407195245062445</v>
      </c>
      <c r="AF6969">
        <v>1</v>
      </c>
    </row>
    <row r="6970" spans="27:32" x14ac:dyDescent="0.3">
      <c r="AA6970" s="3">
        <v>11031</v>
      </c>
      <c r="AB6970">
        <v>1E-4</v>
      </c>
      <c r="AC6970">
        <v>8</v>
      </c>
      <c r="AD6970" s="5">
        <v>5.0164756106495156</v>
      </c>
      <c r="AE6970" s="5">
        <v>2.1527940478985421</v>
      </c>
      <c r="AF6970">
        <v>1</v>
      </c>
    </row>
    <row r="6971" spans="27:32" x14ac:dyDescent="0.3">
      <c r="AA6971" s="3">
        <v>36370.620000000003</v>
      </c>
      <c r="AB6971">
        <v>1E-4</v>
      </c>
      <c r="AC6971">
        <v>7</v>
      </c>
      <c r="AD6971" s="5">
        <v>4.9503314677218935</v>
      </c>
      <c r="AE6971" s="5">
        <v>2.2078514232670767</v>
      </c>
      <c r="AF6971">
        <v>1</v>
      </c>
    </row>
    <row r="6972" spans="27:32" x14ac:dyDescent="0.3">
      <c r="AA6972" s="3">
        <v>23791.98</v>
      </c>
      <c r="AB6972">
        <v>1E-4</v>
      </c>
      <c r="AC6972">
        <v>8</v>
      </c>
      <c r="AD6972" s="5">
        <v>4.9774521814156971</v>
      </c>
      <c r="AE6972" s="5">
        <v>2.1554308594274953</v>
      </c>
      <c r="AF6972">
        <v>1</v>
      </c>
    </row>
    <row r="6973" spans="27:32" x14ac:dyDescent="0.3">
      <c r="AA6973" s="3">
        <v>17618.900000000001</v>
      </c>
      <c r="AB6973">
        <v>1E-4</v>
      </c>
      <c r="AC6973">
        <v>8</v>
      </c>
      <c r="AD6973" s="5">
        <v>4.9316064642780884</v>
      </c>
      <c r="AE6973" s="5">
        <v>2.1635943356226841</v>
      </c>
      <c r="AF6973">
        <v>1</v>
      </c>
    </row>
    <row r="6974" spans="27:32" x14ac:dyDescent="0.3">
      <c r="AA6974" s="3">
        <v>2697.69</v>
      </c>
      <c r="AB6974">
        <v>1E-4</v>
      </c>
      <c r="AC6974">
        <v>8</v>
      </c>
      <c r="AD6974" s="5">
        <v>4.8082770982533374</v>
      </c>
      <c r="AE6974" s="5">
        <v>2.1700135831668406</v>
      </c>
      <c r="AF6974">
        <v>1</v>
      </c>
    </row>
    <row r="6975" spans="27:32" x14ac:dyDescent="0.3">
      <c r="AA6975" s="3">
        <v>36614.400000000001</v>
      </c>
      <c r="AB6975">
        <v>1E-4</v>
      </c>
      <c r="AC6975">
        <v>7</v>
      </c>
      <c r="AD6975" s="5">
        <v>5.0959890383021662</v>
      </c>
      <c r="AE6975" s="5">
        <v>2.1513195711541102</v>
      </c>
      <c r="AF6975">
        <v>1</v>
      </c>
    </row>
    <row r="6976" spans="27:32" x14ac:dyDescent="0.3">
      <c r="AA6976" s="3">
        <v>26631.03</v>
      </c>
      <c r="AB6976">
        <v>1E-4</v>
      </c>
      <c r="AC6976">
        <v>8</v>
      </c>
      <c r="AD6976" s="5">
        <v>5.0077002650859397</v>
      </c>
      <c r="AE6976" s="5">
        <v>2.1193460947509224</v>
      </c>
      <c r="AF6976">
        <v>1</v>
      </c>
    </row>
    <row r="6977" spans="27:32" x14ac:dyDescent="0.3">
      <c r="AA6977" s="3">
        <v>-2496.16</v>
      </c>
      <c r="AB6977">
        <v>1E-4</v>
      </c>
      <c r="AC6977">
        <v>9</v>
      </c>
      <c r="AD6977" s="5">
        <v>5.0544200935193748</v>
      </c>
      <c r="AE6977" s="5">
        <v>2.1668209504882765</v>
      </c>
      <c r="AF6977">
        <v>1</v>
      </c>
    </row>
    <row r="6978" spans="27:32" x14ac:dyDescent="0.3">
      <c r="AA6978" s="3">
        <v>21582.7</v>
      </c>
      <c r="AB6978">
        <v>1E-4</v>
      </c>
      <c r="AC6978">
        <v>8</v>
      </c>
      <c r="AD6978" s="5">
        <v>5.22195782881652</v>
      </c>
      <c r="AE6978" s="5">
        <v>2.17797998063828</v>
      </c>
      <c r="AF6978">
        <v>1</v>
      </c>
    </row>
    <row r="6979" spans="27:32" x14ac:dyDescent="0.3">
      <c r="AA6979" s="3">
        <v>18109.439999999999</v>
      </c>
      <c r="AB6979">
        <v>1E-4</v>
      </c>
      <c r="AC6979">
        <v>8</v>
      </c>
      <c r="AD6979" s="5">
        <v>4.9388455976835699</v>
      </c>
      <c r="AE6979" s="5">
        <v>2.1844822746596333</v>
      </c>
      <c r="AF6979">
        <v>1</v>
      </c>
    </row>
    <row r="6980" spans="27:32" x14ac:dyDescent="0.3">
      <c r="AA6980" s="3">
        <v>2367.46</v>
      </c>
      <c r="AB6980">
        <v>1E-4</v>
      </c>
      <c r="AC6980">
        <v>8</v>
      </c>
      <c r="AD6980" s="5">
        <v>4.9695814854508464</v>
      </c>
      <c r="AE6980" s="5">
        <v>2.2408962182323791</v>
      </c>
      <c r="AF6980">
        <v>1</v>
      </c>
    </row>
    <row r="6981" spans="27:32" x14ac:dyDescent="0.3">
      <c r="AA6981" s="3">
        <v>10203.1</v>
      </c>
      <c r="AB6981">
        <v>1E-4</v>
      </c>
      <c r="AC6981">
        <v>8</v>
      </c>
      <c r="AD6981" s="5">
        <v>5.1107800964162404</v>
      </c>
      <c r="AE6981" s="5">
        <v>2.1431294744456424</v>
      </c>
      <c r="AF6981">
        <v>1</v>
      </c>
    </row>
    <row r="6982" spans="27:32" x14ac:dyDescent="0.3">
      <c r="AA6982" s="3">
        <v>-2319.5300000000002</v>
      </c>
      <c r="AB6982">
        <v>1E-4</v>
      </c>
      <c r="AC6982">
        <v>9</v>
      </c>
      <c r="AD6982" s="5">
        <v>4.9509588567092049</v>
      </c>
      <c r="AE6982" s="5">
        <v>2.2369384072778731</v>
      </c>
      <c r="AF6982">
        <v>1</v>
      </c>
    </row>
    <row r="6983" spans="27:32" x14ac:dyDescent="0.3">
      <c r="AA6983" s="3">
        <v>13186.6</v>
      </c>
      <c r="AB6983">
        <v>1E-4</v>
      </c>
      <c r="AC6983">
        <v>8</v>
      </c>
      <c r="AD6983" s="5">
        <v>4.9329769773354464</v>
      </c>
      <c r="AE6983" s="5">
        <v>2.0999980984607931</v>
      </c>
      <c r="AF6983">
        <v>1</v>
      </c>
    </row>
    <row r="6984" spans="27:32" x14ac:dyDescent="0.3">
      <c r="AA6984" s="3">
        <v>-16308.55</v>
      </c>
      <c r="AB6984">
        <v>1E-4</v>
      </c>
      <c r="AC6984">
        <v>9</v>
      </c>
      <c r="AD6984" s="5">
        <v>4.9409369664536431</v>
      </c>
      <c r="AE6984" s="5">
        <v>2.2248372798255227</v>
      </c>
      <c r="AF6984">
        <v>1</v>
      </c>
    </row>
    <row r="6985" spans="27:32" x14ac:dyDescent="0.3">
      <c r="AA6985" s="3">
        <v>10350.32</v>
      </c>
      <c r="AB6985">
        <v>1E-4</v>
      </c>
      <c r="AC6985">
        <v>8</v>
      </c>
      <c r="AD6985" s="5">
        <v>4.8973291404447084</v>
      </c>
      <c r="AE6985" s="5">
        <v>2.0816134729135984</v>
      </c>
      <c r="AF6985">
        <v>1</v>
      </c>
    </row>
    <row r="6986" spans="27:32" x14ac:dyDescent="0.3">
      <c r="AA6986" s="3">
        <v>-6377.61</v>
      </c>
      <c r="AB6986">
        <v>1E-4</v>
      </c>
      <c r="AC6986">
        <v>9</v>
      </c>
      <c r="AD6986" s="5">
        <v>4.9960609446131059</v>
      </c>
      <c r="AE6986" s="5">
        <v>2.1880790435054935</v>
      </c>
      <c r="AF6986">
        <v>1</v>
      </c>
    </row>
    <row r="6987" spans="27:32" x14ac:dyDescent="0.3">
      <c r="AA6987" s="3">
        <v>37220.449999999997</v>
      </c>
      <c r="AB6987">
        <v>1E-4</v>
      </c>
      <c r="AC6987">
        <v>7</v>
      </c>
      <c r="AD6987" s="5">
        <v>5.0268540176406598</v>
      </c>
      <c r="AE6987" s="5">
        <v>2.2167833036055082</v>
      </c>
      <c r="AF6987">
        <v>1</v>
      </c>
    </row>
    <row r="6988" spans="27:32" x14ac:dyDescent="0.3">
      <c r="AA6988" s="3">
        <v>4810.13</v>
      </c>
      <c r="AB6988">
        <v>1E-4</v>
      </c>
      <c r="AC6988">
        <v>8</v>
      </c>
      <c r="AD6988" s="5">
        <v>5.0493300355082287</v>
      </c>
      <c r="AE6988" s="5">
        <v>2.2419363568046724</v>
      </c>
      <c r="AF6988">
        <v>1</v>
      </c>
    </row>
    <row r="6989" spans="27:32" x14ac:dyDescent="0.3">
      <c r="AA6989" s="3">
        <v>1649.49</v>
      </c>
      <c r="AB6989">
        <v>1E-4</v>
      </c>
      <c r="AC6989">
        <v>8</v>
      </c>
      <c r="AD6989" s="5">
        <v>5.0471107871202445</v>
      </c>
      <c r="AE6989" s="5">
        <v>2.2280858319249024</v>
      </c>
      <c r="AF6989">
        <v>1</v>
      </c>
    </row>
    <row r="6990" spans="27:32" x14ac:dyDescent="0.3">
      <c r="AA6990" s="3">
        <v>21248.98</v>
      </c>
      <c r="AB6990">
        <v>1E-4</v>
      </c>
      <c r="AC6990">
        <v>8</v>
      </c>
      <c r="AD6990" s="5">
        <v>4.9422757123017282</v>
      </c>
      <c r="AE6990" s="5">
        <v>2.2362380454871085</v>
      </c>
      <c r="AF6990">
        <v>1</v>
      </c>
    </row>
    <row r="6991" spans="27:32" x14ac:dyDescent="0.3">
      <c r="AA6991" s="3">
        <v>-5883.43</v>
      </c>
      <c r="AB6991">
        <v>1E-4</v>
      </c>
      <c r="AC6991">
        <v>9</v>
      </c>
      <c r="AD6991" s="5">
        <v>5.0535166824232238</v>
      </c>
      <c r="AE6991" s="5">
        <v>2.2028371514035965</v>
      </c>
      <c r="AF6991">
        <v>1</v>
      </c>
    </row>
    <row r="6992" spans="27:32" x14ac:dyDescent="0.3">
      <c r="AA6992" s="3">
        <v>29588.55</v>
      </c>
      <c r="AB6992">
        <v>1E-4</v>
      </c>
      <c r="AC6992">
        <v>8</v>
      </c>
      <c r="AD6992" s="5">
        <v>4.8989780773323517</v>
      </c>
      <c r="AE6992" s="5">
        <v>2.1907816823139363</v>
      </c>
      <c r="AF6992">
        <v>1</v>
      </c>
    </row>
    <row r="6993" spans="27:32" x14ac:dyDescent="0.3">
      <c r="AA6993" s="3">
        <v>24460.29</v>
      </c>
      <c r="AB6993">
        <v>1E-4</v>
      </c>
      <c r="AC6993">
        <v>8</v>
      </c>
      <c r="AD6993" s="5">
        <v>5.0305758219123025</v>
      </c>
      <c r="AE6993" s="5">
        <v>2.2325545446349837</v>
      </c>
      <c r="AF6993">
        <v>1</v>
      </c>
    </row>
    <row r="6994" spans="27:32" x14ac:dyDescent="0.3">
      <c r="AA6994" s="3">
        <v>20392.3</v>
      </c>
      <c r="AB6994">
        <v>1E-4</v>
      </c>
      <c r="AC6994">
        <v>8</v>
      </c>
      <c r="AD6994" s="5">
        <v>4.9858278303106225</v>
      </c>
      <c r="AE6994" s="5">
        <v>2.2754871662804135</v>
      </c>
      <c r="AF6994">
        <v>1</v>
      </c>
    </row>
    <row r="6995" spans="27:32" x14ac:dyDescent="0.3">
      <c r="AA6995" s="3">
        <v>27834.83</v>
      </c>
      <c r="AB6995">
        <v>1E-4</v>
      </c>
      <c r="AC6995">
        <v>7</v>
      </c>
      <c r="AD6995" s="5">
        <v>5.0044754040938297</v>
      </c>
      <c r="AE6995" s="5">
        <v>2.1676490976015299</v>
      </c>
      <c r="AF6995">
        <v>1</v>
      </c>
    </row>
    <row r="6996" spans="27:32" x14ac:dyDescent="0.3">
      <c r="AA6996" s="3">
        <v>-5221.09</v>
      </c>
      <c r="AB6996">
        <v>1E-4</v>
      </c>
      <c r="AC6996">
        <v>9</v>
      </c>
      <c r="AD6996" s="5">
        <v>4.8875142695954441</v>
      </c>
      <c r="AE6996" s="5">
        <v>2.2486933345091837</v>
      </c>
      <c r="AF6996">
        <v>1</v>
      </c>
    </row>
    <row r="6997" spans="27:32" x14ac:dyDescent="0.3">
      <c r="AA6997" s="3">
        <v>20540.62</v>
      </c>
      <c r="AB6997">
        <v>1E-4</v>
      </c>
      <c r="AC6997">
        <v>8</v>
      </c>
      <c r="AD6997" s="5">
        <v>5.12846540625217</v>
      </c>
      <c r="AE6997" s="5">
        <v>2.1745004379251922</v>
      </c>
      <c r="AF6997">
        <v>1</v>
      </c>
    </row>
    <row r="6998" spans="27:32" x14ac:dyDescent="0.3">
      <c r="AA6998" s="3">
        <v>12114.38</v>
      </c>
      <c r="AB6998">
        <v>1E-4</v>
      </c>
      <c r="AC6998">
        <v>8</v>
      </c>
      <c r="AD6998" s="5">
        <v>5.0262045798741228</v>
      </c>
      <c r="AE6998" s="5">
        <v>2.2958485151869978</v>
      </c>
      <c r="AF6998">
        <v>1</v>
      </c>
    </row>
    <row r="6999" spans="27:32" x14ac:dyDescent="0.3">
      <c r="AA6999" s="3">
        <v>-16315.93</v>
      </c>
      <c r="AB6999">
        <v>1E-4</v>
      </c>
      <c r="AC6999">
        <v>9</v>
      </c>
      <c r="AD6999" s="5">
        <v>4.8423735391142424</v>
      </c>
      <c r="AE6999" s="5">
        <v>2.1866082177076178</v>
      </c>
      <c r="AF6999">
        <v>1</v>
      </c>
    </row>
    <row r="7000" spans="27:32" x14ac:dyDescent="0.3">
      <c r="AA7000" s="3">
        <v>26057.360000000001</v>
      </c>
      <c r="AB7000">
        <v>1E-4</v>
      </c>
      <c r="AC7000">
        <v>8</v>
      </c>
      <c r="AD7000" s="5">
        <v>5.1234424367598637</v>
      </c>
      <c r="AE7000" s="5">
        <v>2.1617405409091224</v>
      </c>
      <c r="AF7000">
        <v>1</v>
      </c>
    </row>
    <row r="7001" spans="27:32" x14ac:dyDescent="0.3">
      <c r="AA7001" s="3">
        <v>30240.880000000001</v>
      </c>
      <c r="AB7001">
        <v>1E-4</v>
      </c>
      <c r="AC7001">
        <v>8</v>
      </c>
      <c r="AD7001" s="5">
        <v>5.0489090261642353</v>
      </c>
      <c r="AE7001" s="5">
        <v>2.2671650816050146</v>
      </c>
      <c r="AF7001">
        <v>1</v>
      </c>
    </row>
    <row r="7002" spans="27:32" x14ac:dyDescent="0.3">
      <c r="AA7002" s="3">
        <v>31047.84</v>
      </c>
      <c r="AB7002">
        <v>1E-4</v>
      </c>
      <c r="AC7002">
        <v>8</v>
      </c>
      <c r="AD7002" s="5">
        <v>5.0261607490297262</v>
      </c>
      <c r="AE7002" s="5">
        <v>2.1413183375021672</v>
      </c>
      <c r="AF7002">
        <v>1</v>
      </c>
    </row>
    <row r="7003" spans="27:32" x14ac:dyDescent="0.3">
      <c r="AA7003" s="3">
        <v>3218.15</v>
      </c>
      <c r="AB7003">
        <v>1E-4</v>
      </c>
      <c r="AC7003">
        <v>8</v>
      </c>
      <c r="AD7003" s="5">
        <v>5.0105223071123568</v>
      </c>
      <c r="AE7003" s="5">
        <v>2.2372832813528252</v>
      </c>
      <c r="AF7003">
        <v>1</v>
      </c>
    </row>
    <row r="7004" spans="27:32" x14ac:dyDescent="0.3">
      <c r="AA7004" s="3">
        <v>-2663.43</v>
      </c>
      <c r="AB7004">
        <v>1E-4</v>
      </c>
      <c r="AC7004">
        <v>9</v>
      </c>
      <c r="AD7004" s="5">
        <v>5.0373933541302351</v>
      </c>
      <c r="AE7004" s="5">
        <v>2.2135705800311847</v>
      </c>
      <c r="AF7004">
        <v>1</v>
      </c>
    </row>
    <row r="7005" spans="27:32" x14ac:dyDescent="0.3">
      <c r="AA7005" s="3">
        <v>17536.02</v>
      </c>
      <c r="AB7005">
        <v>1E-4</v>
      </c>
      <c r="AC7005">
        <v>8</v>
      </c>
      <c r="AD7005" s="5">
        <v>4.9428144174355095</v>
      </c>
      <c r="AE7005" s="5">
        <v>2.2354601334298678</v>
      </c>
      <c r="AF7005">
        <v>1</v>
      </c>
    </row>
    <row r="7006" spans="27:32" x14ac:dyDescent="0.3">
      <c r="AA7006" s="3">
        <v>43444.14</v>
      </c>
      <c r="AB7006">
        <v>1E-4</v>
      </c>
      <c r="AC7006">
        <v>6</v>
      </c>
      <c r="AD7006" s="5">
        <v>5.1716545213907912</v>
      </c>
      <c r="AE7006" s="5">
        <v>2.2014047834942509</v>
      </c>
      <c r="AF7006">
        <v>1</v>
      </c>
    </row>
    <row r="7007" spans="27:32" x14ac:dyDescent="0.3">
      <c r="AA7007" s="3">
        <v>29267.37</v>
      </c>
      <c r="AB7007">
        <v>1E-4</v>
      </c>
      <c r="AC7007">
        <v>8</v>
      </c>
      <c r="AD7007" s="5">
        <v>5.1123602352513604</v>
      </c>
      <c r="AE7007" s="5">
        <v>2.1447970043051399</v>
      </c>
      <c r="AF7007">
        <v>1</v>
      </c>
    </row>
    <row r="7008" spans="27:32" x14ac:dyDescent="0.3">
      <c r="AA7008" s="3">
        <v>39362</v>
      </c>
      <c r="AB7008">
        <v>1E-4</v>
      </c>
      <c r="AC7008">
        <v>7</v>
      </c>
      <c r="AD7008" s="5">
        <v>4.9501638692483612</v>
      </c>
      <c r="AE7008" s="5">
        <v>2.2789403082195507</v>
      </c>
      <c r="AF7008">
        <v>1</v>
      </c>
    </row>
    <row r="7009" spans="27:32" x14ac:dyDescent="0.3">
      <c r="AA7009" s="3">
        <v>4389.75</v>
      </c>
      <c r="AB7009">
        <v>1E-4</v>
      </c>
      <c r="AC7009">
        <v>8</v>
      </c>
      <c r="AD7009" s="5">
        <v>4.8637755064756174</v>
      </c>
      <c r="AE7009" s="5">
        <v>2.1363003062535615</v>
      </c>
      <c r="AF7009">
        <v>1</v>
      </c>
    </row>
    <row r="7010" spans="27:32" x14ac:dyDescent="0.3">
      <c r="AA7010" s="3">
        <v>-5942.88</v>
      </c>
      <c r="AB7010">
        <v>1E-4</v>
      </c>
      <c r="AC7010">
        <v>9</v>
      </c>
      <c r="AD7010" s="5">
        <v>4.8643790679964951</v>
      </c>
      <c r="AE7010" s="5">
        <v>2.2563319632052372</v>
      </c>
      <c r="AF7010">
        <v>1</v>
      </c>
    </row>
    <row r="7011" spans="27:32" x14ac:dyDescent="0.3">
      <c r="AA7011" s="3">
        <v>15800.61</v>
      </c>
      <c r="AB7011">
        <v>1E-4</v>
      </c>
      <c r="AC7011">
        <v>8</v>
      </c>
      <c r="AD7011" s="5">
        <v>5.0290439837999079</v>
      </c>
      <c r="AE7011" s="5">
        <v>2.1796880578454059</v>
      </c>
      <c r="AF7011">
        <v>1</v>
      </c>
    </row>
    <row r="7012" spans="27:32" x14ac:dyDescent="0.3">
      <c r="AA7012" s="3">
        <v>21710.63</v>
      </c>
      <c r="AB7012">
        <v>1E-4</v>
      </c>
      <c r="AC7012">
        <v>8</v>
      </c>
      <c r="AD7012" s="5">
        <v>5.0914617218312159</v>
      </c>
      <c r="AE7012" s="5">
        <v>2.1354256393704061</v>
      </c>
      <c r="AF7012">
        <v>1</v>
      </c>
    </row>
    <row r="7013" spans="27:32" x14ac:dyDescent="0.3">
      <c r="AA7013" s="3">
        <v>-8266.2000000000007</v>
      </c>
      <c r="AB7013">
        <v>1E-4</v>
      </c>
      <c r="AC7013">
        <v>9</v>
      </c>
      <c r="AD7013" s="5">
        <v>4.9989702460913996</v>
      </c>
      <c r="AE7013" s="5">
        <v>2.2290778106350562</v>
      </c>
      <c r="AF7013">
        <v>1</v>
      </c>
    </row>
    <row r="7014" spans="27:32" x14ac:dyDescent="0.3">
      <c r="AA7014" s="3">
        <v>24734.67</v>
      </c>
      <c r="AB7014">
        <v>1E-4</v>
      </c>
      <c r="AC7014">
        <v>8</v>
      </c>
      <c r="AD7014" s="5">
        <v>4.8859005318659818</v>
      </c>
      <c r="AE7014" s="5">
        <v>2.1669540881284601</v>
      </c>
      <c r="AF7014">
        <v>1</v>
      </c>
    </row>
    <row r="7015" spans="27:32" x14ac:dyDescent="0.3">
      <c r="AA7015" s="3">
        <v>22217.15</v>
      </c>
      <c r="AB7015">
        <v>1E-4</v>
      </c>
      <c r="AC7015">
        <v>8</v>
      </c>
      <c r="AD7015" s="5">
        <v>5.0643266266475422</v>
      </c>
      <c r="AE7015" s="5">
        <v>2.2341255428978277</v>
      </c>
      <c r="AF7015">
        <v>1</v>
      </c>
    </row>
    <row r="7016" spans="27:32" x14ac:dyDescent="0.3">
      <c r="AA7016" s="3">
        <v>32225.19</v>
      </c>
      <c r="AB7016">
        <v>1E-4</v>
      </c>
      <c r="AC7016">
        <v>7</v>
      </c>
      <c r="AD7016" s="5">
        <v>5.171736689212862</v>
      </c>
      <c r="AE7016" s="5">
        <v>2.2789311084036834</v>
      </c>
      <c r="AF7016">
        <v>1</v>
      </c>
    </row>
    <row r="7017" spans="27:32" x14ac:dyDescent="0.3">
      <c r="AA7017" s="3">
        <v>5557.49</v>
      </c>
      <c r="AB7017">
        <v>1E-4</v>
      </c>
      <c r="AC7017">
        <v>8</v>
      </c>
      <c r="AD7017" s="5">
        <v>5.0003751684632558</v>
      </c>
      <c r="AE7017" s="5">
        <v>2.1523668286561417</v>
      </c>
      <c r="AF7017">
        <v>1</v>
      </c>
    </row>
    <row r="7018" spans="27:32" x14ac:dyDescent="0.3">
      <c r="AA7018" s="3">
        <v>8329.8700000000008</v>
      </c>
      <c r="AB7018">
        <v>1E-4</v>
      </c>
      <c r="AC7018">
        <v>8</v>
      </c>
      <c r="AD7018" s="5">
        <v>5.1014799487949603</v>
      </c>
      <c r="AE7018" s="5">
        <v>2.1793606162486392</v>
      </c>
      <c r="AF7018">
        <v>1</v>
      </c>
    </row>
    <row r="7019" spans="27:32" x14ac:dyDescent="0.3">
      <c r="AA7019" s="3">
        <v>16888.77</v>
      </c>
      <c r="AB7019">
        <v>1E-4</v>
      </c>
      <c r="AC7019">
        <v>8</v>
      </c>
      <c r="AD7019" s="5">
        <v>4.9260080652853748</v>
      </c>
      <c r="AE7019" s="5">
        <v>2.146951008412969</v>
      </c>
      <c r="AF7019">
        <v>1</v>
      </c>
    </row>
    <row r="7020" spans="27:32" x14ac:dyDescent="0.3">
      <c r="AA7020" s="3">
        <v>-9704.81</v>
      </c>
      <c r="AB7020">
        <v>1E-4</v>
      </c>
      <c r="AC7020">
        <v>9</v>
      </c>
      <c r="AD7020" s="5">
        <v>4.993168841431407</v>
      </c>
      <c r="AE7020" s="5">
        <v>2.2744557831522378</v>
      </c>
      <c r="AF7020">
        <v>1</v>
      </c>
    </row>
    <row r="7021" spans="27:32" x14ac:dyDescent="0.3">
      <c r="AA7021" s="3">
        <v>26611.51</v>
      </c>
      <c r="AB7021">
        <v>1E-4</v>
      </c>
      <c r="AC7021">
        <v>8</v>
      </c>
      <c r="AD7021" s="5">
        <v>4.9138265931442406</v>
      </c>
      <c r="AE7021" s="5">
        <v>2.1188660725153654</v>
      </c>
      <c r="AF7021">
        <v>1</v>
      </c>
    </row>
    <row r="7022" spans="27:32" x14ac:dyDescent="0.3">
      <c r="AA7022" s="3">
        <v>1368.93</v>
      </c>
      <c r="AB7022">
        <v>1E-4</v>
      </c>
      <c r="AC7022">
        <v>8</v>
      </c>
      <c r="AD7022" s="5">
        <v>4.9612590792194311</v>
      </c>
      <c r="AE7022" s="5">
        <v>2.1336454459191474</v>
      </c>
      <c r="AF7022">
        <v>1</v>
      </c>
    </row>
    <row r="7023" spans="27:32" x14ac:dyDescent="0.3">
      <c r="AA7023" s="3">
        <v>2167.17</v>
      </c>
      <c r="AB7023">
        <v>1E-4</v>
      </c>
      <c r="AC7023">
        <v>8</v>
      </c>
      <c r="AD7023" s="5">
        <v>5.1575332501718698</v>
      </c>
      <c r="AE7023" s="5">
        <v>2.2162145014895822</v>
      </c>
      <c r="AF7023">
        <v>1</v>
      </c>
    </row>
    <row r="7024" spans="27:32" x14ac:dyDescent="0.3">
      <c r="AA7024" s="3">
        <v>37797.65</v>
      </c>
      <c r="AB7024">
        <v>1E-4</v>
      </c>
      <c r="AC7024">
        <v>7</v>
      </c>
      <c r="AD7024" s="5">
        <v>5.1321141588715484</v>
      </c>
      <c r="AE7024" s="5">
        <v>2.2092530326465099</v>
      </c>
      <c r="AF7024">
        <v>1</v>
      </c>
    </row>
    <row r="7025" spans="27:32" x14ac:dyDescent="0.3">
      <c r="AA7025" s="3">
        <v>12210.88</v>
      </c>
      <c r="AB7025">
        <v>1E-4</v>
      </c>
      <c r="AC7025">
        <v>8</v>
      </c>
      <c r="AD7025" s="5">
        <v>5.0767017864504789</v>
      </c>
      <c r="AE7025" s="5">
        <v>2.1381013397877031</v>
      </c>
      <c r="AF7025">
        <v>1</v>
      </c>
    </row>
    <row r="7026" spans="27:32" x14ac:dyDescent="0.3">
      <c r="AA7026" s="3">
        <v>-8768.27</v>
      </c>
      <c r="AB7026">
        <v>1E-4</v>
      </c>
      <c r="AC7026">
        <v>9</v>
      </c>
      <c r="AD7026" s="5">
        <v>4.9497091997531601</v>
      </c>
      <c r="AE7026" s="5">
        <v>2.2363906360808361</v>
      </c>
      <c r="AF7026">
        <v>1</v>
      </c>
    </row>
    <row r="7027" spans="27:32" x14ac:dyDescent="0.3">
      <c r="AA7027" s="3">
        <v>64744.35</v>
      </c>
      <c r="AB7027">
        <v>1E-4</v>
      </c>
      <c r="AC7027">
        <v>6</v>
      </c>
      <c r="AD7027" s="5">
        <v>5.1668658738372537</v>
      </c>
      <c r="AE7027" s="5">
        <v>2.1907276124428421</v>
      </c>
      <c r="AF7027">
        <v>1</v>
      </c>
    </row>
    <row r="7028" spans="27:32" x14ac:dyDescent="0.3">
      <c r="AA7028" s="3">
        <v>4581.84</v>
      </c>
      <c r="AB7028">
        <v>1E-4</v>
      </c>
      <c r="AC7028">
        <v>8</v>
      </c>
      <c r="AD7028" s="5">
        <v>4.9034409561334993</v>
      </c>
      <c r="AE7028" s="5">
        <v>2.1209098695329525</v>
      </c>
      <c r="AF7028">
        <v>1</v>
      </c>
    </row>
    <row r="7029" spans="27:32" x14ac:dyDescent="0.3">
      <c r="AA7029" s="3">
        <v>64512.69</v>
      </c>
      <c r="AB7029">
        <v>1E-4</v>
      </c>
      <c r="AC7029">
        <v>6</v>
      </c>
      <c r="AD7029" s="5">
        <v>5.1433113420240959</v>
      </c>
      <c r="AE7029" s="5">
        <v>2.1033505740380232</v>
      </c>
      <c r="AF7029">
        <v>1</v>
      </c>
    </row>
    <row r="7030" spans="27:32" x14ac:dyDescent="0.3">
      <c r="AA7030" s="3">
        <v>30703.52</v>
      </c>
      <c r="AB7030">
        <v>1E-4</v>
      </c>
      <c r="AC7030">
        <v>7</v>
      </c>
      <c r="AD7030" s="5">
        <v>5.0180348465546585</v>
      </c>
      <c r="AE7030" s="5">
        <v>2.1658290102607194</v>
      </c>
      <c r="AF7030">
        <v>1</v>
      </c>
    </row>
    <row r="7031" spans="27:32" x14ac:dyDescent="0.3">
      <c r="AA7031" s="3">
        <v>6005</v>
      </c>
      <c r="AB7031">
        <v>1E-4</v>
      </c>
      <c r="AC7031">
        <v>8</v>
      </c>
      <c r="AD7031" s="5">
        <v>4.7951418252475069</v>
      </c>
      <c r="AE7031" s="5">
        <v>2.1861884062413841</v>
      </c>
      <c r="AF7031">
        <v>1</v>
      </c>
    </row>
    <row r="7032" spans="27:32" x14ac:dyDescent="0.3">
      <c r="AA7032" s="3">
        <v>-11968.14</v>
      </c>
      <c r="AB7032">
        <v>1E-4</v>
      </c>
      <c r="AC7032">
        <v>9</v>
      </c>
      <c r="AD7032" s="5">
        <v>4.9782349122059841</v>
      </c>
      <c r="AE7032" s="5">
        <v>2.2540183371253164</v>
      </c>
      <c r="AF7032">
        <v>1</v>
      </c>
    </row>
    <row r="7033" spans="27:32" x14ac:dyDescent="0.3">
      <c r="AA7033" s="3">
        <v>54870</v>
      </c>
      <c r="AB7033">
        <v>1E-4</v>
      </c>
      <c r="AC7033">
        <v>6</v>
      </c>
      <c r="AD7033" s="5">
        <v>5.2325040007715495</v>
      </c>
      <c r="AE7033" s="5">
        <v>2.2914516133593432</v>
      </c>
      <c r="AF7033">
        <v>1</v>
      </c>
    </row>
    <row r="7034" spans="27:32" x14ac:dyDescent="0.3">
      <c r="AA7034" s="3">
        <v>28735.3</v>
      </c>
      <c r="AB7034">
        <v>1E-4</v>
      </c>
      <c r="AC7034">
        <v>7</v>
      </c>
      <c r="AD7034" s="5">
        <v>4.9504113702161483</v>
      </c>
      <c r="AE7034" s="5">
        <v>2.2480119793370608</v>
      </c>
      <c r="AF7034">
        <v>1</v>
      </c>
    </row>
    <row r="7035" spans="27:32" x14ac:dyDescent="0.3">
      <c r="AA7035" s="3">
        <v>18213.560000000001</v>
      </c>
      <c r="AB7035">
        <v>1E-4</v>
      </c>
      <c r="AC7035">
        <v>8</v>
      </c>
      <c r="AD7035" s="5">
        <v>4.9878154076594274</v>
      </c>
      <c r="AE7035" s="5">
        <v>2.2058662927557018</v>
      </c>
      <c r="AF7035">
        <v>1</v>
      </c>
    </row>
    <row r="7036" spans="27:32" x14ac:dyDescent="0.3">
      <c r="AA7036" s="3">
        <v>-11146.814036563141</v>
      </c>
      <c r="AB7036">
        <v>1E-4</v>
      </c>
      <c r="AC7036">
        <v>8</v>
      </c>
      <c r="AD7036" s="5">
        <v>5.1165093366922481</v>
      </c>
      <c r="AE7036" s="5">
        <v>2.1495176268164204</v>
      </c>
      <c r="AF7036">
        <v>0</v>
      </c>
    </row>
    <row r="7037" spans="27:32" x14ac:dyDescent="0.3">
      <c r="AA7037" s="3">
        <v>619.53</v>
      </c>
      <c r="AB7037">
        <v>1E-4</v>
      </c>
      <c r="AC7037">
        <v>8</v>
      </c>
      <c r="AD7037" s="5">
        <v>5.0000238887630584</v>
      </c>
      <c r="AE7037" s="5">
        <v>2.1968242312763921</v>
      </c>
      <c r="AF7037">
        <v>1</v>
      </c>
    </row>
    <row r="7038" spans="27:32" x14ac:dyDescent="0.3">
      <c r="AA7038" s="3">
        <v>-2778.9333064627517</v>
      </c>
      <c r="AB7038">
        <v>1E-4</v>
      </c>
      <c r="AC7038">
        <v>8</v>
      </c>
      <c r="AD7038" s="5">
        <v>4.9215770259326028</v>
      </c>
      <c r="AE7038" s="5">
        <v>2.1873161599424336</v>
      </c>
      <c r="AF7038">
        <v>0</v>
      </c>
    </row>
    <row r="7039" spans="27:32" x14ac:dyDescent="0.3">
      <c r="AA7039" s="3">
        <v>21709.58</v>
      </c>
      <c r="AB7039">
        <v>1E-4</v>
      </c>
      <c r="AC7039">
        <v>8</v>
      </c>
      <c r="AD7039" s="5">
        <v>4.976990816582525</v>
      </c>
      <c r="AE7039" s="5">
        <v>2.1554976689724903</v>
      </c>
      <c r="AF7039">
        <v>1</v>
      </c>
    </row>
    <row r="7040" spans="27:32" x14ac:dyDescent="0.3">
      <c r="AA7040" s="3">
        <v>-1091.3499999999999</v>
      </c>
      <c r="AB7040">
        <v>1E-4</v>
      </c>
      <c r="AC7040">
        <v>9</v>
      </c>
      <c r="AD7040" s="5">
        <v>4.9629508088299072</v>
      </c>
      <c r="AE7040" s="5">
        <v>2.2154122347835097</v>
      </c>
      <c r="AF7040">
        <v>1</v>
      </c>
    </row>
    <row r="7041" spans="27:32" x14ac:dyDescent="0.3">
      <c r="AA7041" s="3">
        <v>-3489.48</v>
      </c>
      <c r="AB7041">
        <v>1E-4</v>
      </c>
      <c r="AC7041">
        <v>9</v>
      </c>
      <c r="AD7041" s="5">
        <v>5.008426089110861</v>
      </c>
      <c r="AE7041" s="5">
        <v>2.1881264780188148</v>
      </c>
      <c r="AF7041">
        <v>1</v>
      </c>
    </row>
    <row r="7042" spans="27:32" x14ac:dyDescent="0.3">
      <c r="AA7042" s="3">
        <v>36232.379999999997</v>
      </c>
      <c r="AB7042">
        <v>1E-4</v>
      </c>
      <c r="AC7042">
        <v>7</v>
      </c>
      <c r="AD7042" s="5">
        <v>5.16501907168717</v>
      </c>
      <c r="AE7042" s="5">
        <v>2.2178803852815543</v>
      </c>
      <c r="AF7042">
        <v>1</v>
      </c>
    </row>
    <row r="7043" spans="27:32" x14ac:dyDescent="0.3">
      <c r="AA7043" s="3">
        <v>-8000.51</v>
      </c>
      <c r="AB7043">
        <v>1E-4</v>
      </c>
      <c r="AC7043">
        <v>9</v>
      </c>
      <c r="AD7043" s="5">
        <v>4.8500728644328213</v>
      </c>
      <c r="AE7043" s="5">
        <v>2.2876363020382322</v>
      </c>
      <c r="AF7043">
        <v>1</v>
      </c>
    </row>
    <row r="7044" spans="27:32" x14ac:dyDescent="0.3">
      <c r="AA7044" s="3">
        <v>-11457.56</v>
      </c>
      <c r="AB7044">
        <v>1E-4</v>
      </c>
      <c r="AC7044">
        <v>9</v>
      </c>
      <c r="AD7044" s="5">
        <v>4.9449419793106131</v>
      </c>
      <c r="AE7044" s="5">
        <v>2.1988026178340632</v>
      </c>
      <c r="AF7044">
        <v>1</v>
      </c>
    </row>
    <row r="7045" spans="27:32" x14ac:dyDescent="0.3">
      <c r="AA7045" s="3">
        <v>6274.95</v>
      </c>
      <c r="AB7045">
        <v>1E-4</v>
      </c>
      <c r="AC7045">
        <v>8</v>
      </c>
      <c r="AD7045" s="5">
        <v>4.8901992670011607</v>
      </c>
      <c r="AE7045" s="5">
        <v>2.1803420989319253</v>
      </c>
      <c r="AF7045">
        <v>1</v>
      </c>
    </row>
    <row r="7046" spans="27:32" x14ac:dyDescent="0.3">
      <c r="AA7046" s="3">
        <v>-406.91</v>
      </c>
      <c r="AB7046">
        <v>1E-4</v>
      </c>
      <c r="AC7046">
        <v>9</v>
      </c>
      <c r="AD7046" s="5">
        <v>5.0236062922331319</v>
      </c>
      <c r="AE7046" s="5">
        <v>2.1781564570294938</v>
      </c>
      <c r="AF7046">
        <v>1</v>
      </c>
    </row>
    <row r="7047" spans="27:32" x14ac:dyDescent="0.3">
      <c r="AA7047" s="3">
        <v>19215.240000000002</v>
      </c>
      <c r="AB7047">
        <v>1E-4</v>
      </c>
      <c r="AC7047">
        <v>8</v>
      </c>
      <c r="AD7047" s="5">
        <v>4.9104146737337588</v>
      </c>
      <c r="AE7047" s="5">
        <v>2.2154368803967368</v>
      </c>
      <c r="AF7047">
        <v>1</v>
      </c>
    </row>
    <row r="7048" spans="27:32" x14ac:dyDescent="0.3">
      <c r="AA7048" s="3">
        <v>50875.4</v>
      </c>
      <c r="AB7048">
        <v>1E-4</v>
      </c>
      <c r="AC7048">
        <v>6</v>
      </c>
      <c r="AD7048" s="5">
        <v>4.975483473149783</v>
      </c>
      <c r="AE7048" s="5">
        <v>2.1324438071082619</v>
      </c>
      <c r="AF7048">
        <v>1</v>
      </c>
    </row>
    <row r="7049" spans="27:32" x14ac:dyDescent="0.3">
      <c r="AA7049" s="3">
        <v>19905.22</v>
      </c>
      <c r="AB7049">
        <v>1E-4</v>
      </c>
      <c r="AC7049">
        <v>8</v>
      </c>
      <c r="AD7049" s="5">
        <v>4.830854454016861</v>
      </c>
      <c r="AE7049" s="5">
        <v>2.210290569723151</v>
      </c>
      <c r="AF7049">
        <v>1</v>
      </c>
    </row>
    <row r="7050" spans="27:32" x14ac:dyDescent="0.3">
      <c r="AA7050" s="3">
        <v>-7817.23</v>
      </c>
      <c r="AB7050">
        <v>1E-4</v>
      </c>
      <c r="AC7050">
        <v>9</v>
      </c>
      <c r="AD7050" s="5">
        <v>4.942096015575955</v>
      </c>
      <c r="AE7050" s="5">
        <v>2.2125189664963751</v>
      </c>
      <c r="AF7050">
        <v>1</v>
      </c>
    </row>
    <row r="7051" spans="27:32" x14ac:dyDescent="0.3">
      <c r="AA7051" s="3">
        <v>38872.339999999997</v>
      </c>
      <c r="AB7051">
        <v>1E-4</v>
      </c>
      <c r="AC7051">
        <v>7</v>
      </c>
      <c r="AD7051" s="5">
        <v>4.9197043612994662</v>
      </c>
      <c r="AE7051" s="5">
        <v>2.2345741607901868</v>
      </c>
      <c r="AF7051">
        <v>1</v>
      </c>
    </row>
    <row r="7052" spans="27:32" x14ac:dyDescent="0.3">
      <c r="AA7052" s="3">
        <v>38946.83</v>
      </c>
      <c r="AB7052">
        <v>1E-4</v>
      </c>
      <c r="AC7052">
        <v>7</v>
      </c>
      <c r="AD7052" s="5">
        <v>4.9239471668934165</v>
      </c>
      <c r="AE7052" s="5">
        <v>2.151502561755362</v>
      </c>
      <c r="AF7052">
        <v>1</v>
      </c>
    </row>
    <row r="7053" spans="27:32" x14ac:dyDescent="0.3">
      <c r="AA7053" s="3">
        <v>21337.95</v>
      </c>
      <c r="AB7053">
        <v>1E-4</v>
      </c>
      <c r="AC7053">
        <v>8</v>
      </c>
      <c r="AD7053" s="5">
        <v>4.9818697941127752</v>
      </c>
      <c r="AE7053" s="5">
        <v>2.2413856083947445</v>
      </c>
      <c r="AF7053">
        <v>1</v>
      </c>
    </row>
    <row r="7054" spans="27:32" x14ac:dyDescent="0.3">
      <c r="AA7054" s="3">
        <v>6353.18</v>
      </c>
      <c r="AB7054">
        <v>1E-4</v>
      </c>
      <c r="AC7054">
        <v>8</v>
      </c>
      <c r="AD7054" s="5">
        <v>4.9618199057694454</v>
      </c>
      <c r="AE7054" s="5">
        <v>2.2100914391104691</v>
      </c>
      <c r="AF7054">
        <v>1</v>
      </c>
    </row>
    <row r="7055" spans="27:32" x14ac:dyDescent="0.3">
      <c r="AA7055" s="3">
        <v>52588.74</v>
      </c>
      <c r="AB7055">
        <v>1E-4</v>
      </c>
      <c r="AC7055">
        <v>6</v>
      </c>
      <c r="AD7055" s="5">
        <v>5.0148233605954982</v>
      </c>
      <c r="AE7055" s="5">
        <v>2.2060531747496968</v>
      </c>
      <c r="AF7055">
        <v>1</v>
      </c>
    </row>
    <row r="7056" spans="27:32" x14ac:dyDescent="0.3">
      <c r="AA7056" s="3">
        <v>42823.89</v>
      </c>
      <c r="AB7056">
        <v>1E-4</v>
      </c>
      <c r="AC7056">
        <v>7</v>
      </c>
      <c r="AD7056" s="5">
        <v>5.038065059215536</v>
      </c>
      <c r="AE7056" s="5">
        <v>2.1611892065997838</v>
      </c>
      <c r="AF7056">
        <v>1</v>
      </c>
    </row>
    <row r="7057" spans="27:32" x14ac:dyDescent="0.3">
      <c r="AA7057" s="3">
        <v>33323.68</v>
      </c>
      <c r="AB7057">
        <v>1E-4</v>
      </c>
      <c r="AC7057">
        <v>7</v>
      </c>
      <c r="AD7057" s="5">
        <v>5.0740595334293213</v>
      </c>
      <c r="AE7057" s="5">
        <v>2.1674495988652147</v>
      </c>
      <c r="AF7057">
        <v>1</v>
      </c>
    </row>
    <row r="7058" spans="27:32" x14ac:dyDescent="0.3">
      <c r="AA7058" s="3">
        <v>32563.25</v>
      </c>
      <c r="AB7058">
        <v>1E-4</v>
      </c>
      <c r="AC7058">
        <v>7</v>
      </c>
      <c r="AD7058" s="5">
        <v>5.1104781773329231</v>
      </c>
      <c r="AE7058" s="5">
        <v>2.1279495698963449</v>
      </c>
      <c r="AF7058">
        <v>1</v>
      </c>
    </row>
    <row r="7059" spans="27:32" x14ac:dyDescent="0.3">
      <c r="AA7059" s="3">
        <v>15103.5</v>
      </c>
      <c r="AB7059">
        <v>1E-4</v>
      </c>
      <c r="AC7059">
        <v>8</v>
      </c>
      <c r="AD7059" s="5">
        <v>4.8396692942816486</v>
      </c>
      <c r="AE7059" s="5">
        <v>2.2582209371608268</v>
      </c>
      <c r="AF7059">
        <v>1</v>
      </c>
    </row>
    <row r="7060" spans="27:32" x14ac:dyDescent="0.3">
      <c r="AA7060" s="3">
        <v>25432.21</v>
      </c>
      <c r="AB7060">
        <v>1E-4</v>
      </c>
      <c r="AC7060">
        <v>8</v>
      </c>
      <c r="AD7060" s="5">
        <v>5.009895648819497</v>
      </c>
      <c r="AE7060" s="5">
        <v>2.2747095061482066</v>
      </c>
      <c r="AF7060">
        <v>1</v>
      </c>
    </row>
    <row r="7061" spans="27:32" x14ac:dyDescent="0.3">
      <c r="AA7061" s="3">
        <v>6599.57</v>
      </c>
      <c r="AB7061">
        <v>1E-4</v>
      </c>
      <c r="AC7061">
        <v>8</v>
      </c>
      <c r="AD7061" s="5">
        <v>4.9872737210664129</v>
      </c>
      <c r="AE7061" s="5">
        <v>2.2285740392735396</v>
      </c>
      <c r="AF7061">
        <v>1</v>
      </c>
    </row>
    <row r="7062" spans="27:32" x14ac:dyDescent="0.3">
      <c r="AA7062" s="3">
        <v>20980.959999999999</v>
      </c>
      <c r="AB7062">
        <v>1E-4</v>
      </c>
      <c r="AC7062">
        <v>8</v>
      </c>
      <c r="AD7062" s="5">
        <v>4.9473469255470679</v>
      </c>
      <c r="AE7062" s="5">
        <v>2.1844308202203204</v>
      </c>
      <c r="AF7062">
        <v>1</v>
      </c>
    </row>
    <row r="7063" spans="27:32" x14ac:dyDescent="0.3">
      <c r="AA7063" s="3">
        <v>8707.4599999999991</v>
      </c>
      <c r="AB7063">
        <v>1E-4</v>
      </c>
      <c r="AC7063">
        <v>8</v>
      </c>
      <c r="AD7063" s="5">
        <v>5.1465703248104564</v>
      </c>
      <c r="AE7063" s="5">
        <v>2.254486557561576</v>
      </c>
      <c r="AF7063">
        <v>1</v>
      </c>
    </row>
    <row r="7064" spans="27:32" x14ac:dyDescent="0.3">
      <c r="AA7064" s="3">
        <v>16104.54</v>
      </c>
      <c r="AB7064">
        <v>1E-4</v>
      </c>
      <c r="AC7064">
        <v>8</v>
      </c>
      <c r="AD7064" s="5">
        <v>4.9994713698715607</v>
      </c>
      <c r="AE7064" s="5">
        <v>2.1302740262610014</v>
      </c>
      <c r="AF7064">
        <v>1</v>
      </c>
    </row>
    <row r="7065" spans="27:32" x14ac:dyDescent="0.3">
      <c r="AA7065" s="3">
        <v>15959.38</v>
      </c>
      <c r="AB7065">
        <v>1E-4</v>
      </c>
      <c r="AC7065">
        <v>8</v>
      </c>
      <c r="AD7065" s="5">
        <v>4.9738648258766744</v>
      </c>
      <c r="AE7065" s="5">
        <v>2.1731919226069092</v>
      </c>
      <c r="AF7065">
        <v>1</v>
      </c>
    </row>
    <row r="7066" spans="27:32" x14ac:dyDescent="0.3">
      <c r="AA7066" s="3">
        <v>22567.11</v>
      </c>
      <c r="AB7066">
        <v>1E-4</v>
      </c>
      <c r="AC7066">
        <v>8</v>
      </c>
      <c r="AD7066" s="5">
        <v>4.9111438310380464</v>
      </c>
      <c r="AE7066" s="5">
        <v>2.2236685168208816</v>
      </c>
      <c r="AF7066">
        <v>1</v>
      </c>
    </row>
    <row r="7067" spans="27:32" x14ac:dyDescent="0.3">
      <c r="AA7067" s="3">
        <v>6178.54</v>
      </c>
      <c r="AB7067">
        <v>1E-4</v>
      </c>
      <c r="AC7067">
        <v>8</v>
      </c>
      <c r="AD7067" s="5">
        <v>5.0100957230731442</v>
      </c>
      <c r="AE7067" s="5">
        <v>2.2444942684593445</v>
      </c>
      <c r="AF7067">
        <v>1</v>
      </c>
    </row>
    <row r="7068" spans="27:32" x14ac:dyDescent="0.3">
      <c r="AA7068" s="3">
        <v>-17872.21</v>
      </c>
      <c r="AB7068">
        <v>1E-4</v>
      </c>
      <c r="AC7068">
        <v>9</v>
      </c>
      <c r="AD7068" s="5">
        <v>4.9935453276127797</v>
      </c>
      <c r="AE7068" s="5">
        <v>2.2503733289643884</v>
      </c>
      <c r="AF7068">
        <v>1</v>
      </c>
    </row>
    <row r="7069" spans="27:32" x14ac:dyDescent="0.3">
      <c r="AA7069" s="3">
        <v>2522.9499999999998</v>
      </c>
      <c r="AB7069">
        <v>1E-4</v>
      </c>
      <c r="AC7069">
        <v>8</v>
      </c>
      <c r="AD7069" s="5">
        <v>5.078374668417684</v>
      </c>
      <c r="AE7069" s="5">
        <v>2.3309512868135593</v>
      </c>
      <c r="AF7069">
        <v>1</v>
      </c>
    </row>
    <row r="7070" spans="27:32" x14ac:dyDescent="0.3">
      <c r="AA7070" s="3">
        <v>35005.56</v>
      </c>
      <c r="AB7070">
        <v>1E-4</v>
      </c>
      <c r="AC7070">
        <v>7</v>
      </c>
      <c r="AD7070" s="5">
        <v>4.8890597722691593</v>
      </c>
      <c r="AE7070" s="5">
        <v>2.2283160561719364</v>
      </c>
      <c r="AF7070">
        <v>1</v>
      </c>
    </row>
    <row r="7071" spans="27:32" x14ac:dyDescent="0.3">
      <c r="AA7071" s="3">
        <v>10520.16</v>
      </c>
      <c r="AB7071">
        <v>1E-4</v>
      </c>
      <c r="AC7071">
        <v>8</v>
      </c>
      <c r="AD7071" s="5">
        <v>5.0076399845521591</v>
      </c>
      <c r="AE7071" s="5">
        <v>2.1926811020746779</v>
      </c>
      <c r="AF7071">
        <v>1</v>
      </c>
    </row>
    <row r="7072" spans="27:32" x14ac:dyDescent="0.3">
      <c r="AA7072" s="3">
        <v>54135.57</v>
      </c>
      <c r="AB7072">
        <v>1E-4</v>
      </c>
      <c r="AC7072">
        <v>6</v>
      </c>
      <c r="AD7072" s="5">
        <v>5.1249496976524131</v>
      </c>
      <c r="AE7072" s="5">
        <v>2.1296084181269759</v>
      </c>
      <c r="AF7072">
        <v>1</v>
      </c>
    </row>
    <row r="7073" spans="27:32" x14ac:dyDescent="0.3">
      <c r="AA7073" s="3">
        <v>-6981.06</v>
      </c>
      <c r="AB7073">
        <v>1E-4</v>
      </c>
      <c r="AC7073">
        <v>9</v>
      </c>
      <c r="AD7073" s="5">
        <v>5.0972160832441258</v>
      </c>
      <c r="AE7073" s="5">
        <v>2.2614562378329053</v>
      </c>
      <c r="AF7073">
        <v>1</v>
      </c>
    </row>
    <row r="7074" spans="27:32" x14ac:dyDescent="0.3">
      <c r="AA7074" s="3">
        <v>33519.379999999997</v>
      </c>
      <c r="AB7074">
        <v>1E-4</v>
      </c>
      <c r="AC7074">
        <v>7</v>
      </c>
      <c r="AD7074" s="5">
        <v>4.8741160937725185</v>
      </c>
      <c r="AE7074" s="5">
        <v>2.216756949237384</v>
      </c>
      <c r="AF7074">
        <v>1</v>
      </c>
    </row>
    <row r="7075" spans="27:32" x14ac:dyDescent="0.3">
      <c r="AA7075" s="3">
        <v>-6719.44</v>
      </c>
      <c r="AB7075">
        <v>1E-4</v>
      </c>
      <c r="AC7075">
        <v>9</v>
      </c>
      <c r="AD7075" s="5">
        <v>4.8436307725594183</v>
      </c>
      <c r="AE7075" s="5">
        <v>2.191488934315398</v>
      </c>
      <c r="AF7075">
        <v>1</v>
      </c>
    </row>
    <row r="7076" spans="27:32" x14ac:dyDescent="0.3">
      <c r="AA7076" s="3">
        <v>-1041.3</v>
      </c>
      <c r="AB7076">
        <v>1E-4</v>
      </c>
      <c r="AC7076">
        <v>9</v>
      </c>
      <c r="AD7076" s="5">
        <v>5.1856618069837683</v>
      </c>
      <c r="AE7076" s="5">
        <v>2.2099077326955876</v>
      </c>
      <c r="AF7076">
        <v>1</v>
      </c>
    </row>
    <row r="7077" spans="27:32" x14ac:dyDescent="0.3">
      <c r="AA7077" s="3">
        <v>10921.52</v>
      </c>
      <c r="AB7077">
        <v>1E-4</v>
      </c>
      <c r="AC7077">
        <v>8</v>
      </c>
      <c r="AD7077" s="5">
        <v>4.9414192783105664</v>
      </c>
      <c r="AE7077" s="5">
        <v>2.1930243303459247</v>
      </c>
      <c r="AF7077">
        <v>1</v>
      </c>
    </row>
    <row r="7078" spans="27:32" x14ac:dyDescent="0.3">
      <c r="AA7078" s="3">
        <v>-5418.99</v>
      </c>
      <c r="AB7078">
        <v>1E-4</v>
      </c>
      <c r="AC7078">
        <v>9</v>
      </c>
      <c r="AD7078" s="5">
        <v>5.0011680774068781</v>
      </c>
      <c r="AE7078" s="5">
        <v>2.2665874713987502</v>
      </c>
      <c r="AF7078">
        <v>1</v>
      </c>
    </row>
    <row r="7079" spans="27:32" x14ac:dyDescent="0.3">
      <c r="AA7079" s="3">
        <v>22506.48</v>
      </c>
      <c r="AB7079">
        <v>1E-4</v>
      </c>
      <c r="AC7079">
        <v>8</v>
      </c>
      <c r="AD7079" s="5">
        <v>4.9505354284149696</v>
      </c>
      <c r="AE7079" s="5">
        <v>2.1951671370823798</v>
      </c>
      <c r="AF7079">
        <v>1</v>
      </c>
    </row>
    <row r="7080" spans="27:32" x14ac:dyDescent="0.3">
      <c r="AA7080" s="3">
        <v>38413.410000000003</v>
      </c>
      <c r="AB7080">
        <v>1E-4</v>
      </c>
      <c r="AC7080">
        <v>7</v>
      </c>
      <c r="AD7080" s="5">
        <v>5.0224984477305261</v>
      </c>
      <c r="AE7080" s="5">
        <v>2.1892617077177863</v>
      </c>
      <c r="AF7080">
        <v>1</v>
      </c>
    </row>
    <row r="7081" spans="27:32" x14ac:dyDescent="0.3">
      <c r="AA7081" s="3">
        <v>-2755.15</v>
      </c>
      <c r="AB7081">
        <v>1E-4</v>
      </c>
      <c r="AC7081">
        <v>9</v>
      </c>
      <c r="AD7081" s="5">
        <v>4.8759123480901314</v>
      </c>
      <c r="AE7081" s="5">
        <v>2.233665753717057</v>
      </c>
      <c r="AF7081">
        <v>1</v>
      </c>
    </row>
    <row r="7082" spans="27:32" x14ac:dyDescent="0.3">
      <c r="AA7082" s="3">
        <v>13254.3</v>
      </c>
      <c r="AB7082">
        <v>1E-4</v>
      </c>
      <c r="AC7082">
        <v>8</v>
      </c>
      <c r="AD7082" s="5">
        <v>5.0966193921003535</v>
      </c>
      <c r="AE7082" s="5">
        <v>2.2567840404806256</v>
      </c>
      <c r="AF7082">
        <v>1</v>
      </c>
    </row>
    <row r="7083" spans="27:32" x14ac:dyDescent="0.3">
      <c r="AA7083" s="3">
        <v>-5083.07</v>
      </c>
      <c r="AB7083">
        <v>1E-4</v>
      </c>
      <c r="AC7083">
        <v>9</v>
      </c>
      <c r="AD7083" s="5">
        <v>4.8319702178316879</v>
      </c>
      <c r="AE7083" s="5">
        <v>2.1797862497589704</v>
      </c>
      <c r="AF7083">
        <v>1</v>
      </c>
    </row>
    <row r="7084" spans="27:32" x14ac:dyDescent="0.3">
      <c r="AA7084" s="3">
        <v>20216.36</v>
      </c>
      <c r="AB7084">
        <v>1E-4</v>
      </c>
      <c r="AC7084">
        <v>8</v>
      </c>
      <c r="AD7084" s="5">
        <v>5.0458205686763042</v>
      </c>
      <c r="AE7084" s="5">
        <v>2.2128015516862027</v>
      </c>
      <c r="AF7084">
        <v>1</v>
      </c>
    </row>
    <row r="7085" spans="27:32" x14ac:dyDescent="0.3">
      <c r="AA7085" s="3">
        <v>27436.67</v>
      </c>
      <c r="AB7085">
        <v>1E-4</v>
      </c>
      <c r="AC7085">
        <v>8</v>
      </c>
      <c r="AD7085" s="5">
        <v>5.1303985126799931</v>
      </c>
      <c r="AE7085" s="5">
        <v>2.2600971447968998</v>
      </c>
      <c r="AF7085">
        <v>1</v>
      </c>
    </row>
    <row r="7086" spans="27:32" x14ac:dyDescent="0.3">
      <c r="AA7086" s="3">
        <v>8059.37</v>
      </c>
      <c r="AB7086">
        <v>1E-4</v>
      </c>
      <c r="AC7086">
        <v>8</v>
      </c>
      <c r="AD7086" s="5">
        <v>4.8346288573800695</v>
      </c>
      <c r="AE7086" s="5">
        <v>2.2452608384668862</v>
      </c>
      <c r="AF7086">
        <v>1</v>
      </c>
    </row>
    <row r="7087" spans="27:32" x14ac:dyDescent="0.3">
      <c r="AA7087" s="3">
        <v>27006.98</v>
      </c>
      <c r="AB7087">
        <v>1E-4</v>
      </c>
      <c r="AC7087">
        <v>8</v>
      </c>
      <c r="AD7087" s="5">
        <v>5.1177152223359164</v>
      </c>
      <c r="AE7087" s="5">
        <v>2.1585476003001656</v>
      </c>
      <c r="AF7087">
        <v>1</v>
      </c>
    </row>
    <row r="7088" spans="27:32" x14ac:dyDescent="0.3">
      <c r="AA7088" s="3">
        <v>-1215.96</v>
      </c>
      <c r="AB7088">
        <v>1E-4</v>
      </c>
      <c r="AC7088">
        <v>9</v>
      </c>
      <c r="AD7088" s="5">
        <v>5.0057282648470531</v>
      </c>
      <c r="AE7088" s="5">
        <v>2.193056607264773</v>
      </c>
      <c r="AF7088">
        <v>1</v>
      </c>
    </row>
    <row r="7089" spans="27:32" x14ac:dyDescent="0.3">
      <c r="AA7089" s="3">
        <v>33462.57</v>
      </c>
      <c r="AB7089">
        <v>1E-4</v>
      </c>
      <c r="AC7089">
        <v>7</v>
      </c>
      <c r="AD7089" s="5">
        <v>5.1283099034222985</v>
      </c>
      <c r="AE7089" s="5">
        <v>2.1109899615994019</v>
      </c>
      <c r="AF7089">
        <v>1</v>
      </c>
    </row>
    <row r="7090" spans="27:32" x14ac:dyDescent="0.3">
      <c r="AA7090" s="3">
        <v>17535.39</v>
      </c>
      <c r="AB7090">
        <v>1E-4</v>
      </c>
      <c r="AC7090">
        <v>8</v>
      </c>
      <c r="AD7090" s="5">
        <v>4.9333689761766992</v>
      </c>
      <c r="AE7090" s="5">
        <v>2.2448865385114134</v>
      </c>
      <c r="AF7090">
        <v>1</v>
      </c>
    </row>
    <row r="7091" spans="27:32" x14ac:dyDescent="0.3">
      <c r="AA7091" s="3">
        <v>11813.55</v>
      </c>
      <c r="AB7091">
        <v>1E-4</v>
      </c>
      <c r="AC7091">
        <v>8</v>
      </c>
      <c r="AD7091" s="5">
        <v>5.0006721504882092</v>
      </c>
      <c r="AE7091" s="5">
        <v>2.1352963598936383</v>
      </c>
      <c r="AF7091">
        <v>1</v>
      </c>
    </row>
    <row r="7092" spans="27:32" x14ac:dyDescent="0.3">
      <c r="AA7092" s="3">
        <v>4716.66</v>
      </c>
      <c r="AB7092">
        <v>1E-4</v>
      </c>
      <c r="AC7092">
        <v>8</v>
      </c>
      <c r="AD7092" s="5">
        <v>5.0564732404606234</v>
      </c>
      <c r="AE7092" s="5">
        <v>2.1982236999888736</v>
      </c>
      <c r="AF7092">
        <v>1</v>
      </c>
    </row>
    <row r="7093" spans="27:32" x14ac:dyDescent="0.3">
      <c r="AA7093" s="3">
        <v>18346.400000000001</v>
      </c>
      <c r="AB7093">
        <v>1E-4</v>
      </c>
      <c r="AC7093">
        <v>8</v>
      </c>
      <c r="AD7093" s="5">
        <v>4.97993113685546</v>
      </c>
      <c r="AE7093" s="5">
        <v>2.1168490552628532</v>
      </c>
      <c r="AF7093">
        <v>1</v>
      </c>
    </row>
    <row r="7094" spans="27:32" x14ac:dyDescent="0.3">
      <c r="AA7094" s="3">
        <v>12543.06</v>
      </c>
      <c r="AB7094">
        <v>1E-4</v>
      </c>
      <c r="AC7094">
        <v>8</v>
      </c>
      <c r="AD7094" s="5">
        <v>5.0583298281763716</v>
      </c>
      <c r="AE7094" s="5">
        <v>2.1930465106467421</v>
      </c>
      <c r="AF7094">
        <v>1</v>
      </c>
    </row>
    <row r="7095" spans="27:32" x14ac:dyDescent="0.3">
      <c r="AA7095" s="3">
        <v>7726.84</v>
      </c>
      <c r="AB7095">
        <v>1E-4</v>
      </c>
      <c r="AC7095">
        <v>8</v>
      </c>
      <c r="AD7095" s="5">
        <v>4.9452070160042618</v>
      </c>
      <c r="AE7095" s="5">
        <v>2.2216600020116819</v>
      </c>
      <c r="AF7095">
        <v>1</v>
      </c>
    </row>
    <row r="7096" spans="27:32" x14ac:dyDescent="0.3">
      <c r="AA7096" s="3">
        <v>4743.34</v>
      </c>
      <c r="AB7096">
        <v>1E-4</v>
      </c>
      <c r="AC7096">
        <v>8</v>
      </c>
      <c r="AD7096" s="5">
        <v>5.0750046678471126</v>
      </c>
      <c r="AE7096" s="5">
        <v>2.2386705748887934</v>
      </c>
      <c r="AF7096">
        <v>1</v>
      </c>
    </row>
    <row r="7097" spans="27:32" x14ac:dyDescent="0.3">
      <c r="AA7097" s="3">
        <v>21940.37</v>
      </c>
      <c r="AB7097">
        <v>1E-4</v>
      </c>
      <c r="AC7097">
        <v>8</v>
      </c>
      <c r="AD7097" s="5">
        <v>5.0502740776093837</v>
      </c>
      <c r="AE7097" s="5">
        <v>2.202266885468656</v>
      </c>
      <c r="AF7097">
        <v>1</v>
      </c>
    </row>
    <row r="7098" spans="27:32" x14ac:dyDescent="0.3">
      <c r="AA7098" s="3">
        <v>-31789.313378252096</v>
      </c>
      <c r="AB7098">
        <v>1E-4</v>
      </c>
      <c r="AC7098">
        <v>9</v>
      </c>
      <c r="AD7098" s="5">
        <v>5.0056927431413873</v>
      </c>
      <c r="AE7098" s="5">
        <v>2.2185386833837608</v>
      </c>
      <c r="AF7098">
        <v>0</v>
      </c>
    </row>
    <row r="7099" spans="27:32" x14ac:dyDescent="0.3">
      <c r="AA7099" s="3">
        <v>28558.84</v>
      </c>
      <c r="AB7099">
        <v>1E-4</v>
      </c>
      <c r="AC7099">
        <v>8</v>
      </c>
      <c r="AD7099" s="5">
        <v>5.0296206211948977</v>
      </c>
      <c r="AE7099" s="5">
        <v>2.2428810887103752</v>
      </c>
      <c r="AF7099">
        <v>1</v>
      </c>
    </row>
    <row r="7100" spans="27:32" x14ac:dyDescent="0.3">
      <c r="AA7100" s="3">
        <v>8634.6</v>
      </c>
      <c r="AB7100">
        <v>1E-4</v>
      </c>
      <c r="AC7100">
        <v>8</v>
      </c>
      <c r="AD7100" s="5">
        <v>5.0101054873274258</v>
      </c>
      <c r="AE7100" s="5">
        <v>2.1896747911305332</v>
      </c>
      <c r="AF7100">
        <v>1</v>
      </c>
    </row>
    <row r="7101" spans="27:32" x14ac:dyDescent="0.3">
      <c r="AA7101" s="3">
        <v>4030.86</v>
      </c>
      <c r="AB7101">
        <v>1E-4</v>
      </c>
      <c r="AC7101">
        <v>8</v>
      </c>
      <c r="AD7101" s="5">
        <v>5.0427837171878833</v>
      </c>
      <c r="AE7101" s="5">
        <v>2.2633987520304579</v>
      </c>
      <c r="AF7101">
        <v>1</v>
      </c>
    </row>
    <row r="7102" spans="27:32" x14ac:dyDescent="0.3">
      <c r="AA7102" s="3">
        <v>41162.74</v>
      </c>
      <c r="AB7102">
        <v>1E-4</v>
      </c>
      <c r="AC7102">
        <v>7</v>
      </c>
      <c r="AD7102" s="5">
        <v>5.1658861420284659</v>
      </c>
      <c r="AE7102" s="5">
        <v>2.2346823056206597</v>
      </c>
      <c r="AF7102">
        <v>1</v>
      </c>
    </row>
    <row r="7103" spans="27:32" x14ac:dyDescent="0.3">
      <c r="AA7103" s="3">
        <v>28938.78</v>
      </c>
      <c r="AB7103">
        <v>1E-4</v>
      </c>
      <c r="AC7103">
        <v>8</v>
      </c>
      <c r="AD7103" s="5">
        <v>5.0245227012443534</v>
      </c>
      <c r="AE7103" s="5">
        <v>2.2513473277556613</v>
      </c>
      <c r="AF7103">
        <v>1</v>
      </c>
    </row>
    <row r="7104" spans="27:32" x14ac:dyDescent="0.3">
      <c r="AA7104" s="3">
        <v>4094.97</v>
      </c>
      <c r="AB7104">
        <v>1E-4</v>
      </c>
      <c r="AC7104">
        <v>8</v>
      </c>
      <c r="AD7104" s="5">
        <v>4.964168843387152</v>
      </c>
      <c r="AE7104" s="5">
        <v>2.1779558502636949</v>
      </c>
      <c r="AF7104">
        <v>1</v>
      </c>
    </row>
    <row r="7105" spans="27:32" x14ac:dyDescent="0.3">
      <c r="AA7105" s="3">
        <v>16885.8</v>
      </c>
      <c r="AB7105">
        <v>1E-4</v>
      </c>
      <c r="AC7105">
        <v>8</v>
      </c>
      <c r="AD7105" s="5">
        <v>4.8752507840234962</v>
      </c>
      <c r="AE7105" s="5">
        <v>2.2040067566264225</v>
      </c>
      <c r="AF7105">
        <v>1</v>
      </c>
    </row>
    <row r="7106" spans="27:32" x14ac:dyDescent="0.3">
      <c r="AA7106" s="3">
        <v>14662.86</v>
      </c>
      <c r="AB7106">
        <v>1E-4</v>
      </c>
      <c r="AC7106">
        <v>8</v>
      </c>
      <c r="AD7106" s="5">
        <v>5.0272559893185571</v>
      </c>
      <c r="AE7106" s="5">
        <v>2.1899878960197996</v>
      </c>
      <c r="AF7106">
        <v>1</v>
      </c>
    </row>
    <row r="7107" spans="27:32" x14ac:dyDescent="0.3">
      <c r="AA7107" s="3">
        <v>29333.5</v>
      </c>
      <c r="AB7107">
        <v>1E-4</v>
      </c>
      <c r="AC7107">
        <v>8</v>
      </c>
      <c r="AD7107" s="5">
        <v>5.0824267810364345</v>
      </c>
      <c r="AE7107" s="5">
        <v>2.1997946659945669</v>
      </c>
      <c r="AF7107">
        <v>1</v>
      </c>
    </row>
    <row r="7108" spans="27:32" x14ac:dyDescent="0.3">
      <c r="AA7108" s="3">
        <v>14580.7</v>
      </c>
      <c r="AB7108">
        <v>1E-4</v>
      </c>
      <c r="AC7108">
        <v>8</v>
      </c>
      <c r="AD7108" s="5">
        <v>4.9578612355606184</v>
      </c>
      <c r="AE7108" s="5">
        <v>2.1962513856860588</v>
      </c>
      <c r="AF7108">
        <v>1</v>
      </c>
    </row>
    <row r="7109" spans="27:32" x14ac:dyDescent="0.3">
      <c r="AA7109" s="3">
        <v>-20934.481894477896</v>
      </c>
      <c r="AB7109">
        <v>1E-4</v>
      </c>
      <c r="AC7109">
        <v>9</v>
      </c>
      <c r="AD7109" s="5">
        <v>4.7795648200959207</v>
      </c>
      <c r="AE7109" s="5">
        <v>2.1070853457605083</v>
      </c>
      <c r="AF7109">
        <v>0</v>
      </c>
    </row>
    <row r="7110" spans="27:32" x14ac:dyDescent="0.3">
      <c r="AA7110" s="3">
        <v>-9183.31</v>
      </c>
      <c r="AB7110">
        <v>1E-4</v>
      </c>
      <c r="AC7110">
        <v>9</v>
      </c>
      <c r="AD7110" s="5">
        <v>4.8370030671425237</v>
      </c>
      <c r="AE7110" s="5">
        <v>2.2232035245708213</v>
      </c>
      <c r="AF7110">
        <v>1</v>
      </c>
    </row>
    <row r="7111" spans="27:32" x14ac:dyDescent="0.3">
      <c r="AA7111" s="3">
        <v>25650</v>
      </c>
      <c r="AB7111">
        <v>1E-4</v>
      </c>
      <c r="AC7111">
        <v>7</v>
      </c>
      <c r="AD7111" s="5">
        <v>5.0570477735600736</v>
      </c>
      <c r="AE7111" s="5">
        <v>2.2090681753208079</v>
      </c>
      <c r="AF7111">
        <v>1</v>
      </c>
    </row>
    <row r="7112" spans="27:32" x14ac:dyDescent="0.3">
      <c r="AA7112" s="3">
        <v>21464.36</v>
      </c>
      <c r="AB7112">
        <v>1E-4</v>
      </c>
      <c r="AC7112">
        <v>8</v>
      </c>
      <c r="AD7112" s="5">
        <v>5.0446158727986186</v>
      </c>
      <c r="AE7112" s="5">
        <v>2.132955456085988</v>
      </c>
      <c r="AF7112">
        <v>1</v>
      </c>
    </row>
    <row r="7113" spans="27:32" x14ac:dyDescent="0.3">
      <c r="AA7113" s="3">
        <v>20149.07</v>
      </c>
      <c r="AB7113">
        <v>1E-4</v>
      </c>
      <c r="AC7113">
        <v>8</v>
      </c>
      <c r="AD7113" s="5">
        <v>5.0870408400925866</v>
      </c>
      <c r="AE7113" s="5">
        <v>2.2294227320027029</v>
      </c>
      <c r="AF7113">
        <v>1</v>
      </c>
    </row>
    <row r="7114" spans="27:32" x14ac:dyDescent="0.3">
      <c r="AA7114" s="3">
        <v>40070.910000000003</v>
      </c>
      <c r="AB7114">
        <v>1E-4</v>
      </c>
      <c r="AC7114">
        <v>7</v>
      </c>
      <c r="AD7114" s="5">
        <v>4.9484793519691417</v>
      </c>
      <c r="AE7114" s="5">
        <v>2.0898056391812334</v>
      </c>
      <c r="AF7114">
        <v>1</v>
      </c>
    </row>
    <row r="7115" spans="27:32" x14ac:dyDescent="0.3">
      <c r="AA7115" s="3">
        <v>55243.48</v>
      </c>
      <c r="AB7115">
        <v>1E-4</v>
      </c>
      <c r="AC7115">
        <v>6</v>
      </c>
      <c r="AD7115" s="5">
        <v>5.0779172053028327</v>
      </c>
      <c r="AE7115" s="5">
        <v>2.1374820202408769</v>
      </c>
      <c r="AF7115">
        <v>1</v>
      </c>
    </row>
    <row r="7116" spans="27:32" x14ac:dyDescent="0.3">
      <c r="AA7116" s="3">
        <v>27830.880000000001</v>
      </c>
      <c r="AB7116">
        <v>1E-4</v>
      </c>
      <c r="AC7116">
        <v>8</v>
      </c>
      <c r="AD7116" s="5">
        <v>5.0797828653521293</v>
      </c>
      <c r="AE7116" s="5">
        <v>2.1893743832293162</v>
      </c>
      <c r="AF7116">
        <v>1</v>
      </c>
    </row>
    <row r="7117" spans="27:32" x14ac:dyDescent="0.3">
      <c r="AA7117" s="3">
        <v>-1534.28</v>
      </c>
      <c r="AB7117">
        <v>1E-4</v>
      </c>
      <c r="AC7117">
        <v>9</v>
      </c>
      <c r="AD7117" s="5">
        <v>4.7624531162792403</v>
      </c>
      <c r="AE7117" s="5">
        <v>2.1359484224965808</v>
      </c>
      <c r="AF7117">
        <v>1</v>
      </c>
    </row>
    <row r="7118" spans="27:32" x14ac:dyDescent="0.3">
      <c r="AA7118" s="3">
        <v>8485.25</v>
      </c>
      <c r="AB7118">
        <v>1E-4</v>
      </c>
      <c r="AC7118">
        <v>8</v>
      </c>
      <c r="AD7118" s="5">
        <v>5.0557143276084027</v>
      </c>
      <c r="AE7118" s="5">
        <v>2.1618594230320216</v>
      </c>
      <c r="AF7118">
        <v>1</v>
      </c>
    </row>
    <row r="7119" spans="27:32" x14ac:dyDescent="0.3">
      <c r="AA7119" s="3">
        <v>7261.62</v>
      </c>
      <c r="AB7119">
        <v>1E-4</v>
      </c>
      <c r="AC7119">
        <v>8</v>
      </c>
      <c r="AD7119" s="5">
        <v>5.1986870950931907</v>
      </c>
      <c r="AE7119" s="5">
        <v>2.2774762457796669</v>
      </c>
      <c r="AF7119">
        <v>1</v>
      </c>
    </row>
    <row r="7120" spans="27:32" x14ac:dyDescent="0.3">
      <c r="AA7120" s="3">
        <v>37198.400000000001</v>
      </c>
      <c r="AB7120">
        <v>1E-4</v>
      </c>
      <c r="AC7120">
        <v>7</v>
      </c>
      <c r="AD7120" s="5">
        <v>4.9417637578974904</v>
      </c>
      <c r="AE7120" s="5">
        <v>2.2420012677537611</v>
      </c>
      <c r="AF7120">
        <v>1</v>
      </c>
    </row>
    <row r="7121" spans="27:32" x14ac:dyDescent="0.3">
      <c r="AA7121" s="3">
        <v>-3966.19</v>
      </c>
      <c r="AB7121">
        <v>1E-4</v>
      </c>
      <c r="AC7121">
        <v>9</v>
      </c>
      <c r="AD7121" s="5">
        <v>4.9530560631913039</v>
      </c>
      <c r="AE7121" s="5">
        <v>2.2863929683098858</v>
      </c>
      <c r="AF7121">
        <v>1</v>
      </c>
    </row>
    <row r="7122" spans="27:32" x14ac:dyDescent="0.3">
      <c r="AA7122" s="3">
        <v>23972.77</v>
      </c>
      <c r="AB7122">
        <v>1E-4</v>
      </c>
      <c r="AC7122">
        <v>8</v>
      </c>
      <c r="AD7122" s="5">
        <v>5.0951690292007408</v>
      </c>
      <c r="AE7122" s="5">
        <v>2.2041601508719166</v>
      </c>
      <c r="AF7122">
        <v>1</v>
      </c>
    </row>
    <row r="7123" spans="27:32" x14ac:dyDescent="0.3">
      <c r="AA7123" s="3">
        <v>-9025.32</v>
      </c>
      <c r="AB7123">
        <v>1E-4</v>
      </c>
      <c r="AC7123">
        <v>9</v>
      </c>
      <c r="AD7123" s="5">
        <v>4.963759559822682</v>
      </c>
      <c r="AE7123" s="5">
        <v>2.2385311398812777</v>
      </c>
      <c r="AF7123">
        <v>1</v>
      </c>
    </row>
    <row r="7124" spans="27:32" x14ac:dyDescent="0.3">
      <c r="AA7124" s="3">
        <v>15576.25</v>
      </c>
      <c r="AB7124">
        <v>1E-4</v>
      </c>
      <c r="AC7124">
        <v>8</v>
      </c>
      <c r="AD7124" s="5">
        <v>5.0332211114258003</v>
      </c>
      <c r="AE7124" s="5">
        <v>2.2568744885194767</v>
      </c>
      <c r="AF7124">
        <v>1</v>
      </c>
    </row>
    <row r="7125" spans="27:32" x14ac:dyDescent="0.3">
      <c r="AA7125" s="3">
        <v>31597.16</v>
      </c>
      <c r="AB7125">
        <v>1E-4</v>
      </c>
      <c r="AC7125">
        <v>7</v>
      </c>
      <c r="AD7125" s="5">
        <v>4.9786490877470264</v>
      </c>
      <c r="AE7125" s="5">
        <v>2.1871518793348126</v>
      </c>
      <c r="AF7125">
        <v>1</v>
      </c>
    </row>
    <row r="7126" spans="27:32" x14ac:dyDescent="0.3">
      <c r="AA7126" s="3">
        <v>-1772.46</v>
      </c>
      <c r="AB7126">
        <v>1E-4</v>
      </c>
      <c r="AC7126">
        <v>9</v>
      </c>
      <c r="AD7126" s="5">
        <v>4.8732001884639891</v>
      </c>
      <c r="AE7126" s="5">
        <v>2.2398499604528084</v>
      </c>
      <c r="AF7126">
        <v>1</v>
      </c>
    </row>
    <row r="7127" spans="27:32" x14ac:dyDescent="0.3">
      <c r="AA7127" s="3">
        <v>25658.86</v>
      </c>
      <c r="AB7127">
        <v>1E-4</v>
      </c>
      <c r="AC7127">
        <v>8</v>
      </c>
      <c r="AD7127" s="5">
        <v>5.0818890000694124</v>
      </c>
      <c r="AE7127" s="5">
        <v>2.2078977725766382</v>
      </c>
      <c r="AF7127">
        <v>1</v>
      </c>
    </row>
    <row r="7128" spans="27:32" x14ac:dyDescent="0.3">
      <c r="AA7128" s="3">
        <v>-440.1</v>
      </c>
      <c r="AB7128">
        <v>1E-4</v>
      </c>
      <c r="AC7128">
        <v>9</v>
      </c>
      <c r="AD7128" s="5">
        <v>4.8948974934131328</v>
      </c>
      <c r="AE7128" s="5">
        <v>2.1776899594153791</v>
      </c>
      <c r="AF7128">
        <v>1</v>
      </c>
    </row>
    <row r="7129" spans="27:32" x14ac:dyDescent="0.3">
      <c r="AA7129" s="3">
        <v>9444.86</v>
      </c>
      <c r="AB7129">
        <v>1E-4</v>
      </c>
      <c r="AC7129">
        <v>8</v>
      </c>
      <c r="AD7129" s="5">
        <v>5.0385607829337928</v>
      </c>
      <c r="AE7129" s="5">
        <v>2.1500515813250685</v>
      </c>
      <c r="AF7129">
        <v>1</v>
      </c>
    </row>
    <row r="7130" spans="27:32" x14ac:dyDescent="0.3">
      <c r="AA7130" s="3">
        <v>5583.71</v>
      </c>
      <c r="AB7130">
        <v>1E-4</v>
      </c>
      <c r="AC7130">
        <v>8</v>
      </c>
      <c r="AD7130" s="5">
        <v>4.8716454155392386</v>
      </c>
      <c r="AE7130" s="5">
        <v>2.2168851553283231</v>
      </c>
      <c r="AF7130">
        <v>1</v>
      </c>
    </row>
    <row r="7131" spans="27:32" x14ac:dyDescent="0.3">
      <c r="AA7131" s="3">
        <v>33631.61</v>
      </c>
      <c r="AB7131">
        <v>1E-4</v>
      </c>
      <c r="AC7131">
        <v>7</v>
      </c>
      <c r="AD7131" s="5">
        <v>5.0236127287780903</v>
      </c>
      <c r="AE7131" s="5">
        <v>2.1965171666242056</v>
      </c>
      <c r="AF7131">
        <v>1</v>
      </c>
    </row>
    <row r="7132" spans="27:32" x14ac:dyDescent="0.3">
      <c r="AA7132" s="3">
        <v>20199.62</v>
      </c>
      <c r="AB7132">
        <v>1E-4</v>
      </c>
      <c r="AC7132">
        <v>8</v>
      </c>
      <c r="AD7132" s="5">
        <v>4.9588374721563042</v>
      </c>
      <c r="AE7132" s="5">
        <v>2.2285925630966048</v>
      </c>
      <c r="AF7132">
        <v>1</v>
      </c>
    </row>
    <row r="7133" spans="27:32" x14ac:dyDescent="0.3">
      <c r="AA7133" s="3">
        <v>10795.45</v>
      </c>
      <c r="AB7133">
        <v>1E-4</v>
      </c>
      <c r="AC7133">
        <v>8</v>
      </c>
      <c r="AD7133" s="5">
        <v>4.9499868590810854</v>
      </c>
      <c r="AE7133" s="5">
        <v>2.1420284908715574</v>
      </c>
      <c r="AF7133">
        <v>1</v>
      </c>
    </row>
    <row r="7134" spans="27:32" x14ac:dyDescent="0.3">
      <c r="AA7134" s="3">
        <v>27142.83</v>
      </c>
      <c r="AB7134">
        <v>1E-4</v>
      </c>
      <c r="AC7134">
        <v>8</v>
      </c>
      <c r="AD7134" s="5">
        <v>5.1176733040303413</v>
      </c>
      <c r="AE7134" s="5">
        <v>2.1648848609959148</v>
      </c>
      <c r="AF7134">
        <v>1</v>
      </c>
    </row>
    <row r="7135" spans="27:32" x14ac:dyDescent="0.3">
      <c r="AA7135" s="3">
        <v>6501.64</v>
      </c>
      <c r="AB7135">
        <v>1E-4</v>
      </c>
      <c r="AC7135">
        <v>8</v>
      </c>
      <c r="AD7135" s="5">
        <v>4.9907748801786047</v>
      </c>
      <c r="AE7135" s="5">
        <v>2.2134284968517233</v>
      </c>
      <c r="AF7135">
        <v>1</v>
      </c>
    </row>
    <row r="7136" spans="27:32" x14ac:dyDescent="0.3">
      <c r="AA7136" s="3">
        <v>19380.759999999998</v>
      </c>
      <c r="AB7136">
        <v>1E-4</v>
      </c>
      <c r="AC7136">
        <v>8</v>
      </c>
      <c r="AD7136" s="5">
        <v>4.9502555555988499</v>
      </c>
      <c r="AE7136" s="5">
        <v>2.1907122710844296</v>
      </c>
      <c r="AF7136">
        <v>1</v>
      </c>
    </row>
    <row r="7137" spans="27:32" x14ac:dyDescent="0.3">
      <c r="AA7137" s="3">
        <v>17097.87</v>
      </c>
      <c r="AB7137">
        <v>1E-4</v>
      </c>
      <c r="AC7137">
        <v>8</v>
      </c>
      <c r="AD7137" s="5">
        <v>5.0318908528813253</v>
      </c>
      <c r="AE7137" s="5">
        <v>2.1522059419694943</v>
      </c>
      <c r="AF7137">
        <v>1</v>
      </c>
    </row>
    <row r="7138" spans="27:32" x14ac:dyDescent="0.3">
      <c r="AA7138" s="3">
        <v>-2371.25</v>
      </c>
      <c r="AB7138">
        <v>1E-4</v>
      </c>
      <c r="AC7138">
        <v>9</v>
      </c>
      <c r="AD7138" s="5">
        <v>4.9478100538883938</v>
      </c>
      <c r="AE7138" s="5">
        <v>2.1838981860603277</v>
      </c>
      <c r="AF7138">
        <v>1</v>
      </c>
    </row>
    <row r="7139" spans="27:32" x14ac:dyDescent="0.3">
      <c r="AA7139" s="3">
        <v>22206.19</v>
      </c>
      <c r="AB7139">
        <v>1E-4</v>
      </c>
      <c r="AC7139">
        <v>8</v>
      </c>
      <c r="AD7139" s="5">
        <v>4.9986392477564756</v>
      </c>
      <c r="AE7139" s="5">
        <v>2.2740153364200308</v>
      </c>
      <c r="AF7139">
        <v>1</v>
      </c>
    </row>
    <row r="7140" spans="27:32" x14ac:dyDescent="0.3">
      <c r="AA7140" s="3">
        <v>6359.99</v>
      </c>
      <c r="AB7140">
        <v>1E-4</v>
      </c>
      <c r="AC7140">
        <v>8</v>
      </c>
      <c r="AD7140" s="5">
        <v>5.0059974543657182</v>
      </c>
      <c r="AE7140" s="5">
        <v>2.2240102238090933</v>
      </c>
      <c r="AF7140">
        <v>1</v>
      </c>
    </row>
    <row r="7141" spans="27:32" x14ac:dyDescent="0.3">
      <c r="AA7141" s="3">
        <v>-32838.067915549218</v>
      </c>
      <c r="AB7141">
        <v>1E-4</v>
      </c>
      <c r="AC7141">
        <v>9</v>
      </c>
      <c r="AD7141" s="5">
        <v>4.9683578045261338</v>
      </c>
      <c r="AE7141" s="5">
        <v>2.2366274657410874</v>
      </c>
      <c r="AF7141">
        <v>0</v>
      </c>
    </row>
    <row r="7142" spans="27:32" x14ac:dyDescent="0.3">
      <c r="AA7142" s="3">
        <v>20617.48</v>
      </c>
      <c r="AB7142">
        <v>1E-4</v>
      </c>
      <c r="AC7142">
        <v>8</v>
      </c>
      <c r="AD7142" s="5">
        <v>4.9810909562020038</v>
      </c>
      <c r="AE7142" s="5">
        <v>2.1589309690654193</v>
      </c>
      <c r="AF7142">
        <v>1</v>
      </c>
    </row>
    <row r="7143" spans="27:32" x14ac:dyDescent="0.3">
      <c r="AA7143" s="3">
        <v>54204.89</v>
      </c>
      <c r="AB7143">
        <v>1E-4</v>
      </c>
      <c r="AC7143">
        <v>6</v>
      </c>
      <c r="AD7143" s="5">
        <v>5.1481760977075695</v>
      </c>
      <c r="AE7143" s="5">
        <v>2.1818658776796953</v>
      </c>
      <c r="AF7143">
        <v>1</v>
      </c>
    </row>
    <row r="7144" spans="27:32" x14ac:dyDescent="0.3">
      <c r="AA7144" s="3">
        <v>28509.5</v>
      </c>
      <c r="AB7144">
        <v>1E-4</v>
      </c>
      <c r="AC7144">
        <v>8</v>
      </c>
      <c r="AD7144" s="5">
        <v>4.9858021087515949</v>
      </c>
      <c r="AE7144" s="5">
        <v>2.1899296736542846</v>
      </c>
      <c r="AF7144">
        <v>1</v>
      </c>
    </row>
    <row r="7145" spans="27:32" x14ac:dyDescent="0.3">
      <c r="AA7145" s="3">
        <v>-3645.69</v>
      </c>
      <c r="AB7145">
        <v>1E-4</v>
      </c>
      <c r="AC7145">
        <v>9</v>
      </c>
      <c r="AD7145" s="5">
        <v>4.9073155309925713</v>
      </c>
      <c r="AE7145" s="5">
        <v>2.1921533826130579</v>
      </c>
      <c r="AF7145">
        <v>1</v>
      </c>
    </row>
    <row r="7146" spans="27:32" x14ac:dyDescent="0.3">
      <c r="AA7146" s="3">
        <v>2643.02</v>
      </c>
      <c r="AB7146">
        <v>1E-4</v>
      </c>
      <c r="AC7146">
        <v>8</v>
      </c>
      <c r="AD7146" s="5">
        <v>5.0817780731242816</v>
      </c>
      <c r="AE7146" s="5">
        <v>2.3020713436471714</v>
      </c>
      <c r="AF7146">
        <v>1</v>
      </c>
    </row>
    <row r="7147" spans="27:32" x14ac:dyDescent="0.3">
      <c r="AA7147" s="3">
        <v>8912.84</v>
      </c>
      <c r="AB7147">
        <v>1E-4</v>
      </c>
      <c r="AC7147">
        <v>8</v>
      </c>
      <c r="AD7147" s="5">
        <v>5.0318202879772302</v>
      </c>
      <c r="AE7147" s="5">
        <v>2.3016198840775384</v>
      </c>
      <c r="AF7147">
        <v>1</v>
      </c>
    </row>
    <row r="7148" spans="27:32" x14ac:dyDescent="0.3">
      <c r="AA7148" s="3">
        <v>2671.34</v>
      </c>
      <c r="AB7148">
        <v>1E-4</v>
      </c>
      <c r="AC7148">
        <v>8</v>
      </c>
      <c r="AD7148" s="5">
        <v>5.2429307163465158</v>
      </c>
      <c r="AE7148" s="5">
        <v>2.231820650904611</v>
      </c>
      <c r="AF7148">
        <v>1</v>
      </c>
    </row>
    <row r="7149" spans="27:32" x14ac:dyDescent="0.3">
      <c r="AA7149" s="3">
        <v>21249.01</v>
      </c>
      <c r="AB7149">
        <v>1E-4</v>
      </c>
      <c r="AC7149">
        <v>8</v>
      </c>
      <c r="AD7149" s="5">
        <v>4.8341027090885307</v>
      </c>
      <c r="AE7149" s="5">
        <v>2.2017998569017854</v>
      </c>
      <c r="AF7149">
        <v>1</v>
      </c>
    </row>
    <row r="7150" spans="27:32" x14ac:dyDescent="0.3">
      <c r="AA7150" s="3">
        <v>12367.06</v>
      </c>
      <c r="AB7150">
        <v>1E-4</v>
      </c>
      <c r="AC7150">
        <v>8</v>
      </c>
      <c r="AD7150" s="5">
        <v>4.9266072310967886</v>
      </c>
      <c r="AE7150" s="5">
        <v>2.233197627785525</v>
      </c>
      <c r="AF7150">
        <v>1</v>
      </c>
    </row>
    <row r="7151" spans="27:32" x14ac:dyDescent="0.3">
      <c r="AA7151" s="3">
        <v>81239.88</v>
      </c>
      <c r="AB7151">
        <v>1E-4</v>
      </c>
      <c r="AC7151">
        <v>5</v>
      </c>
      <c r="AD7151" s="5">
        <v>5.0043304686957208</v>
      </c>
      <c r="AE7151" s="5">
        <v>2.1453978138561602</v>
      </c>
      <c r="AF7151">
        <v>1</v>
      </c>
    </row>
    <row r="7152" spans="27:32" x14ac:dyDescent="0.3">
      <c r="AA7152" s="3">
        <v>23418.37</v>
      </c>
      <c r="AB7152">
        <v>1E-4</v>
      </c>
      <c r="AC7152">
        <v>8</v>
      </c>
      <c r="AD7152" s="5">
        <v>4.9645601242778419</v>
      </c>
      <c r="AE7152" s="5">
        <v>2.2053749814001229</v>
      </c>
      <c r="AF7152">
        <v>1</v>
      </c>
    </row>
    <row r="7153" spans="27:32" x14ac:dyDescent="0.3">
      <c r="AA7153" s="3">
        <v>19293.47</v>
      </c>
      <c r="AB7153">
        <v>1E-4</v>
      </c>
      <c r="AC7153">
        <v>8</v>
      </c>
      <c r="AD7153" s="5">
        <v>4.9174080962397326</v>
      </c>
      <c r="AE7153" s="5">
        <v>2.1003312000247405</v>
      </c>
      <c r="AF7153">
        <v>1</v>
      </c>
    </row>
    <row r="7154" spans="27:32" x14ac:dyDescent="0.3">
      <c r="AA7154" s="3">
        <v>17378.48</v>
      </c>
      <c r="AB7154">
        <v>1E-4</v>
      </c>
      <c r="AC7154">
        <v>8</v>
      </c>
      <c r="AD7154" s="5">
        <v>5.0036133141178354</v>
      </c>
      <c r="AE7154" s="5">
        <v>2.1517501551195961</v>
      </c>
      <c r="AF7154">
        <v>1</v>
      </c>
    </row>
    <row r="7155" spans="27:32" x14ac:dyDescent="0.3">
      <c r="AA7155" s="3">
        <v>5399</v>
      </c>
      <c r="AB7155">
        <v>1E-4</v>
      </c>
      <c r="AC7155">
        <v>8</v>
      </c>
      <c r="AD7155" s="5">
        <v>5.1172780708450407</v>
      </c>
      <c r="AE7155" s="5">
        <v>2.1910980063777732</v>
      </c>
      <c r="AF7155">
        <v>1</v>
      </c>
    </row>
    <row r="7156" spans="27:32" x14ac:dyDescent="0.3">
      <c r="AA7156" s="3">
        <v>5981.87</v>
      </c>
      <c r="AB7156">
        <v>1E-4</v>
      </c>
      <c r="AC7156">
        <v>8</v>
      </c>
      <c r="AD7156" s="5">
        <v>5.0282757883752787</v>
      </c>
      <c r="AE7156" s="5">
        <v>2.2412775764356527</v>
      </c>
      <c r="AF7156">
        <v>1</v>
      </c>
    </row>
    <row r="7157" spans="27:32" x14ac:dyDescent="0.3">
      <c r="AA7157" s="3">
        <v>24632.22</v>
      </c>
      <c r="AB7157">
        <v>1E-4</v>
      </c>
      <c r="AC7157">
        <v>8</v>
      </c>
      <c r="AD7157" s="5">
        <v>4.9489430847030027</v>
      </c>
      <c r="AE7157" s="5">
        <v>2.0688216319317476</v>
      </c>
      <c r="AF7157">
        <v>1</v>
      </c>
    </row>
    <row r="7158" spans="27:32" x14ac:dyDescent="0.3">
      <c r="AA7158" s="3">
        <v>6113.03</v>
      </c>
      <c r="AB7158">
        <v>1E-4</v>
      </c>
      <c r="AC7158">
        <v>8</v>
      </c>
      <c r="AD7158" s="5">
        <v>4.9731763249430552</v>
      </c>
      <c r="AE7158" s="5">
        <v>2.1984271930742803</v>
      </c>
      <c r="AF7158">
        <v>1</v>
      </c>
    </row>
    <row r="7159" spans="27:32" x14ac:dyDescent="0.3">
      <c r="AA7159" s="3">
        <v>7892.08</v>
      </c>
      <c r="AB7159">
        <v>1E-4</v>
      </c>
      <c r="AC7159">
        <v>8</v>
      </c>
      <c r="AD7159" s="5">
        <v>5.0533704286849863</v>
      </c>
      <c r="AE7159" s="5">
        <v>2.2211144610323839</v>
      </c>
      <c r="AF7159">
        <v>1</v>
      </c>
    </row>
    <row r="7160" spans="27:32" x14ac:dyDescent="0.3">
      <c r="AA7160" s="3">
        <v>36384.39</v>
      </c>
      <c r="AB7160">
        <v>1E-4</v>
      </c>
      <c r="AC7160">
        <v>7</v>
      </c>
      <c r="AD7160" s="5">
        <v>4.9019022847728992</v>
      </c>
      <c r="AE7160" s="5">
        <v>2.1782043313260786</v>
      </c>
      <c r="AF7160">
        <v>1</v>
      </c>
    </row>
    <row r="7161" spans="27:32" x14ac:dyDescent="0.3">
      <c r="AA7161" s="3">
        <v>-13073.609711962692</v>
      </c>
      <c r="AB7161">
        <v>1E-4</v>
      </c>
      <c r="AC7161">
        <v>8</v>
      </c>
      <c r="AD7161" s="5">
        <v>4.9515016174224815</v>
      </c>
      <c r="AE7161" s="5">
        <v>2.2212610820273038</v>
      </c>
      <c r="AF7161">
        <v>0</v>
      </c>
    </row>
    <row r="7162" spans="27:32" x14ac:dyDescent="0.3">
      <c r="AA7162" s="3">
        <v>-21751.86</v>
      </c>
      <c r="AB7162">
        <v>1E-4</v>
      </c>
      <c r="AC7162">
        <v>9</v>
      </c>
      <c r="AD7162" s="5">
        <v>5.048009324223254</v>
      </c>
      <c r="AE7162" s="5">
        <v>2.137757130469208</v>
      </c>
      <c r="AF7162">
        <v>1</v>
      </c>
    </row>
    <row r="7163" spans="27:32" x14ac:dyDescent="0.3">
      <c r="AA7163" s="3">
        <v>38257.839999999997</v>
      </c>
      <c r="AB7163">
        <v>1E-4</v>
      </c>
      <c r="AC7163">
        <v>7</v>
      </c>
      <c r="AD7163" s="5">
        <v>4.9142476604226601</v>
      </c>
      <c r="AE7163" s="5">
        <v>2.1193507559811615</v>
      </c>
      <c r="AF7163">
        <v>1</v>
      </c>
    </row>
    <row r="7164" spans="27:32" x14ac:dyDescent="0.3">
      <c r="AA7164" s="3">
        <v>21434.03</v>
      </c>
      <c r="AB7164">
        <v>1E-4</v>
      </c>
      <c r="AC7164">
        <v>8</v>
      </c>
      <c r="AD7164" s="5">
        <v>5.0366174121490097</v>
      </c>
      <c r="AE7164" s="5">
        <v>2.289501573617827</v>
      </c>
      <c r="AF7164">
        <v>1</v>
      </c>
    </row>
    <row r="7165" spans="27:32" x14ac:dyDescent="0.3">
      <c r="AA7165" s="3">
        <v>12300.59</v>
      </c>
      <c r="AB7165">
        <v>1E-4</v>
      </c>
      <c r="AC7165">
        <v>8</v>
      </c>
      <c r="AD7165" s="5">
        <v>5.0720233442800504</v>
      </c>
      <c r="AE7165" s="5">
        <v>2.1768179918792567</v>
      </c>
      <c r="AF7165">
        <v>1</v>
      </c>
    </row>
    <row r="7166" spans="27:32" x14ac:dyDescent="0.3">
      <c r="AA7166" s="3">
        <v>224</v>
      </c>
      <c r="AB7166">
        <v>1E-4</v>
      </c>
      <c r="AC7166">
        <v>8</v>
      </c>
      <c r="AD7166" s="5">
        <v>4.7572378034419547</v>
      </c>
      <c r="AE7166" s="5">
        <v>2.1665599993267608</v>
      </c>
      <c r="AF7166">
        <v>1</v>
      </c>
    </row>
    <row r="7167" spans="27:32" x14ac:dyDescent="0.3">
      <c r="AA7167" s="3">
        <v>47911.31</v>
      </c>
      <c r="AB7167">
        <v>1E-4</v>
      </c>
      <c r="AC7167">
        <v>7</v>
      </c>
      <c r="AD7167" s="5">
        <v>5.2840183072079565</v>
      </c>
      <c r="AE7167" s="5">
        <v>2.1335905962039177</v>
      </c>
      <c r="AF7167">
        <v>1</v>
      </c>
    </row>
    <row r="7168" spans="27:32" x14ac:dyDescent="0.3">
      <c r="AA7168" s="3">
        <v>24162.52</v>
      </c>
      <c r="AB7168">
        <v>1E-4</v>
      </c>
      <c r="AC7168">
        <v>8</v>
      </c>
      <c r="AD7168" s="5">
        <v>5.1250504039705627</v>
      </c>
      <c r="AE7168" s="5">
        <v>2.2095381766515465</v>
      </c>
      <c r="AF7168">
        <v>1</v>
      </c>
    </row>
    <row r="7169" spans="27:32" x14ac:dyDescent="0.3">
      <c r="AA7169" s="3">
        <v>3218.44</v>
      </c>
      <c r="AB7169">
        <v>1E-4</v>
      </c>
      <c r="AC7169">
        <v>8</v>
      </c>
      <c r="AD7169" s="5">
        <v>4.9659499400725897</v>
      </c>
      <c r="AE7169" s="5">
        <v>2.2335931437298786</v>
      </c>
      <c r="AF7169">
        <v>1</v>
      </c>
    </row>
    <row r="7170" spans="27:32" x14ac:dyDescent="0.3">
      <c r="AA7170" s="3">
        <v>14150.05</v>
      </c>
      <c r="AB7170">
        <v>1E-4</v>
      </c>
      <c r="AC7170">
        <v>8</v>
      </c>
      <c r="AD7170" s="5">
        <v>4.9413507635158203</v>
      </c>
      <c r="AE7170" s="5">
        <v>2.1595181507691965</v>
      </c>
      <c r="AF7170">
        <v>1</v>
      </c>
    </row>
    <row r="7171" spans="27:32" x14ac:dyDescent="0.3">
      <c r="AA7171" s="3">
        <v>29898.57</v>
      </c>
      <c r="AB7171">
        <v>1E-4</v>
      </c>
      <c r="AC7171">
        <v>7</v>
      </c>
      <c r="AD7171" s="5">
        <v>5.1223014215920477</v>
      </c>
      <c r="AE7171" s="5">
        <v>2.22445669614596</v>
      </c>
      <c r="AF7171">
        <v>1</v>
      </c>
    </row>
    <row r="7172" spans="27:32" x14ac:dyDescent="0.3">
      <c r="AA7172" s="3">
        <v>-9700.4699999999993</v>
      </c>
      <c r="AB7172">
        <v>1E-4</v>
      </c>
      <c r="AC7172">
        <v>9</v>
      </c>
      <c r="AD7172" s="5">
        <v>5.0614004235891255</v>
      </c>
      <c r="AE7172" s="5">
        <v>2.1673740325812449</v>
      </c>
      <c r="AF7172">
        <v>1</v>
      </c>
    </row>
    <row r="7173" spans="27:32" x14ac:dyDescent="0.3">
      <c r="AA7173" s="3">
        <v>-1108.25</v>
      </c>
      <c r="AB7173">
        <v>1E-4</v>
      </c>
      <c r="AC7173">
        <v>9</v>
      </c>
      <c r="AD7173" s="5">
        <v>4.9797163426043953</v>
      </c>
      <c r="AE7173" s="5">
        <v>2.1581629029353588</v>
      </c>
      <c r="AF7173">
        <v>1</v>
      </c>
    </row>
    <row r="7174" spans="27:32" x14ac:dyDescent="0.3">
      <c r="AA7174" s="3">
        <v>451.7</v>
      </c>
      <c r="AB7174">
        <v>1E-4</v>
      </c>
      <c r="AC7174">
        <v>8</v>
      </c>
      <c r="AD7174" s="5">
        <v>4.9646859549378766</v>
      </c>
      <c r="AE7174" s="5">
        <v>2.1965545503867698</v>
      </c>
      <c r="AF7174">
        <v>1</v>
      </c>
    </row>
    <row r="7175" spans="27:32" x14ac:dyDescent="0.3">
      <c r="AA7175" s="3">
        <v>72.569999999999993</v>
      </c>
      <c r="AB7175">
        <v>1E-4</v>
      </c>
      <c r="AC7175">
        <v>8</v>
      </c>
      <c r="AD7175" s="5">
        <v>5.0246437750203228</v>
      </c>
      <c r="AE7175" s="5">
        <v>2.1699243176749485</v>
      </c>
      <c r="AF7175">
        <v>1</v>
      </c>
    </row>
    <row r="7176" spans="27:32" x14ac:dyDescent="0.3">
      <c r="AA7176" s="3">
        <v>27872.53</v>
      </c>
      <c r="AB7176">
        <v>1E-4</v>
      </c>
      <c r="AC7176">
        <v>8</v>
      </c>
      <c r="AD7176" s="5">
        <v>5.0637762701866169</v>
      </c>
      <c r="AE7176" s="5">
        <v>2.1787193435795804</v>
      </c>
      <c r="AF7176">
        <v>1</v>
      </c>
    </row>
    <row r="7177" spans="27:32" x14ac:dyDescent="0.3">
      <c r="AA7177" s="3">
        <v>-2051.5</v>
      </c>
      <c r="AB7177">
        <v>1E-4</v>
      </c>
      <c r="AC7177">
        <v>9</v>
      </c>
      <c r="AD7177" s="5">
        <v>4.9140717084464214</v>
      </c>
      <c r="AE7177" s="5">
        <v>2.2813400340680978</v>
      </c>
      <c r="AF7177">
        <v>1</v>
      </c>
    </row>
    <row r="7178" spans="27:32" x14ac:dyDescent="0.3">
      <c r="AA7178" s="3">
        <v>14476.41</v>
      </c>
      <c r="AB7178">
        <v>1E-4</v>
      </c>
      <c r="AC7178">
        <v>8</v>
      </c>
      <c r="AD7178" s="5">
        <v>5.033305358251714</v>
      </c>
      <c r="AE7178" s="5">
        <v>2.2304342445779168</v>
      </c>
      <c r="AF7178">
        <v>1</v>
      </c>
    </row>
    <row r="7179" spans="27:32" x14ac:dyDescent="0.3">
      <c r="AA7179" s="3">
        <v>29811.4</v>
      </c>
      <c r="AB7179">
        <v>1E-4</v>
      </c>
      <c r="AC7179">
        <v>7</v>
      </c>
      <c r="AD7179" s="5">
        <v>5.2289086874255961</v>
      </c>
      <c r="AE7179" s="5">
        <v>2.1078784263512436</v>
      </c>
      <c r="AF7179">
        <v>1</v>
      </c>
    </row>
    <row r="7180" spans="27:32" x14ac:dyDescent="0.3">
      <c r="AA7180" s="3">
        <v>15581.7</v>
      </c>
      <c r="AB7180">
        <v>1E-4</v>
      </c>
      <c r="AC7180">
        <v>8</v>
      </c>
      <c r="AD7180" s="5">
        <v>5.0822489123203063</v>
      </c>
      <c r="AE7180" s="5">
        <v>2.204459664954582</v>
      </c>
      <c r="AF7180">
        <v>1</v>
      </c>
    </row>
    <row r="7181" spans="27:32" x14ac:dyDescent="0.3">
      <c r="AA7181" s="3">
        <v>24956.2</v>
      </c>
      <c r="AB7181">
        <v>1E-4</v>
      </c>
      <c r="AC7181">
        <v>8</v>
      </c>
      <c r="AD7181" s="5">
        <v>4.9958183636476772</v>
      </c>
      <c r="AE7181" s="5">
        <v>2.1979323104677815</v>
      </c>
      <c r="AF7181">
        <v>1</v>
      </c>
    </row>
    <row r="7182" spans="27:32" x14ac:dyDescent="0.3">
      <c r="AA7182" s="3">
        <v>57170.07</v>
      </c>
      <c r="AB7182">
        <v>1E-4</v>
      </c>
      <c r="AC7182">
        <v>6</v>
      </c>
      <c r="AD7182" s="5">
        <v>5.1266782325149132</v>
      </c>
      <c r="AE7182" s="5">
        <v>2.2382827357120543</v>
      </c>
      <c r="AF7182">
        <v>1</v>
      </c>
    </row>
    <row r="7183" spans="27:32" x14ac:dyDescent="0.3">
      <c r="AA7183" s="3">
        <v>22368.19</v>
      </c>
      <c r="AB7183">
        <v>1E-4</v>
      </c>
      <c r="AC7183">
        <v>8</v>
      </c>
      <c r="AD7183" s="5">
        <v>5.010690408249733</v>
      </c>
      <c r="AE7183" s="5">
        <v>2.1659497196260142</v>
      </c>
      <c r="AF7183">
        <v>1</v>
      </c>
    </row>
    <row r="7184" spans="27:32" x14ac:dyDescent="0.3">
      <c r="AA7184" s="3">
        <v>21967.15</v>
      </c>
      <c r="AB7184">
        <v>1E-4</v>
      </c>
      <c r="AC7184">
        <v>8</v>
      </c>
      <c r="AD7184" s="5">
        <v>4.9567130447334229</v>
      </c>
      <c r="AE7184" s="5">
        <v>2.1601056268321042</v>
      </c>
      <c r="AF7184">
        <v>1</v>
      </c>
    </row>
    <row r="7185" spans="27:32" x14ac:dyDescent="0.3">
      <c r="AA7185" s="3">
        <v>13603.39</v>
      </c>
      <c r="AB7185">
        <v>1E-4</v>
      </c>
      <c r="AC7185">
        <v>8</v>
      </c>
      <c r="AD7185" s="5">
        <v>5.1421668956985238</v>
      </c>
      <c r="AE7185" s="5">
        <v>2.1433994532096605</v>
      </c>
      <c r="AF7185">
        <v>1</v>
      </c>
    </row>
    <row r="7186" spans="27:32" x14ac:dyDescent="0.3">
      <c r="AA7186" s="3">
        <v>23285.13</v>
      </c>
      <c r="AB7186">
        <v>1E-4</v>
      </c>
      <c r="AC7186">
        <v>8</v>
      </c>
      <c r="AD7186" s="5">
        <v>4.8660222319508541</v>
      </c>
      <c r="AE7186" s="5">
        <v>2.2225663846382893</v>
      </c>
      <c r="AF7186">
        <v>1</v>
      </c>
    </row>
    <row r="7187" spans="27:32" x14ac:dyDescent="0.3">
      <c r="AA7187" s="3">
        <v>-17758.650000000001</v>
      </c>
      <c r="AB7187">
        <v>1E-4</v>
      </c>
      <c r="AC7187">
        <v>9</v>
      </c>
      <c r="AD7187" s="5">
        <v>4.7721318566197226</v>
      </c>
      <c r="AE7187" s="5">
        <v>2.223660488861769</v>
      </c>
      <c r="AF7187">
        <v>1</v>
      </c>
    </row>
    <row r="7188" spans="27:32" x14ac:dyDescent="0.3">
      <c r="AA7188" s="3">
        <v>-36973.822193250526</v>
      </c>
      <c r="AB7188">
        <v>1E-4</v>
      </c>
      <c r="AC7188">
        <v>9</v>
      </c>
      <c r="AD7188" s="5">
        <v>5.0017002180204244</v>
      </c>
      <c r="AE7188" s="5">
        <v>2.2402363515546968</v>
      </c>
      <c r="AF7188">
        <v>0</v>
      </c>
    </row>
    <row r="7189" spans="27:32" x14ac:dyDescent="0.3">
      <c r="AA7189" s="3">
        <v>24106.71</v>
      </c>
      <c r="AB7189">
        <v>1E-4</v>
      </c>
      <c r="AC7189">
        <v>8</v>
      </c>
      <c r="AD7189" s="5">
        <v>5.101112450960632</v>
      </c>
      <c r="AE7189" s="5">
        <v>2.2927020961211455</v>
      </c>
      <c r="AF7189">
        <v>1</v>
      </c>
    </row>
    <row r="7190" spans="27:32" x14ac:dyDescent="0.3">
      <c r="AA7190" s="3">
        <v>403.22</v>
      </c>
      <c r="AB7190">
        <v>1E-4</v>
      </c>
      <c r="AC7190">
        <v>8</v>
      </c>
      <c r="AD7190" s="5">
        <v>4.925004303428965</v>
      </c>
      <c r="AE7190" s="5">
        <v>2.14215196035404</v>
      </c>
      <c r="AF7190">
        <v>1</v>
      </c>
    </row>
    <row r="7191" spans="27:32" x14ac:dyDescent="0.3">
      <c r="AA7191" s="3">
        <v>-3941.7</v>
      </c>
      <c r="AB7191">
        <v>1E-4</v>
      </c>
      <c r="AC7191">
        <v>9</v>
      </c>
      <c r="AD7191" s="5">
        <v>5.0057484396218674</v>
      </c>
      <c r="AE7191" s="5">
        <v>2.1944410265488861</v>
      </c>
      <c r="AF7191">
        <v>1</v>
      </c>
    </row>
    <row r="7192" spans="27:32" x14ac:dyDescent="0.3">
      <c r="AA7192" s="3">
        <v>-13893.63</v>
      </c>
      <c r="AB7192">
        <v>1E-4</v>
      </c>
      <c r="AC7192">
        <v>9</v>
      </c>
      <c r="AD7192" s="5">
        <v>4.9274855180596262</v>
      </c>
      <c r="AE7192" s="5">
        <v>2.1717647595409582</v>
      </c>
      <c r="AF7192">
        <v>1</v>
      </c>
    </row>
    <row r="7193" spans="27:32" x14ac:dyDescent="0.3">
      <c r="AA7193" s="3">
        <v>8682.64</v>
      </c>
      <c r="AB7193">
        <v>1E-4</v>
      </c>
      <c r="AC7193">
        <v>8</v>
      </c>
      <c r="AD7193" s="5">
        <v>5.0689009061080945</v>
      </c>
      <c r="AE7193" s="5">
        <v>2.163459336148605</v>
      </c>
      <c r="AF7193">
        <v>1</v>
      </c>
    </row>
    <row r="7194" spans="27:32" x14ac:dyDescent="0.3">
      <c r="AA7194" s="3">
        <v>11815.09</v>
      </c>
      <c r="AB7194">
        <v>1E-4</v>
      </c>
      <c r="AC7194">
        <v>8</v>
      </c>
      <c r="AD7194" s="5">
        <v>4.9973480797683623</v>
      </c>
      <c r="AE7194" s="5">
        <v>2.2913373581900238</v>
      </c>
      <c r="AF7194">
        <v>1</v>
      </c>
    </row>
    <row r="7195" spans="27:32" x14ac:dyDescent="0.3">
      <c r="AA7195" s="3">
        <v>6717.52</v>
      </c>
      <c r="AB7195">
        <v>1E-4</v>
      </c>
      <c r="AC7195">
        <v>8</v>
      </c>
      <c r="AD7195" s="5">
        <v>4.9691895566388471</v>
      </c>
      <c r="AE7195" s="5">
        <v>2.3011416691372775</v>
      </c>
      <c r="AF7195">
        <v>1</v>
      </c>
    </row>
    <row r="7196" spans="27:32" x14ac:dyDescent="0.3">
      <c r="AA7196" s="3">
        <v>-3246.2</v>
      </c>
      <c r="AB7196">
        <v>1E-4</v>
      </c>
      <c r="AC7196">
        <v>9</v>
      </c>
      <c r="AD7196" s="5">
        <v>5.0167446578204844</v>
      </c>
      <c r="AE7196" s="5">
        <v>2.2355340567219408</v>
      </c>
      <c r="AF7196">
        <v>1</v>
      </c>
    </row>
    <row r="7197" spans="27:32" x14ac:dyDescent="0.3">
      <c r="AA7197" s="3">
        <v>12263.5</v>
      </c>
      <c r="AB7197">
        <v>1E-4</v>
      </c>
      <c r="AC7197">
        <v>8</v>
      </c>
      <c r="AD7197" s="5">
        <v>5.0087224123030349</v>
      </c>
      <c r="AE7197" s="5">
        <v>2.172198354095527</v>
      </c>
      <c r="AF7197">
        <v>1</v>
      </c>
    </row>
    <row r="7198" spans="27:32" x14ac:dyDescent="0.3">
      <c r="AA7198" s="3">
        <v>19281.84</v>
      </c>
      <c r="AB7198">
        <v>1E-4</v>
      </c>
      <c r="AC7198">
        <v>8</v>
      </c>
      <c r="AD7198" s="5">
        <v>5.1957423182577083</v>
      </c>
      <c r="AE7198" s="5">
        <v>2.1279578091071114</v>
      </c>
      <c r="AF7198">
        <v>1</v>
      </c>
    </row>
    <row r="7199" spans="27:32" x14ac:dyDescent="0.3">
      <c r="AA7199" s="3">
        <v>10815.59</v>
      </c>
      <c r="AB7199">
        <v>1E-4</v>
      </c>
      <c r="AC7199">
        <v>8</v>
      </c>
      <c r="AD7199" s="5">
        <v>4.9123465401759487</v>
      </c>
      <c r="AE7199" s="5">
        <v>2.1508790017908455</v>
      </c>
      <c r="AF7199">
        <v>1</v>
      </c>
    </row>
    <row r="7200" spans="27:32" x14ac:dyDescent="0.3">
      <c r="AA7200" s="3">
        <v>19583.849999999999</v>
      </c>
      <c r="AB7200">
        <v>1E-4</v>
      </c>
      <c r="AC7200">
        <v>8</v>
      </c>
      <c r="AD7200" s="5">
        <v>4.9499265626275557</v>
      </c>
      <c r="AE7200" s="5">
        <v>2.156771432379057</v>
      </c>
      <c r="AF7200">
        <v>1</v>
      </c>
    </row>
    <row r="7201" spans="27:32" x14ac:dyDescent="0.3">
      <c r="AA7201" s="3">
        <v>-2177.15</v>
      </c>
      <c r="AB7201">
        <v>1E-4</v>
      </c>
      <c r="AC7201">
        <v>9</v>
      </c>
      <c r="AD7201" s="5">
        <v>5.1027109380258562</v>
      </c>
      <c r="AE7201" s="5">
        <v>2.22503853672035</v>
      </c>
      <c r="AF7201">
        <v>1</v>
      </c>
    </row>
    <row r="7202" spans="27:32" x14ac:dyDescent="0.3">
      <c r="AA7202" s="3">
        <v>-19425.72</v>
      </c>
      <c r="AB7202">
        <v>1E-4</v>
      </c>
      <c r="AC7202">
        <v>9</v>
      </c>
      <c r="AD7202" s="5">
        <v>4.9944012666510886</v>
      </c>
      <c r="AE7202" s="5">
        <v>2.2645745643516304</v>
      </c>
      <c r="AF7202">
        <v>1</v>
      </c>
    </row>
    <row r="7203" spans="27:32" x14ac:dyDescent="0.3">
      <c r="AA7203" s="3">
        <v>28920.83</v>
      </c>
      <c r="AB7203">
        <v>1E-4</v>
      </c>
      <c r="AC7203">
        <v>8</v>
      </c>
      <c r="AD7203" s="5">
        <v>5.1250676415977834</v>
      </c>
      <c r="AE7203" s="5">
        <v>2.1704584980599653</v>
      </c>
      <c r="AF7203">
        <v>1</v>
      </c>
    </row>
    <row r="7204" spans="27:32" x14ac:dyDescent="0.3">
      <c r="AA7204" s="3">
        <v>37280.74</v>
      </c>
      <c r="AB7204">
        <v>1E-4</v>
      </c>
      <c r="AC7204">
        <v>7</v>
      </c>
      <c r="AD7204" s="5">
        <v>5.0692386433599115</v>
      </c>
      <c r="AE7204" s="5">
        <v>2.1919052177964127</v>
      </c>
      <c r="AF7204">
        <v>1</v>
      </c>
    </row>
    <row r="7205" spans="27:32" x14ac:dyDescent="0.3">
      <c r="AA7205" s="3">
        <v>11550.29</v>
      </c>
      <c r="AB7205">
        <v>1E-4</v>
      </c>
      <c r="AC7205">
        <v>8</v>
      </c>
      <c r="AD7205" s="5">
        <v>5.1683639338868055</v>
      </c>
      <c r="AE7205" s="5">
        <v>2.1693905544682295</v>
      </c>
      <c r="AF7205">
        <v>1</v>
      </c>
    </row>
    <row r="7206" spans="27:32" x14ac:dyDescent="0.3">
      <c r="AA7206" s="3">
        <v>13526.34</v>
      </c>
      <c r="AB7206">
        <v>1E-4</v>
      </c>
      <c r="AC7206">
        <v>8</v>
      </c>
      <c r="AD7206" s="5">
        <v>4.8719781621579088</v>
      </c>
      <c r="AE7206" s="5">
        <v>2.1088664152531016</v>
      </c>
      <c r="AF7206">
        <v>1</v>
      </c>
    </row>
    <row r="7207" spans="27:32" x14ac:dyDescent="0.3">
      <c r="AA7207" s="3">
        <v>16713.16</v>
      </c>
      <c r="AB7207">
        <v>1E-4</v>
      </c>
      <c r="AC7207">
        <v>8</v>
      </c>
      <c r="AD7207" s="5">
        <v>5.065483251384288</v>
      </c>
      <c r="AE7207" s="5">
        <v>2.2642253644840005</v>
      </c>
      <c r="AF7207">
        <v>1</v>
      </c>
    </row>
    <row r="7208" spans="27:32" x14ac:dyDescent="0.3">
      <c r="AA7208" s="3">
        <v>15256.68</v>
      </c>
      <c r="AB7208">
        <v>1E-4</v>
      </c>
      <c r="AC7208">
        <v>8</v>
      </c>
      <c r="AD7208" s="5">
        <v>4.9561987562315561</v>
      </c>
      <c r="AE7208" s="5">
        <v>2.2417627805300682</v>
      </c>
      <c r="AF7208">
        <v>1</v>
      </c>
    </row>
    <row r="7209" spans="27:32" x14ac:dyDescent="0.3">
      <c r="AA7209" s="3">
        <v>28277.02</v>
      </c>
      <c r="AB7209">
        <v>1E-4</v>
      </c>
      <c r="AC7209">
        <v>8</v>
      </c>
      <c r="AD7209" s="5">
        <v>4.9416187916427896</v>
      </c>
      <c r="AE7209" s="5">
        <v>2.2249495500582084</v>
      </c>
      <c r="AF7209">
        <v>1</v>
      </c>
    </row>
    <row r="7210" spans="27:32" x14ac:dyDescent="0.3">
      <c r="AA7210" s="3">
        <v>29172.98</v>
      </c>
      <c r="AB7210">
        <v>1E-4</v>
      </c>
      <c r="AC7210">
        <v>8</v>
      </c>
      <c r="AD7210" s="5">
        <v>4.9557760394667563</v>
      </c>
      <c r="AE7210" s="5">
        <v>2.2442176861611127</v>
      </c>
      <c r="AF7210">
        <v>1</v>
      </c>
    </row>
    <row r="7211" spans="27:32" x14ac:dyDescent="0.3">
      <c r="AA7211" s="3">
        <v>19042.78</v>
      </c>
      <c r="AB7211">
        <v>1E-4</v>
      </c>
      <c r="AC7211">
        <v>8</v>
      </c>
      <c r="AD7211" s="5">
        <v>5.0832332071880018</v>
      </c>
      <c r="AE7211" s="5">
        <v>2.2399529417936397</v>
      </c>
      <c r="AF7211">
        <v>1</v>
      </c>
    </row>
    <row r="7212" spans="27:32" x14ac:dyDescent="0.3">
      <c r="AA7212" s="3">
        <v>25566.25</v>
      </c>
      <c r="AB7212">
        <v>1E-4</v>
      </c>
      <c r="AC7212">
        <v>8</v>
      </c>
      <c r="AD7212" s="5">
        <v>5.114785400966551</v>
      </c>
      <c r="AE7212" s="5">
        <v>2.2445785737819244</v>
      </c>
      <c r="AF7212">
        <v>1</v>
      </c>
    </row>
    <row r="7213" spans="27:32" x14ac:dyDescent="0.3">
      <c r="AA7213" s="3">
        <v>22832.62</v>
      </c>
      <c r="AB7213">
        <v>1E-4</v>
      </c>
      <c r="AC7213">
        <v>8</v>
      </c>
      <c r="AD7213" s="5">
        <v>5.0517343667585362</v>
      </c>
      <c r="AE7213" s="5">
        <v>2.1331521115034802</v>
      </c>
      <c r="AF7213">
        <v>1</v>
      </c>
    </row>
    <row r="7214" spans="27:32" x14ac:dyDescent="0.3">
      <c r="AA7214" s="3">
        <v>15479.81</v>
      </c>
      <c r="AB7214">
        <v>1E-4</v>
      </c>
      <c r="AC7214">
        <v>8</v>
      </c>
      <c r="AD7214" s="5">
        <v>4.9307174872861372</v>
      </c>
      <c r="AE7214" s="5">
        <v>2.1857024409191439</v>
      </c>
      <c r="AF7214">
        <v>1</v>
      </c>
    </row>
    <row r="7215" spans="27:32" x14ac:dyDescent="0.3">
      <c r="AA7215" s="3">
        <v>14014.1</v>
      </c>
      <c r="AB7215">
        <v>1E-4</v>
      </c>
      <c r="AC7215">
        <v>8</v>
      </c>
      <c r="AD7215" s="5">
        <v>5.0027322437794535</v>
      </c>
      <c r="AE7215" s="5">
        <v>2.1512239412074372</v>
      </c>
      <c r="AF7215">
        <v>1</v>
      </c>
    </row>
    <row r="7216" spans="27:32" x14ac:dyDescent="0.3">
      <c r="AA7216" s="3">
        <v>38806.620000000003</v>
      </c>
      <c r="AB7216">
        <v>1E-4</v>
      </c>
      <c r="AC7216">
        <v>7</v>
      </c>
      <c r="AD7216" s="5">
        <v>5.1107157092683444</v>
      </c>
      <c r="AE7216" s="5">
        <v>2.2218469159045942</v>
      </c>
      <c r="AF7216">
        <v>1</v>
      </c>
    </row>
    <row r="7217" spans="27:32" x14ac:dyDescent="0.3">
      <c r="AA7217" s="3">
        <v>-23048.23</v>
      </c>
      <c r="AB7217">
        <v>1E-4</v>
      </c>
      <c r="AC7217">
        <v>9</v>
      </c>
      <c r="AD7217" s="5">
        <v>5.0634735320516429</v>
      </c>
      <c r="AE7217" s="5">
        <v>2.2812298565995182</v>
      </c>
      <c r="AF7217">
        <v>1</v>
      </c>
    </row>
    <row r="7218" spans="27:32" x14ac:dyDescent="0.3">
      <c r="AA7218" s="3">
        <v>7960.94</v>
      </c>
      <c r="AB7218">
        <v>1E-4</v>
      </c>
      <c r="AC7218">
        <v>8</v>
      </c>
      <c r="AD7218" s="5">
        <v>4.9609677137362542</v>
      </c>
      <c r="AE7218" s="5">
        <v>2.2609754750303779</v>
      </c>
      <c r="AF7218">
        <v>1</v>
      </c>
    </row>
    <row r="7219" spans="27:32" x14ac:dyDescent="0.3">
      <c r="AA7219" s="3">
        <v>9458.6200000000008</v>
      </c>
      <c r="AB7219">
        <v>1E-4</v>
      </c>
      <c r="AC7219">
        <v>8</v>
      </c>
      <c r="AD7219" s="5">
        <v>4.9756684273625034</v>
      </c>
      <c r="AE7219" s="5">
        <v>2.2125170096992601</v>
      </c>
      <c r="AF7219">
        <v>1</v>
      </c>
    </row>
    <row r="7220" spans="27:32" x14ac:dyDescent="0.3">
      <c r="AA7220" s="3">
        <v>-40635.762363935886</v>
      </c>
      <c r="AB7220">
        <v>1E-4</v>
      </c>
      <c r="AC7220">
        <v>9</v>
      </c>
      <c r="AD7220" s="5">
        <v>4.8453178267763972</v>
      </c>
      <c r="AE7220" s="5">
        <v>2.1414020483660372</v>
      </c>
      <c r="AF7220">
        <v>0</v>
      </c>
    </row>
    <row r="7221" spans="27:32" x14ac:dyDescent="0.3">
      <c r="AA7221" s="3">
        <v>6272.67</v>
      </c>
      <c r="AB7221">
        <v>1E-4</v>
      </c>
      <c r="AC7221">
        <v>8</v>
      </c>
      <c r="AD7221" s="5">
        <v>4.9230972116231495</v>
      </c>
      <c r="AE7221" s="5">
        <v>2.1069118131570219</v>
      </c>
      <c r="AF7221">
        <v>1</v>
      </c>
    </row>
    <row r="7222" spans="27:32" x14ac:dyDescent="0.3">
      <c r="AA7222" s="3">
        <v>20645.09</v>
      </c>
      <c r="AB7222">
        <v>1E-4</v>
      </c>
      <c r="AC7222">
        <v>8</v>
      </c>
      <c r="AD7222" s="5">
        <v>5.080726703075328</v>
      </c>
      <c r="AE7222" s="5">
        <v>2.1211348576697824</v>
      </c>
      <c r="AF7222">
        <v>1</v>
      </c>
    </row>
    <row r="7223" spans="27:32" x14ac:dyDescent="0.3">
      <c r="AA7223" s="3">
        <v>32884.26</v>
      </c>
      <c r="AB7223">
        <v>1E-4</v>
      </c>
      <c r="AC7223">
        <v>7</v>
      </c>
      <c r="AD7223" s="5">
        <v>5.0347762983188709</v>
      </c>
      <c r="AE7223" s="5">
        <v>2.2308106889749633</v>
      </c>
      <c r="AF7223">
        <v>1</v>
      </c>
    </row>
    <row r="7224" spans="27:32" x14ac:dyDescent="0.3">
      <c r="AA7224" s="3">
        <v>19801.53</v>
      </c>
      <c r="AB7224">
        <v>1E-4</v>
      </c>
      <c r="AC7224">
        <v>8</v>
      </c>
      <c r="AD7224" s="5">
        <v>5.0088751423810054</v>
      </c>
      <c r="AE7224" s="5">
        <v>2.2266783480972947</v>
      </c>
      <c r="AF7224">
        <v>1</v>
      </c>
    </row>
    <row r="7225" spans="27:32" x14ac:dyDescent="0.3">
      <c r="AA7225" s="3">
        <v>15832.63</v>
      </c>
      <c r="AB7225">
        <v>1E-4</v>
      </c>
      <c r="AC7225">
        <v>8</v>
      </c>
      <c r="AD7225" s="5">
        <v>4.9725171467180527</v>
      </c>
      <c r="AE7225" s="5">
        <v>2.1725612142840163</v>
      </c>
      <c r="AF7225">
        <v>1</v>
      </c>
    </row>
    <row r="7226" spans="27:32" x14ac:dyDescent="0.3">
      <c r="AA7226" s="3">
        <v>7155.94</v>
      </c>
      <c r="AB7226">
        <v>1E-4</v>
      </c>
      <c r="AC7226">
        <v>8</v>
      </c>
      <c r="AD7226" s="5">
        <v>4.8545615885018067</v>
      </c>
      <c r="AE7226" s="5">
        <v>2.1762052936166354</v>
      </c>
      <c r="AF7226">
        <v>1</v>
      </c>
    </row>
    <row r="7227" spans="27:32" x14ac:dyDescent="0.3">
      <c r="AA7227" s="3">
        <v>21835.17</v>
      </c>
      <c r="AB7227">
        <v>1E-4</v>
      </c>
      <c r="AC7227">
        <v>8</v>
      </c>
      <c r="AD7227" s="5">
        <v>4.9869159995930801</v>
      </c>
      <c r="AE7227" s="5">
        <v>2.196603562073522</v>
      </c>
      <c r="AF7227">
        <v>1</v>
      </c>
    </row>
    <row r="7228" spans="27:32" x14ac:dyDescent="0.3">
      <c r="AA7228" s="3">
        <v>36538.89</v>
      </c>
      <c r="AB7228">
        <v>1E-4</v>
      </c>
      <c r="AC7228">
        <v>7</v>
      </c>
      <c r="AD7228" s="5">
        <v>4.9661961048052845</v>
      </c>
      <c r="AE7228" s="5">
        <v>2.2274988189320717</v>
      </c>
      <c r="AF7228">
        <v>1</v>
      </c>
    </row>
    <row r="7229" spans="27:32" x14ac:dyDescent="0.3">
      <c r="AA7229" s="3">
        <v>14875.21</v>
      </c>
      <c r="AB7229">
        <v>1E-4</v>
      </c>
      <c r="AC7229">
        <v>8</v>
      </c>
      <c r="AD7229" s="5">
        <v>4.9001703890556865</v>
      </c>
      <c r="AE7229" s="5">
        <v>2.175196827148107</v>
      </c>
      <c r="AF7229">
        <v>1</v>
      </c>
    </row>
    <row r="7230" spans="27:32" x14ac:dyDescent="0.3">
      <c r="AA7230" s="3">
        <v>19855.939999999999</v>
      </c>
      <c r="AB7230">
        <v>1E-4</v>
      </c>
      <c r="AC7230">
        <v>8</v>
      </c>
      <c r="AD7230" s="5">
        <v>4.9971908843905792</v>
      </c>
      <c r="AE7230" s="5">
        <v>2.2453959878326653</v>
      </c>
      <c r="AF7230">
        <v>1</v>
      </c>
    </row>
    <row r="7231" spans="27:32" x14ac:dyDescent="0.3">
      <c r="AA7231" s="3">
        <v>21468.47</v>
      </c>
      <c r="AB7231">
        <v>1E-4</v>
      </c>
      <c r="AC7231">
        <v>8</v>
      </c>
      <c r="AD7231" s="5">
        <v>5.0151242669287734</v>
      </c>
      <c r="AE7231" s="5">
        <v>2.0968337899539131</v>
      </c>
      <c r="AF7231">
        <v>1</v>
      </c>
    </row>
    <row r="7232" spans="27:32" x14ac:dyDescent="0.3">
      <c r="AA7232" s="3">
        <v>8239.1200000000008</v>
      </c>
      <c r="AB7232">
        <v>1E-4</v>
      </c>
      <c r="AC7232">
        <v>8</v>
      </c>
      <c r="AD7232" s="5">
        <v>5.0132065920867257</v>
      </c>
      <c r="AE7232" s="5">
        <v>2.2423553827795391</v>
      </c>
      <c r="AF7232">
        <v>1</v>
      </c>
    </row>
    <row r="7233" spans="27:32" x14ac:dyDescent="0.3">
      <c r="AA7233" s="3">
        <v>2578.63</v>
      </c>
      <c r="AB7233">
        <v>1E-4</v>
      </c>
      <c r="AC7233">
        <v>8</v>
      </c>
      <c r="AD7233" s="5">
        <v>4.9728980678552857</v>
      </c>
      <c r="AE7233" s="5">
        <v>2.1897621469948247</v>
      </c>
      <c r="AF7233">
        <v>1</v>
      </c>
    </row>
    <row r="7234" spans="27:32" x14ac:dyDescent="0.3">
      <c r="AA7234" s="3">
        <v>23152.03</v>
      </c>
      <c r="AB7234">
        <v>1E-4</v>
      </c>
      <c r="AC7234">
        <v>8</v>
      </c>
      <c r="AD7234" s="5">
        <v>5.2127749822385656</v>
      </c>
      <c r="AE7234" s="5">
        <v>2.1040541021676815</v>
      </c>
      <c r="AF7234">
        <v>1</v>
      </c>
    </row>
    <row r="7235" spans="27:32" x14ac:dyDescent="0.3">
      <c r="AA7235" s="3">
        <v>-2624.13</v>
      </c>
      <c r="AB7235">
        <v>1E-4</v>
      </c>
      <c r="AC7235">
        <v>9</v>
      </c>
      <c r="AD7235" s="5">
        <v>5.0329914402661604</v>
      </c>
      <c r="AE7235" s="5">
        <v>2.1933211211466266</v>
      </c>
      <c r="AF7235">
        <v>1</v>
      </c>
    </row>
    <row r="7236" spans="27:32" x14ac:dyDescent="0.3">
      <c r="AA7236" s="3">
        <v>42277.39</v>
      </c>
      <c r="AB7236">
        <v>1E-4</v>
      </c>
      <c r="AC7236">
        <v>7</v>
      </c>
      <c r="AD7236" s="5">
        <v>4.998476610766299</v>
      </c>
      <c r="AE7236" s="5">
        <v>2.2493875253544706</v>
      </c>
      <c r="AF7236">
        <v>1</v>
      </c>
    </row>
    <row r="7237" spans="27:32" x14ac:dyDescent="0.3">
      <c r="AA7237" s="3">
        <v>9189.35</v>
      </c>
      <c r="AB7237">
        <v>1E-4</v>
      </c>
      <c r="AC7237">
        <v>8</v>
      </c>
      <c r="AD7237" s="5">
        <v>4.9550745447203965</v>
      </c>
      <c r="AE7237" s="5">
        <v>2.0810643603142078</v>
      </c>
      <c r="AF7237">
        <v>1</v>
      </c>
    </row>
    <row r="7238" spans="27:32" x14ac:dyDescent="0.3">
      <c r="AA7238" s="3">
        <v>14471.95</v>
      </c>
      <c r="AB7238">
        <v>1E-4</v>
      </c>
      <c r="AC7238">
        <v>8</v>
      </c>
      <c r="AD7238" s="5">
        <v>5.1124290304782578</v>
      </c>
      <c r="AE7238" s="5">
        <v>2.273328407362039</v>
      </c>
      <c r="AF7238">
        <v>1</v>
      </c>
    </row>
    <row r="7239" spans="27:32" x14ac:dyDescent="0.3">
      <c r="AA7239" s="3">
        <v>13862.36</v>
      </c>
      <c r="AB7239">
        <v>1E-4</v>
      </c>
      <c r="AC7239">
        <v>8</v>
      </c>
      <c r="AD7239" s="5">
        <v>4.9596041342089263</v>
      </c>
      <c r="AE7239" s="5">
        <v>2.1647459088702177</v>
      </c>
      <c r="AF7239">
        <v>1</v>
      </c>
    </row>
    <row r="7240" spans="27:32" x14ac:dyDescent="0.3">
      <c r="AA7240" s="3">
        <v>20599.07</v>
      </c>
      <c r="AB7240">
        <v>1E-4</v>
      </c>
      <c r="AC7240">
        <v>8</v>
      </c>
      <c r="AD7240" s="5">
        <v>4.9821853974871546</v>
      </c>
      <c r="AE7240" s="5">
        <v>2.2120696421067914</v>
      </c>
      <c r="AF7240">
        <v>1</v>
      </c>
    </row>
    <row r="7241" spans="27:32" x14ac:dyDescent="0.3">
      <c r="AA7241" s="3">
        <v>15778.76</v>
      </c>
      <c r="AB7241">
        <v>1E-4</v>
      </c>
      <c r="AC7241">
        <v>8</v>
      </c>
      <c r="AD7241" s="5">
        <v>5.0132603162877576</v>
      </c>
      <c r="AE7241" s="5">
        <v>2.165714236635949</v>
      </c>
      <c r="AF7241">
        <v>1</v>
      </c>
    </row>
    <row r="7242" spans="27:32" x14ac:dyDescent="0.3">
      <c r="AA7242" s="3">
        <v>20452.330000000002</v>
      </c>
      <c r="AB7242">
        <v>1E-4</v>
      </c>
      <c r="AC7242">
        <v>8</v>
      </c>
      <c r="AD7242" s="5">
        <v>4.8558710391136817</v>
      </c>
      <c r="AE7242" s="5">
        <v>2.2528227634446356</v>
      </c>
      <c r="AF7242">
        <v>1</v>
      </c>
    </row>
    <row r="7243" spans="27:32" x14ac:dyDescent="0.3">
      <c r="AA7243" s="3">
        <v>8484.27</v>
      </c>
      <c r="AB7243">
        <v>1E-4</v>
      </c>
      <c r="AC7243">
        <v>8</v>
      </c>
      <c r="AD7243" s="5">
        <v>4.9698740896272513</v>
      </c>
      <c r="AE7243" s="5">
        <v>2.2077432393596004</v>
      </c>
      <c r="AF7243">
        <v>1</v>
      </c>
    </row>
    <row r="7244" spans="27:32" x14ac:dyDescent="0.3">
      <c r="AA7244" s="3">
        <v>11313.08</v>
      </c>
      <c r="AB7244">
        <v>1E-4</v>
      </c>
      <c r="AC7244">
        <v>8</v>
      </c>
      <c r="AD7244" s="5">
        <v>5.021896543256843</v>
      </c>
      <c r="AE7244" s="5">
        <v>2.2091816681219965</v>
      </c>
      <c r="AF7244">
        <v>1</v>
      </c>
    </row>
    <row r="7245" spans="27:32" x14ac:dyDescent="0.3">
      <c r="AA7245" s="3">
        <v>31950.41</v>
      </c>
      <c r="AB7245">
        <v>1E-4</v>
      </c>
      <c r="AC7245">
        <v>7</v>
      </c>
      <c r="AD7245" s="5">
        <v>4.9902217247461014</v>
      </c>
      <c r="AE7245" s="5">
        <v>2.2427875886037949</v>
      </c>
      <c r="AF7245">
        <v>1</v>
      </c>
    </row>
    <row r="7246" spans="27:32" x14ac:dyDescent="0.3">
      <c r="AA7246" s="3">
        <v>-4545.96</v>
      </c>
      <c r="AB7246">
        <v>1E-4</v>
      </c>
      <c r="AC7246">
        <v>9</v>
      </c>
      <c r="AD7246" s="5">
        <v>4.8973537285606845</v>
      </c>
      <c r="AE7246" s="5">
        <v>2.2516631935944753</v>
      </c>
      <c r="AF7246">
        <v>1</v>
      </c>
    </row>
    <row r="7247" spans="27:32" x14ac:dyDescent="0.3">
      <c r="AA7247" s="3">
        <v>14177.28</v>
      </c>
      <c r="AB7247">
        <v>1E-4</v>
      </c>
      <c r="AC7247">
        <v>8</v>
      </c>
      <c r="AD7247" s="5">
        <v>5.2354722835650929</v>
      </c>
      <c r="AE7247" s="5">
        <v>2.1580587404060783</v>
      </c>
      <c r="AF7247">
        <v>1</v>
      </c>
    </row>
    <row r="7248" spans="27:32" x14ac:dyDescent="0.3">
      <c r="AA7248" s="3">
        <v>-30534.07</v>
      </c>
      <c r="AB7248">
        <v>1E-4</v>
      </c>
      <c r="AC7248">
        <v>9</v>
      </c>
      <c r="AD7248" s="5">
        <v>5.0443642466986027</v>
      </c>
      <c r="AE7248" s="5">
        <v>2.1920031107612852</v>
      </c>
      <c r="AF7248">
        <v>1</v>
      </c>
    </row>
    <row r="7249" spans="27:32" x14ac:dyDescent="0.3">
      <c r="AA7249" s="3">
        <v>5084.58</v>
      </c>
      <c r="AB7249">
        <v>1E-4</v>
      </c>
      <c r="AC7249">
        <v>8</v>
      </c>
      <c r="AD7249" s="5">
        <v>4.9892081767771614</v>
      </c>
      <c r="AE7249" s="5">
        <v>2.2423566236984382</v>
      </c>
      <c r="AF7249">
        <v>1</v>
      </c>
    </row>
    <row r="7250" spans="27:32" x14ac:dyDescent="0.3">
      <c r="AA7250" s="3">
        <v>12061.76</v>
      </c>
      <c r="AB7250">
        <v>1E-4</v>
      </c>
      <c r="AC7250">
        <v>8</v>
      </c>
      <c r="AD7250" s="5">
        <v>4.9354432084460642</v>
      </c>
      <c r="AE7250" s="5">
        <v>2.210184051762849</v>
      </c>
      <c r="AF7250">
        <v>1</v>
      </c>
    </row>
    <row r="7251" spans="27:32" x14ac:dyDescent="0.3">
      <c r="AA7251" s="3">
        <v>-13412.29</v>
      </c>
      <c r="AB7251">
        <v>1E-4</v>
      </c>
      <c r="AC7251">
        <v>9</v>
      </c>
      <c r="AD7251" s="5">
        <v>4.9532818192846317</v>
      </c>
      <c r="AE7251" s="5">
        <v>2.2415807206944307</v>
      </c>
      <c r="AF7251">
        <v>1</v>
      </c>
    </row>
    <row r="7252" spans="27:32" x14ac:dyDescent="0.3">
      <c r="AA7252" s="3">
        <v>25259.97</v>
      </c>
      <c r="AB7252">
        <v>1E-4</v>
      </c>
      <c r="AC7252">
        <v>8</v>
      </c>
      <c r="AD7252" s="5">
        <v>5.1483130353494779</v>
      </c>
      <c r="AE7252" s="5">
        <v>2.1339100430308515</v>
      </c>
      <c r="AF7252">
        <v>1</v>
      </c>
    </row>
    <row r="7253" spans="27:32" x14ac:dyDescent="0.3">
      <c r="AA7253" s="3">
        <v>14080.06</v>
      </c>
      <c r="AB7253">
        <v>1E-4</v>
      </c>
      <c r="AC7253">
        <v>8</v>
      </c>
      <c r="AD7253" s="5">
        <v>4.9308734132972667</v>
      </c>
      <c r="AE7253" s="5">
        <v>2.2434524865281245</v>
      </c>
      <c r="AF7253">
        <v>1</v>
      </c>
    </row>
    <row r="7254" spans="27:32" x14ac:dyDescent="0.3">
      <c r="AA7254" s="3">
        <v>-1435.69</v>
      </c>
      <c r="AB7254">
        <v>1E-4</v>
      </c>
      <c r="AC7254">
        <v>9</v>
      </c>
      <c r="AD7254" s="5">
        <v>4.9533496500021892</v>
      </c>
      <c r="AE7254" s="5">
        <v>2.1617497620255461</v>
      </c>
      <c r="AF7254">
        <v>1</v>
      </c>
    </row>
    <row r="7255" spans="27:32" x14ac:dyDescent="0.3">
      <c r="AA7255" s="3">
        <v>44523.040000000001</v>
      </c>
      <c r="AB7255">
        <v>1E-4</v>
      </c>
      <c r="AC7255">
        <v>7</v>
      </c>
      <c r="AD7255" s="5">
        <v>4.9604868059538676</v>
      </c>
      <c r="AE7255" s="5">
        <v>2.1127946037684433</v>
      </c>
      <c r="AF7255">
        <v>1</v>
      </c>
    </row>
    <row r="7256" spans="27:32" x14ac:dyDescent="0.3">
      <c r="AA7256" s="3">
        <v>-21932.86</v>
      </c>
      <c r="AB7256">
        <v>1E-4</v>
      </c>
      <c r="AC7256">
        <v>9</v>
      </c>
      <c r="AD7256" s="5">
        <v>4.8229440201140221</v>
      </c>
      <c r="AE7256" s="5">
        <v>2.2121579944145626</v>
      </c>
      <c r="AF7256">
        <v>1</v>
      </c>
    </row>
    <row r="7257" spans="27:32" x14ac:dyDescent="0.3">
      <c r="AA7257" s="3">
        <v>-18193.3</v>
      </c>
      <c r="AB7257">
        <v>1E-4</v>
      </c>
      <c r="AC7257">
        <v>9</v>
      </c>
      <c r="AD7257" s="5">
        <v>4.8825526652906239</v>
      </c>
      <c r="AE7257" s="5">
        <v>2.2037735280590169</v>
      </c>
      <c r="AF7257">
        <v>1</v>
      </c>
    </row>
    <row r="7258" spans="27:32" x14ac:dyDescent="0.3">
      <c r="AA7258" s="3">
        <v>428.02</v>
      </c>
      <c r="AB7258">
        <v>1E-4</v>
      </c>
      <c r="AC7258">
        <v>8</v>
      </c>
      <c r="AD7258" s="5">
        <v>5.0508987289258211</v>
      </c>
      <c r="AE7258" s="5">
        <v>2.2556289109176837</v>
      </c>
      <c r="AF7258">
        <v>1</v>
      </c>
    </row>
    <row r="7259" spans="27:32" x14ac:dyDescent="0.3">
      <c r="AA7259" s="3">
        <v>3423.01</v>
      </c>
      <c r="AB7259">
        <v>1E-4</v>
      </c>
      <c r="AC7259">
        <v>8</v>
      </c>
      <c r="AD7259" s="5">
        <v>4.9555196114361539</v>
      </c>
      <c r="AE7259" s="5">
        <v>2.1298285006636437</v>
      </c>
      <c r="AF7259">
        <v>1</v>
      </c>
    </row>
    <row r="7260" spans="27:32" x14ac:dyDescent="0.3">
      <c r="AA7260" s="3">
        <v>17981.060000000001</v>
      </c>
      <c r="AB7260">
        <v>1E-4</v>
      </c>
      <c r="AC7260">
        <v>8</v>
      </c>
      <c r="AD7260" s="5">
        <v>5.1094453890602161</v>
      </c>
      <c r="AE7260" s="5">
        <v>2.1994958903093855</v>
      </c>
      <c r="AF7260">
        <v>1</v>
      </c>
    </row>
    <row r="7261" spans="27:32" x14ac:dyDescent="0.3">
      <c r="AA7261" s="3">
        <v>10755.84</v>
      </c>
      <c r="AB7261">
        <v>1E-4</v>
      </c>
      <c r="AC7261">
        <v>8</v>
      </c>
      <c r="AD7261" s="5">
        <v>5.2012866670622371</v>
      </c>
      <c r="AE7261" s="5">
        <v>2.3311394984829632</v>
      </c>
      <c r="AF7261">
        <v>1</v>
      </c>
    </row>
    <row r="7262" spans="27:32" x14ac:dyDescent="0.3">
      <c r="AA7262" s="3">
        <v>13790.21</v>
      </c>
      <c r="AB7262">
        <v>1E-4</v>
      </c>
      <c r="AC7262">
        <v>8</v>
      </c>
      <c r="AD7262" s="5">
        <v>4.93721294992302</v>
      </c>
      <c r="AE7262" s="5">
        <v>2.20507499670593</v>
      </c>
      <c r="AF7262">
        <v>1</v>
      </c>
    </row>
    <row r="7263" spans="27:32" x14ac:dyDescent="0.3">
      <c r="AA7263" s="3">
        <v>-2215.08</v>
      </c>
      <c r="AB7263">
        <v>1E-4</v>
      </c>
      <c r="AC7263">
        <v>9</v>
      </c>
      <c r="AD7263" s="5">
        <v>4.9661234836869079</v>
      </c>
      <c r="AE7263" s="5">
        <v>2.2085309174363612</v>
      </c>
      <c r="AF7263">
        <v>1</v>
      </c>
    </row>
    <row r="7264" spans="27:32" x14ac:dyDescent="0.3">
      <c r="AA7264" s="3">
        <v>11032.33</v>
      </c>
      <c r="AB7264">
        <v>1E-4</v>
      </c>
      <c r="AC7264">
        <v>8</v>
      </c>
      <c r="AD7264" s="5">
        <v>5.0499098339063222</v>
      </c>
      <c r="AE7264" s="5">
        <v>2.298513005768906</v>
      </c>
      <c r="AF7264">
        <v>1</v>
      </c>
    </row>
    <row r="7265" spans="27:32" x14ac:dyDescent="0.3">
      <c r="AA7265" s="3">
        <v>19852.82</v>
      </c>
      <c r="AB7265">
        <v>1E-4</v>
      </c>
      <c r="AC7265">
        <v>8</v>
      </c>
      <c r="AD7265" s="5">
        <v>5.0466738871797832</v>
      </c>
      <c r="AE7265" s="5">
        <v>2.1635386377397081</v>
      </c>
      <c r="AF7265">
        <v>1</v>
      </c>
    </row>
    <row r="7266" spans="27:32" x14ac:dyDescent="0.3">
      <c r="AA7266" s="3">
        <v>25318.71</v>
      </c>
      <c r="AB7266">
        <v>1E-4</v>
      </c>
      <c r="AC7266">
        <v>8</v>
      </c>
      <c r="AD7266" s="5">
        <v>5.1180726760088202</v>
      </c>
      <c r="AE7266" s="5">
        <v>2.2057883465331796</v>
      </c>
      <c r="AF7266">
        <v>1</v>
      </c>
    </row>
    <row r="7267" spans="27:32" x14ac:dyDescent="0.3">
      <c r="AA7267" s="3">
        <v>11632.28</v>
      </c>
      <c r="AB7267">
        <v>1E-4</v>
      </c>
      <c r="AC7267">
        <v>8</v>
      </c>
      <c r="AD7267" s="5">
        <v>4.959341571550735</v>
      </c>
      <c r="AE7267" s="5">
        <v>2.255959736992923</v>
      </c>
      <c r="AF7267">
        <v>1</v>
      </c>
    </row>
    <row r="7268" spans="27:32" x14ac:dyDescent="0.3">
      <c r="AA7268" s="3">
        <v>20729.189999999999</v>
      </c>
      <c r="AB7268">
        <v>1E-4</v>
      </c>
      <c r="AC7268">
        <v>8</v>
      </c>
      <c r="AD7268" s="5">
        <v>4.9328381036531406</v>
      </c>
      <c r="AE7268" s="5">
        <v>2.1459170503252727</v>
      </c>
      <c r="AF7268">
        <v>1</v>
      </c>
    </row>
    <row r="7269" spans="27:32" x14ac:dyDescent="0.3">
      <c r="AA7269" s="3">
        <v>18668.77</v>
      </c>
      <c r="AB7269">
        <v>1E-4</v>
      </c>
      <c r="AC7269">
        <v>8</v>
      </c>
      <c r="AD7269" s="5">
        <v>5.0833261534338945</v>
      </c>
      <c r="AE7269" s="5">
        <v>2.2215673005213725</v>
      </c>
      <c r="AF7269">
        <v>1</v>
      </c>
    </row>
    <row r="7270" spans="27:32" x14ac:dyDescent="0.3">
      <c r="AA7270" s="3">
        <v>18898.66</v>
      </c>
      <c r="AB7270">
        <v>1E-4</v>
      </c>
      <c r="AC7270">
        <v>8</v>
      </c>
      <c r="AD7270" s="5">
        <v>4.9320806433307212</v>
      </c>
      <c r="AE7270" s="5">
        <v>2.2640460319450488</v>
      </c>
      <c r="AF7270">
        <v>1</v>
      </c>
    </row>
    <row r="7271" spans="27:32" x14ac:dyDescent="0.3">
      <c r="AA7271" s="3">
        <v>44937.99</v>
      </c>
      <c r="AB7271">
        <v>1E-4</v>
      </c>
      <c r="AC7271">
        <v>7</v>
      </c>
      <c r="AD7271" s="5">
        <v>4.9050863477495712</v>
      </c>
      <c r="AE7271" s="5">
        <v>2.157621091464959</v>
      </c>
      <c r="AF7271">
        <v>1</v>
      </c>
    </row>
    <row r="7272" spans="27:32" x14ac:dyDescent="0.3">
      <c r="AA7272" s="3">
        <v>8440.5499999999993</v>
      </c>
      <c r="AB7272">
        <v>1E-4</v>
      </c>
      <c r="AC7272">
        <v>8</v>
      </c>
      <c r="AD7272" s="5">
        <v>5.0406871353256397</v>
      </c>
      <c r="AE7272" s="5">
        <v>2.1583590869775753</v>
      </c>
      <c r="AF7272">
        <v>1</v>
      </c>
    </row>
    <row r="7273" spans="27:32" x14ac:dyDescent="0.3">
      <c r="AA7273" s="3">
        <v>18209.55</v>
      </c>
      <c r="AB7273">
        <v>1E-4</v>
      </c>
      <c r="AC7273">
        <v>8</v>
      </c>
      <c r="AD7273" s="5">
        <v>4.9066148220940891</v>
      </c>
      <c r="AE7273" s="5">
        <v>2.2206233637448642</v>
      </c>
      <c r="AF7273">
        <v>1</v>
      </c>
    </row>
    <row r="7274" spans="27:32" x14ac:dyDescent="0.3">
      <c r="AA7274" s="3">
        <v>7123.97</v>
      </c>
      <c r="AB7274">
        <v>1E-4</v>
      </c>
      <c r="AC7274">
        <v>8</v>
      </c>
      <c r="AD7274" s="5">
        <v>5.0927326507350834</v>
      </c>
      <c r="AE7274" s="5">
        <v>2.2356070511441066</v>
      </c>
      <c r="AF7274">
        <v>1</v>
      </c>
    </row>
    <row r="7275" spans="27:32" x14ac:dyDescent="0.3">
      <c r="AA7275" s="3">
        <v>-15732.29</v>
      </c>
      <c r="AB7275">
        <v>1E-4</v>
      </c>
      <c r="AC7275">
        <v>9</v>
      </c>
      <c r="AD7275" s="5">
        <v>4.875976049719938</v>
      </c>
      <c r="AE7275" s="5">
        <v>2.2549071488120864</v>
      </c>
      <c r="AF7275">
        <v>1</v>
      </c>
    </row>
    <row r="7276" spans="27:32" x14ac:dyDescent="0.3">
      <c r="AA7276" s="3">
        <v>1263.7</v>
      </c>
      <c r="AB7276">
        <v>1E-4</v>
      </c>
      <c r="AC7276">
        <v>8</v>
      </c>
      <c r="AD7276" s="5">
        <v>4.9959030952686891</v>
      </c>
      <c r="AE7276" s="5">
        <v>2.1509586945522199</v>
      </c>
      <c r="AF7276">
        <v>1</v>
      </c>
    </row>
    <row r="7277" spans="27:32" x14ac:dyDescent="0.3">
      <c r="AA7277" s="3">
        <v>14643.03</v>
      </c>
      <c r="AB7277">
        <v>1E-4</v>
      </c>
      <c r="AC7277">
        <v>8</v>
      </c>
      <c r="AD7277" s="5">
        <v>4.9730202999074438</v>
      </c>
      <c r="AE7277" s="5">
        <v>2.2593077106050874</v>
      </c>
      <c r="AF7277">
        <v>1</v>
      </c>
    </row>
    <row r="7278" spans="27:32" x14ac:dyDescent="0.3">
      <c r="AA7278" s="3">
        <v>3691.6</v>
      </c>
      <c r="AB7278">
        <v>1E-4</v>
      </c>
      <c r="AC7278">
        <v>8</v>
      </c>
      <c r="AD7278" s="5">
        <v>4.890092506935483</v>
      </c>
      <c r="AE7278" s="5">
        <v>2.2631645234478497</v>
      </c>
      <c r="AF7278">
        <v>1</v>
      </c>
    </row>
    <row r="7279" spans="27:32" x14ac:dyDescent="0.3">
      <c r="AA7279" s="3">
        <v>15007.68</v>
      </c>
      <c r="AB7279">
        <v>1E-4</v>
      </c>
      <c r="AC7279">
        <v>8</v>
      </c>
      <c r="AD7279" s="5">
        <v>5.1169857854377438</v>
      </c>
      <c r="AE7279" s="5">
        <v>2.1833715806984193</v>
      </c>
      <c r="AF7279">
        <v>1</v>
      </c>
    </row>
    <row r="7280" spans="27:32" x14ac:dyDescent="0.3">
      <c r="AA7280" s="3">
        <v>25187.93</v>
      </c>
      <c r="AB7280">
        <v>1E-4</v>
      </c>
      <c r="AC7280">
        <v>8</v>
      </c>
      <c r="AD7280" s="5">
        <v>4.960617674770071</v>
      </c>
      <c r="AE7280" s="5">
        <v>2.2233755660482672</v>
      </c>
      <c r="AF7280">
        <v>1</v>
      </c>
    </row>
    <row r="7281" spans="27:32" x14ac:dyDescent="0.3">
      <c r="AA7281" s="3">
        <v>31285.279999999999</v>
      </c>
      <c r="AB7281">
        <v>1E-4</v>
      </c>
      <c r="AC7281">
        <v>7</v>
      </c>
      <c r="AD7281" s="5">
        <v>4.9081475294413748</v>
      </c>
      <c r="AE7281" s="5">
        <v>2.2040269756924888</v>
      </c>
      <c r="AF7281">
        <v>1</v>
      </c>
    </row>
    <row r="7282" spans="27:32" x14ac:dyDescent="0.3">
      <c r="AA7282" s="3">
        <v>31207.59</v>
      </c>
      <c r="AB7282">
        <v>1E-4</v>
      </c>
      <c r="AC7282">
        <v>7</v>
      </c>
      <c r="AD7282" s="5">
        <v>4.9428871975043931</v>
      </c>
      <c r="AE7282" s="5">
        <v>2.1572971889874144</v>
      </c>
      <c r="AF7282">
        <v>1</v>
      </c>
    </row>
    <row r="7283" spans="27:32" x14ac:dyDescent="0.3">
      <c r="AA7283" s="3">
        <v>39539.75</v>
      </c>
      <c r="AB7283">
        <v>1E-4</v>
      </c>
      <c r="AC7283">
        <v>7</v>
      </c>
      <c r="AD7283" s="5">
        <v>5.2088228807961681</v>
      </c>
      <c r="AE7283" s="5">
        <v>2.2055529771053743</v>
      </c>
      <c r="AF7283">
        <v>1</v>
      </c>
    </row>
    <row r="7284" spans="27:32" x14ac:dyDescent="0.3">
      <c r="AA7284" s="3">
        <v>26105.71</v>
      </c>
      <c r="AB7284">
        <v>1E-4</v>
      </c>
      <c r="AC7284">
        <v>8</v>
      </c>
      <c r="AD7284" s="5">
        <v>5.1274021352639156</v>
      </c>
      <c r="AE7284" s="5">
        <v>2.1742170230382336</v>
      </c>
      <c r="AF7284">
        <v>1</v>
      </c>
    </row>
    <row r="7285" spans="27:32" x14ac:dyDescent="0.3">
      <c r="AA7285" s="3">
        <v>-3106.89</v>
      </c>
      <c r="AB7285">
        <v>1E-4</v>
      </c>
      <c r="AC7285">
        <v>9</v>
      </c>
      <c r="AD7285" s="5">
        <v>5.093230354278715</v>
      </c>
      <c r="AE7285" s="5">
        <v>2.2092698117554348</v>
      </c>
      <c r="AF7285">
        <v>1</v>
      </c>
    </row>
    <row r="7286" spans="27:32" x14ac:dyDescent="0.3">
      <c r="AA7286" s="3">
        <v>8439.6299999999992</v>
      </c>
      <c r="AB7286">
        <v>1E-4</v>
      </c>
      <c r="AC7286">
        <v>8</v>
      </c>
      <c r="AD7286" s="5">
        <v>4.8273296841652691</v>
      </c>
      <c r="AE7286" s="5">
        <v>2.208951797877595</v>
      </c>
      <c r="AF7286">
        <v>1</v>
      </c>
    </row>
    <row r="7287" spans="27:32" x14ac:dyDescent="0.3">
      <c r="AA7287" s="3">
        <v>41850.33</v>
      </c>
      <c r="AB7287">
        <v>1E-4</v>
      </c>
      <c r="AC7287">
        <v>7</v>
      </c>
      <c r="AD7287" s="5">
        <v>5.068399004032373</v>
      </c>
      <c r="AE7287" s="5">
        <v>2.203145174779813</v>
      </c>
      <c r="AF7287">
        <v>1</v>
      </c>
    </row>
    <row r="7288" spans="27:32" x14ac:dyDescent="0.3">
      <c r="AA7288" s="3">
        <v>8582.76</v>
      </c>
      <c r="AB7288">
        <v>1E-4</v>
      </c>
      <c r="AC7288">
        <v>8</v>
      </c>
      <c r="AD7288" s="5">
        <v>4.9716106027768889</v>
      </c>
      <c r="AE7288" s="5">
        <v>2.244222559291448</v>
      </c>
      <c r="AF7288">
        <v>1</v>
      </c>
    </row>
    <row r="7289" spans="27:32" x14ac:dyDescent="0.3">
      <c r="AA7289" s="3">
        <v>13966.58</v>
      </c>
      <c r="AB7289">
        <v>1E-4</v>
      </c>
      <c r="AC7289">
        <v>8</v>
      </c>
      <c r="AD7289" s="5">
        <v>4.9102493853223983</v>
      </c>
      <c r="AE7289" s="5">
        <v>2.2634257619249749</v>
      </c>
      <c r="AF7289">
        <v>1</v>
      </c>
    </row>
    <row r="7290" spans="27:32" x14ac:dyDescent="0.3">
      <c r="AA7290" s="3">
        <v>-21528.48</v>
      </c>
      <c r="AB7290">
        <v>1E-4</v>
      </c>
      <c r="AC7290">
        <v>9</v>
      </c>
      <c r="AD7290" s="5">
        <v>4.8894730642834903</v>
      </c>
      <c r="AE7290" s="5">
        <v>2.1469138715347951</v>
      </c>
      <c r="AF7290">
        <v>1</v>
      </c>
    </row>
    <row r="7291" spans="27:32" x14ac:dyDescent="0.3">
      <c r="AA7291" s="3">
        <v>16461.91</v>
      </c>
      <c r="AB7291">
        <v>1E-4</v>
      </c>
      <c r="AC7291">
        <v>8</v>
      </c>
      <c r="AD7291" s="5">
        <v>4.9525692304795434</v>
      </c>
      <c r="AE7291" s="5">
        <v>2.257664095278368</v>
      </c>
      <c r="AF7291">
        <v>1</v>
      </c>
    </row>
    <row r="7292" spans="27:32" x14ac:dyDescent="0.3">
      <c r="AA7292" s="3">
        <v>13440.26</v>
      </c>
      <c r="AB7292">
        <v>1E-4</v>
      </c>
      <c r="AC7292">
        <v>8</v>
      </c>
      <c r="AD7292" s="5">
        <v>4.9725739708536398</v>
      </c>
      <c r="AE7292" s="5">
        <v>2.1716879111616163</v>
      </c>
      <c r="AF7292">
        <v>1</v>
      </c>
    </row>
    <row r="7293" spans="27:32" x14ac:dyDescent="0.3">
      <c r="AA7293" s="3">
        <v>25046.13</v>
      </c>
      <c r="AB7293">
        <v>1E-4</v>
      </c>
      <c r="AC7293">
        <v>8</v>
      </c>
      <c r="AD7293" s="5">
        <v>4.9645567055095174</v>
      </c>
      <c r="AE7293" s="5">
        <v>2.1229813487905127</v>
      </c>
      <c r="AF7293">
        <v>1</v>
      </c>
    </row>
    <row r="7294" spans="27:32" x14ac:dyDescent="0.3">
      <c r="AA7294" s="3">
        <v>30476.61</v>
      </c>
      <c r="AB7294">
        <v>1E-4</v>
      </c>
      <c r="AC7294">
        <v>7</v>
      </c>
      <c r="AD7294" s="5">
        <v>4.9262800380469116</v>
      </c>
      <c r="AE7294" s="5">
        <v>2.1943518296929621</v>
      </c>
      <c r="AF7294">
        <v>1</v>
      </c>
    </row>
    <row r="7295" spans="27:32" x14ac:dyDescent="0.3">
      <c r="AA7295" s="3">
        <v>17979.77</v>
      </c>
      <c r="AB7295">
        <v>1E-4</v>
      </c>
      <c r="AC7295">
        <v>8</v>
      </c>
      <c r="AD7295" s="5">
        <v>5.0448635970149951</v>
      </c>
      <c r="AE7295" s="5">
        <v>2.2302122247543994</v>
      </c>
      <c r="AF7295">
        <v>1</v>
      </c>
    </row>
    <row r="7296" spans="27:32" x14ac:dyDescent="0.3">
      <c r="AA7296" s="3">
        <v>13132.4</v>
      </c>
      <c r="AB7296">
        <v>1E-4</v>
      </c>
      <c r="AC7296">
        <v>8</v>
      </c>
      <c r="AD7296" s="5">
        <v>5.0384309547979704</v>
      </c>
      <c r="AE7296" s="5">
        <v>2.2002408945063645</v>
      </c>
      <c r="AF7296">
        <v>1</v>
      </c>
    </row>
    <row r="7297" spans="27:32" x14ac:dyDescent="0.3">
      <c r="AA7297" s="3">
        <v>-2001.04</v>
      </c>
      <c r="AB7297">
        <v>1E-4</v>
      </c>
      <c r="AC7297">
        <v>9</v>
      </c>
      <c r="AD7297" s="5">
        <v>4.9436602772087763</v>
      </c>
      <c r="AE7297" s="5">
        <v>2.235207840678036</v>
      </c>
      <c r="AF7297">
        <v>1</v>
      </c>
    </row>
    <row r="7298" spans="27:32" x14ac:dyDescent="0.3">
      <c r="AA7298" s="3">
        <v>3104.14</v>
      </c>
      <c r="AB7298">
        <v>1E-4</v>
      </c>
      <c r="AC7298">
        <v>8</v>
      </c>
      <c r="AD7298" s="5">
        <v>4.8826192081080944</v>
      </c>
      <c r="AE7298" s="5">
        <v>2.2584752642992081</v>
      </c>
      <c r="AF7298">
        <v>1</v>
      </c>
    </row>
    <row r="7299" spans="27:32" x14ac:dyDescent="0.3">
      <c r="AA7299" s="3">
        <v>38009.19</v>
      </c>
      <c r="AB7299">
        <v>1E-4</v>
      </c>
      <c r="AC7299">
        <v>7</v>
      </c>
      <c r="AD7299" s="5">
        <v>4.9791917996508737</v>
      </c>
      <c r="AE7299" s="5">
        <v>2.1266023971581931</v>
      </c>
      <c r="AF7299">
        <v>1</v>
      </c>
    </row>
    <row r="7300" spans="27:32" x14ac:dyDescent="0.3">
      <c r="AA7300" s="3">
        <v>15573.89</v>
      </c>
      <c r="AB7300">
        <v>1E-4</v>
      </c>
      <c r="AC7300">
        <v>8</v>
      </c>
      <c r="AD7300" s="5">
        <v>4.9577263751228653</v>
      </c>
      <c r="AE7300" s="5">
        <v>2.2597998255886123</v>
      </c>
      <c r="AF7300">
        <v>1</v>
      </c>
    </row>
    <row r="7301" spans="27:32" x14ac:dyDescent="0.3">
      <c r="AA7301" s="3">
        <v>28245.53</v>
      </c>
      <c r="AB7301">
        <v>1E-4</v>
      </c>
      <c r="AC7301">
        <v>8</v>
      </c>
      <c r="AD7301" s="5">
        <v>4.9027138497525753</v>
      </c>
      <c r="AE7301" s="5">
        <v>2.2288403825787095</v>
      </c>
      <c r="AF7301">
        <v>1</v>
      </c>
    </row>
    <row r="7302" spans="27:32" x14ac:dyDescent="0.3">
      <c r="AA7302" s="3">
        <v>25256.59</v>
      </c>
      <c r="AB7302">
        <v>1E-4</v>
      </c>
      <c r="AC7302">
        <v>8</v>
      </c>
      <c r="AD7302" s="5">
        <v>5.146117533051779</v>
      </c>
      <c r="AE7302" s="5">
        <v>2.1796805519213498</v>
      </c>
      <c r="AF7302">
        <v>1</v>
      </c>
    </row>
    <row r="7303" spans="27:32" x14ac:dyDescent="0.3">
      <c r="AA7303" s="3">
        <v>20069.02</v>
      </c>
      <c r="AB7303">
        <v>1E-4</v>
      </c>
      <c r="AC7303">
        <v>8</v>
      </c>
      <c r="AD7303" s="5">
        <v>5.069326642017363</v>
      </c>
      <c r="AE7303" s="5">
        <v>2.1511353060837854</v>
      </c>
      <c r="AF7303">
        <v>1</v>
      </c>
    </row>
    <row r="7304" spans="27:32" x14ac:dyDescent="0.3">
      <c r="AA7304" s="3">
        <v>10596.56</v>
      </c>
      <c r="AB7304">
        <v>1E-4</v>
      </c>
      <c r="AC7304">
        <v>8</v>
      </c>
      <c r="AD7304" s="5">
        <v>5.019340331106724</v>
      </c>
      <c r="AE7304" s="5">
        <v>2.2975669287963978</v>
      </c>
      <c r="AF7304">
        <v>1</v>
      </c>
    </row>
    <row r="7305" spans="27:32" x14ac:dyDescent="0.3">
      <c r="AA7305" s="3">
        <v>-2774.61</v>
      </c>
      <c r="AB7305">
        <v>1E-4</v>
      </c>
      <c r="AC7305">
        <v>9</v>
      </c>
      <c r="AD7305" s="5">
        <v>4.9697074677973534</v>
      </c>
      <c r="AE7305" s="5">
        <v>2.1749182962595923</v>
      </c>
      <c r="AF7305">
        <v>1</v>
      </c>
    </row>
    <row r="7306" spans="27:32" x14ac:dyDescent="0.3">
      <c r="AA7306" s="3">
        <v>37631.599999999999</v>
      </c>
      <c r="AB7306">
        <v>1E-4</v>
      </c>
      <c r="AC7306">
        <v>7</v>
      </c>
      <c r="AD7306" s="5">
        <v>4.9070287758595024</v>
      </c>
      <c r="AE7306" s="5">
        <v>2.1933368850992716</v>
      </c>
      <c r="AF7306">
        <v>1</v>
      </c>
    </row>
    <row r="7307" spans="27:32" x14ac:dyDescent="0.3">
      <c r="AA7307" s="3">
        <v>3070.89</v>
      </c>
      <c r="AB7307">
        <v>1E-4</v>
      </c>
      <c r="AC7307">
        <v>8</v>
      </c>
      <c r="AD7307" s="5">
        <v>4.9546368732693349</v>
      </c>
      <c r="AE7307" s="5">
        <v>2.2104902271219631</v>
      </c>
      <c r="AF7307">
        <v>1</v>
      </c>
    </row>
    <row r="7308" spans="27:32" x14ac:dyDescent="0.3">
      <c r="AA7308" s="3">
        <v>1672.59</v>
      </c>
      <c r="AB7308">
        <v>1E-4</v>
      </c>
      <c r="AC7308">
        <v>8</v>
      </c>
      <c r="AD7308" s="5">
        <v>4.9699193892679157</v>
      </c>
      <c r="AE7308" s="5">
        <v>2.1689253646555597</v>
      </c>
      <c r="AF7308">
        <v>1</v>
      </c>
    </row>
    <row r="7309" spans="27:32" x14ac:dyDescent="0.3">
      <c r="AA7309" s="3">
        <v>25768.22</v>
      </c>
      <c r="AB7309">
        <v>1E-4</v>
      </c>
      <c r="AC7309">
        <v>8</v>
      </c>
      <c r="AD7309" s="5">
        <v>4.9561860901799655</v>
      </c>
      <c r="AE7309" s="5">
        <v>2.1945739025686346</v>
      </c>
      <c r="AF7309">
        <v>1</v>
      </c>
    </row>
    <row r="7310" spans="27:32" x14ac:dyDescent="0.3">
      <c r="AA7310" s="3">
        <v>-631.77500853334459</v>
      </c>
      <c r="AB7310">
        <v>1E-4</v>
      </c>
      <c r="AC7310">
        <v>8</v>
      </c>
      <c r="AD7310" s="5">
        <v>4.9455913003819996</v>
      </c>
      <c r="AE7310" s="5">
        <v>2.2084175590967576</v>
      </c>
      <c r="AF7310">
        <v>0</v>
      </c>
    </row>
    <row r="7311" spans="27:32" x14ac:dyDescent="0.3">
      <c r="AA7311" s="3">
        <v>17098.53</v>
      </c>
      <c r="AB7311">
        <v>1E-4</v>
      </c>
      <c r="AC7311">
        <v>8</v>
      </c>
      <c r="AD7311" s="5">
        <v>5.0452116343309168</v>
      </c>
      <c r="AE7311" s="5">
        <v>2.1499953671703476</v>
      </c>
      <c r="AF7311">
        <v>1</v>
      </c>
    </row>
    <row r="7312" spans="27:32" x14ac:dyDescent="0.3">
      <c r="AA7312" s="3">
        <v>2272.4</v>
      </c>
      <c r="AB7312">
        <v>1E-4</v>
      </c>
      <c r="AC7312">
        <v>8</v>
      </c>
      <c r="AD7312" s="5">
        <v>4.9189556205181812</v>
      </c>
      <c r="AE7312" s="5">
        <v>2.2320863444988883</v>
      </c>
      <c r="AF7312">
        <v>1</v>
      </c>
    </row>
    <row r="7313" spans="27:32" x14ac:dyDescent="0.3">
      <c r="AA7313" s="3">
        <v>21849.24</v>
      </c>
      <c r="AB7313">
        <v>1E-4</v>
      </c>
      <c r="AC7313">
        <v>8</v>
      </c>
      <c r="AD7313" s="5">
        <v>5.0053975478460684</v>
      </c>
      <c r="AE7313" s="5">
        <v>2.2003129910234267</v>
      </c>
      <c r="AF7313">
        <v>1</v>
      </c>
    </row>
    <row r="7314" spans="27:32" x14ac:dyDescent="0.3">
      <c r="AA7314" s="3">
        <v>30557.07</v>
      </c>
      <c r="AB7314">
        <v>1E-4</v>
      </c>
      <c r="AC7314">
        <v>8</v>
      </c>
      <c r="AD7314" s="5">
        <v>5.0795584073437894</v>
      </c>
      <c r="AE7314" s="5">
        <v>2.1499968586595637</v>
      </c>
      <c r="AF7314">
        <v>1</v>
      </c>
    </row>
    <row r="7315" spans="27:32" x14ac:dyDescent="0.3">
      <c r="AA7315" s="3">
        <v>-558.09</v>
      </c>
      <c r="AB7315">
        <v>1E-4</v>
      </c>
      <c r="AC7315">
        <v>9</v>
      </c>
      <c r="AD7315" s="5">
        <v>5.0900008938932917</v>
      </c>
      <c r="AE7315" s="5">
        <v>2.2034429034780927</v>
      </c>
      <c r="AF7315">
        <v>1</v>
      </c>
    </row>
    <row r="7316" spans="27:32" x14ac:dyDescent="0.3">
      <c r="AA7316" s="3">
        <v>6688.38</v>
      </c>
      <c r="AB7316">
        <v>1E-4</v>
      </c>
      <c r="AC7316">
        <v>8</v>
      </c>
      <c r="AD7316" s="5">
        <v>5.0022681423972557</v>
      </c>
      <c r="AE7316" s="5">
        <v>2.1424028415536012</v>
      </c>
      <c r="AF7316">
        <v>1</v>
      </c>
    </row>
    <row r="7317" spans="27:32" x14ac:dyDescent="0.3">
      <c r="AA7317" s="3">
        <v>18846.810000000001</v>
      </c>
      <c r="AB7317">
        <v>1E-4</v>
      </c>
      <c r="AC7317">
        <v>8</v>
      </c>
      <c r="AD7317" s="5">
        <v>5.0485366961368694</v>
      </c>
      <c r="AE7317" s="5">
        <v>2.2035041678267238</v>
      </c>
      <c r="AF7317">
        <v>1</v>
      </c>
    </row>
    <row r="7318" spans="27:32" x14ac:dyDescent="0.3">
      <c r="AA7318" s="3">
        <v>41392.080000000002</v>
      </c>
      <c r="AB7318">
        <v>1E-4</v>
      </c>
      <c r="AC7318">
        <v>7</v>
      </c>
      <c r="AD7318" s="5">
        <v>4.8370069341040791</v>
      </c>
      <c r="AE7318" s="5">
        <v>2.1610908924233323</v>
      </c>
      <c r="AF7318">
        <v>1</v>
      </c>
    </row>
    <row r="7319" spans="27:32" x14ac:dyDescent="0.3">
      <c r="AA7319" s="3">
        <v>9119.49</v>
      </c>
      <c r="AB7319">
        <v>1E-4</v>
      </c>
      <c r="AC7319">
        <v>8</v>
      </c>
      <c r="AD7319" s="5">
        <v>4.9266705296893365</v>
      </c>
      <c r="AE7319" s="5">
        <v>2.2474567001832999</v>
      </c>
      <c r="AF7319">
        <v>1</v>
      </c>
    </row>
    <row r="7320" spans="27:32" x14ac:dyDescent="0.3">
      <c r="AA7320" s="3">
        <v>18798.54</v>
      </c>
      <c r="AB7320">
        <v>1E-4</v>
      </c>
      <c r="AC7320">
        <v>8</v>
      </c>
      <c r="AD7320" s="5">
        <v>4.9351459772739199</v>
      </c>
      <c r="AE7320" s="5">
        <v>2.2470280733543664</v>
      </c>
      <c r="AF7320">
        <v>1</v>
      </c>
    </row>
    <row r="7321" spans="27:32" x14ac:dyDescent="0.3">
      <c r="AA7321" s="3">
        <v>31651.46</v>
      </c>
      <c r="AB7321">
        <v>1E-4</v>
      </c>
      <c r="AC7321">
        <v>7</v>
      </c>
      <c r="AD7321" s="5">
        <v>5.0243433436896376</v>
      </c>
      <c r="AE7321" s="5">
        <v>2.2135472482295757</v>
      </c>
      <c r="AF7321">
        <v>1</v>
      </c>
    </row>
    <row r="7322" spans="27:32" x14ac:dyDescent="0.3">
      <c r="AA7322" s="3">
        <v>15772.38</v>
      </c>
      <c r="AB7322">
        <v>1E-4</v>
      </c>
      <c r="AC7322">
        <v>8</v>
      </c>
      <c r="AD7322" s="5">
        <v>4.985822001368394</v>
      </c>
      <c r="AE7322" s="5">
        <v>2.1295210122778285</v>
      </c>
      <c r="AF7322">
        <v>1</v>
      </c>
    </row>
    <row r="7323" spans="27:32" x14ac:dyDescent="0.3">
      <c r="AA7323" s="3">
        <v>-9072.7999999999993</v>
      </c>
      <c r="AB7323">
        <v>1E-4</v>
      </c>
      <c r="AC7323">
        <v>9</v>
      </c>
      <c r="AD7323" s="5">
        <v>4.9723937183021798</v>
      </c>
      <c r="AE7323" s="5">
        <v>2.2699458556395689</v>
      </c>
      <c r="AF7323">
        <v>1</v>
      </c>
    </row>
    <row r="7324" spans="27:32" x14ac:dyDescent="0.3">
      <c r="AA7324" s="3">
        <v>25915.39</v>
      </c>
      <c r="AB7324">
        <v>1E-4</v>
      </c>
      <c r="AC7324">
        <v>8</v>
      </c>
      <c r="AD7324" s="5">
        <v>5.084730255820169</v>
      </c>
      <c r="AE7324" s="5">
        <v>2.2084850057370335</v>
      </c>
      <c r="AF7324">
        <v>1</v>
      </c>
    </row>
    <row r="7325" spans="27:32" x14ac:dyDescent="0.3">
      <c r="AA7325" s="3">
        <v>17611.810000000001</v>
      </c>
      <c r="AB7325">
        <v>1E-4</v>
      </c>
      <c r="AC7325">
        <v>8</v>
      </c>
      <c r="AD7325" s="5">
        <v>5.0480401137440305</v>
      </c>
      <c r="AE7325" s="5">
        <v>2.1562715573219196</v>
      </c>
      <c r="AF7325">
        <v>1</v>
      </c>
    </row>
    <row r="7326" spans="27:32" x14ac:dyDescent="0.3">
      <c r="AA7326" s="3">
        <v>30013.21</v>
      </c>
      <c r="AB7326">
        <v>1E-4</v>
      </c>
      <c r="AC7326">
        <v>8</v>
      </c>
      <c r="AD7326" s="5">
        <v>5.2126485875478625</v>
      </c>
      <c r="AE7326" s="5">
        <v>2.1546378464409015</v>
      </c>
      <c r="AF7326">
        <v>1</v>
      </c>
    </row>
    <row r="7327" spans="27:32" x14ac:dyDescent="0.3">
      <c r="AA7327" s="3">
        <v>34431.480000000003</v>
      </c>
      <c r="AB7327">
        <v>1E-4</v>
      </c>
      <c r="AC7327">
        <v>7</v>
      </c>
      <c r="AD7327" s="5">
        <v>5.0894532012703033</v>
      </c>
      <c r="AE7327" s="5">
        <v>2.1407024065649423</v>
      </c>
      <c r="AF7327">
        <v>1</v>
      </c>
    </row>
    <row r="7328" spans="27:32" x14ac:dyDescent="0.3">
      <c r="AA7328" s="3">
        <v>47124.639999999999</v>
      </c>
      <c r="AB7328">
        <v>1E-4</v>
      </c>
      <c r="AC7328">
        <v>6</v>
      </c>
      <c r="AD7328" s="5">
        <v>5.1359244387336158</v>
      </c>
      <c r="AE7328" s="5">
        <v>2.1223863625277439</v>
      </c>
      <c r="AF7328">
        <v>1</v>
      </c>
    </row>
    <row r="7329" spans="27:32" x14ac:dyDescent="0.3">
      <c r="AA7329" s="3">
        <v>27836.639999999999</v>
      </c>
      <c r="AB7329">
        <v>1E-4</v>
      </c>
      <c r="AC7329">
        <v>8</v>
      </c>
      <c r="AD7329" s="5">
        <v>4.9510734639374574</v>
      </c>
      <c r="AE7329" s="5">
        <v>2.2232258980339061</v>
      </c>
      <c r="AF7329">
        <v>1</v>
      </c>
    </row>
    <row r="7330" spans="27:32" x14ac:dyDescent="0.3">
      <c r="AA7330" s="3">
        <v>28401.14</v>
      </c>
      <c r="AB7330">
        <v>1E-4</v>
      </c>
      <c r="AC7330">
        <v>8</v>
      </c>
      <c r="AD7330" s="5">
        <v>5.0883754805035624</v>
      </c>
      <c r="AE7330" s="5">
        <v>2.2453397578765584</v>
      </c>
      <c r="AF7330">
        <v>1</v>
      </c>
    </row>
    <row r="7331" spans="27:32" x14ac:dyDescent="0.3">
      <c r="AA7331" s="3">
        <v>43352.07</v>
      </c>
      <c r="AB7331">
        <v>1E-4</v>
      </c>
      <c r="AC7331">
        <v>7</v>
      </c>
      <c r="AD7331" s="5">
        <v>5.0634549398737096</v>
      </c>
      <c r="AE7331" s="5">
        <v>2.1737669532539088</v>
      </c>
      <c r="AF7331">
        <v>1</v>
      </c>
    </row>
    <row r="7332" spans="27:32" x14ac:dyDescent="0.3">
      <c r="AA7332" s="3">
        <v>21791.58</v>
      </c>
      <c r="AB7332">
        <v>1E-4</v>
      </c>
      <c r="AC7332">
        <v>8</v>
      </c>
      <c r="AD7332" s="5">
        <v>5.1218914276770793</v>
      </c>
      <c r="AE7332" s="5">
        <v>2.2853318431984158</v>
      </c>
      <c r="AF7332">
        <v>1</v>
      </c>
    </row>
    <row r="7333" spans="27:32" x14ac:dyDescent="0.3">
      <c r="AA7333" s="3">
        <v>-4188.42</v>
      </c>
      <c r="AB7333">
        <v>1E-4</v>
      </c>
      <c r="AC7333">
        <v>9</v>
      </c>
      <c r="AD7333" s="5">
        <v>4.8668630567998719</v>
      </c>
      <c r="AE7333" s="5">
        <v>2.238046696106534</v>
      </c>
      <c r="AF7333">
        <v>1</v>
      </c>
    </row>
    <row r="7334" spans="27:32" x14ac:dyDescent="0.3">
      <c r="AA7334" s="3">
        <v>-19753.740000000002</v>
      </c>
      <c r="AB7334">
        <v>1E-4</v>
      </c>
      <c r="AC7334">
        <v>9</v>
      </c>
      <c r="AD7334" s="5">
        <v>4.9242889016762961</v>
      </c>
      <c r="AE7334" s="5">
        <v>2.2552200677336813</v>
      </c>
      <c r="AF7334">
        <v>1</v>
      </c>
    </row>
    <row r="7335" spans="27:32" x14ac:dyDescent="0.3">
      <c r="AA7335" s="3">
        <v>-5012.91</v>
      </c>
      <c r="AB7335">
        <v>1E-4</v>
      </c>
      <c r="AC7335">
        <v>9</v>
      </c>
      <c r="AD7335" s="5">
        <v>4.9190224949519319</v>
      </c>
      <c r="AE7335" s="5">
        <v>2.2723059833834056</v>
      </c>
      <c r="AF7335">
        <v>1</v>
      </c>
    </row>
    <row r="7336" spans="27:32" x14ac:dyDescent="0.3">
      <c r="AA7336" s="3">
        <v>30873.14</v>
      </c>
      <c r="AB7336">
        <v>1E-4</v>
      </c>
      <c r="AC7336">
        <v>7</v>
      </c>
      <c r="AD7336" s="5">
        <v>4.9986082146186765</v>
      </c>
      <c r="AE7336" s="5">
        <v>2.2149615140562555</v>
      </c>
      <c r="AF7336">
        <v>1</v>
      </c>
    </row>
    <row r="7337" spans="27:32" x14ac:dyDescent="0.3">
      <c r="AA7337" s="3">
        <v>6107.07</v>
      </c>
      <c r="AB7337">
        <v>1E-4</v>
      </c>
      <c r="AC7337">
        <v>8</v>
      </c>
      <c r="AD7337" s="5">
        <v>5.1669959169407003</v>
      </c>
      <c r="AE7337" s="5">
        <v>2.2412982531919967</v>
      </c>
      <c r="AF7337">
        <v>1</v>
      </c>
    </row>
    <row r="7338" spans="27:32" x14ac:dyDescent="0.3">
      <c r="AA7338" s="3">
        <v>27498.15</v>
      </c>
      <c r="AB7338">
        <v>1E-4</v>
      </c>
      <c r="AC7338">
        <v>8</v>
      </c>
      <c r="AD7338" s="5">
        <v>4.9806137869753204</v>
      </c>
      <c r="AE7338" s="5">
        <v>2.1949346592861421</v>
      </c>
      <c r="AF7338">
        <v>1</v>
      </c>
    </row>
    <row r="7339" spans="27:32" x14ac:dyDescent="0.3">
      <c r="AA7339" s="3">
        <v>34880.18</v>
      </c>
      <c r="AB7339">
        <v>1E-4</v>
      </c>
      <c r="AC7339">
        <v>7</v>
      </c>
      <c r="AD7339" s="5">
        <v>5.1803284686606803</v>
      </c>
      <c r="AE7339" s="5">
        <v>2.1756939329450424</v>
      </c>
      <c r="AF7339">
        <v>1</v>
      </c>
    </row>
    <row r="7340" spans="27:32" x14ac:dyDescent="0.3">
      <c r="AA7340" s="3">
        <v>32380.15</v>
      </c>
      <c r="AB7340">
        <v>1E-4</v>
      </c>
      <c r="AC7340">
        <v>7</v>
      </c>
      <c r="AD7340" s="5">
        <v>4.9836874307135544</v>
      </c>
      <c r="AE7340" s="5">
        <v>2.1005016187517187</v>
      </c>
      <c r="AF7340">
        <v>1</v>
      </c>
    </row>
    <row r="7341" spans="27:32" x14ac:dyDescent="0.3">
      <c r="AA7341" s="3">
        <v>-17337.78</v>
      </c>
      <c r="AB7341">
        <v>1E-4</v>
      </c>
      <c r="AC7341">
        <v>9</v>
      </c>
      <c r="AD7341" s="5">
        <v>4.9685362307639052</v>
      </c>
      <c r="AE7341" s="5">
        <v>2.1492640695067378</v>
      </c>
      <c r="AF7341">
        <v>1</v>
      </c>
    </row>
    <row r="7342" spans="27:32" x14ac:dyDescent="0.3">
      <c r="AA7342" s="3">
        <v>16424.16</v>
      </c>
      <c r="AB7342">
        <v>1E-4</v>
      </c>
      <c r="AC7342">
        <v>8</v>
      </c>
      <c r="AD7342" s="5">
        <v>5.0301354939811356</v>
      </c>
      <c r="AE7342" s="5">
        <v>2.2751898000596942</v>
      </c>
      <c r="AF7342">
        <v>1</v>
      </c>
    </row>
    <row r="7343" spans="27:32" x14ac:dyDescent="0.3">
      <c r="AA7343" s="3">
        <v>20780.18</v>
      </c>
      <c r="AB7343">
        <v>1E-4</v>
      </c>
      <c r="AC7343">
        <v>8</v>
      </c>
      <c r="AD7343" s="5">
        <v>5.0543682848596809</v>
      </c>
      <c r="AE7343" s="5">
        <v>2.1585310501928152</v>
      </c>
      <c r="AF7343">
        <v>1</v>
      </c>
    </row>
    <row r="7344" spans="27:32" x14ac:dyDescent="0.3">
      <c r="AA7344" s="3">
        <v>461.39</v>
      </c>
      <c r="AB7344">
        <v>1E-4</v>
      </c>
      <c r="AC7344">
        <v>8</v>
      </c>
      <c r="AD7344" s="5">
        <v>5.0756045527209279</v>
      </c>
      <c r="AE7344" s="5">
        <v>2.1855634087499149</v>
      </c>
      <c r="AF7344">
        <v>1</v>
      </c>
    </row>
    <row r="7345" spans="27:32" x14ac:dyDescent="0.3">
      <c r="AA7345" s="3">
        <v>56093.73</v>
      </c>
      <c r="AB7345">
        <v>1E-4</v>
      </c>
      <c r="AC7345">
        <v>6</v>
      </c>
      <c r="AD7345" s="5">
        <v>5.0802855862232796</v>
      </c>
      <c r="AE7345" s="5">
        <v>2.1271023930900381</v>
      </c>
      <c r="AF7345">
        <v>1</v>
      </c>
    </row>
    <row r="7346" spans="27:32" x14ac:dyDescent="0.3">
      <c r="AA7346" s="3">
        <v>34887.57</v>
      </c>
      <c r="AB7346">
        <v>1E-4</v>
      </c>
      <c r="AC7346">
        <v>7</v>
      </c>
      <c r="AD7346" s="5">
        <v>4.9615197414129684</v>
      </c>
      <c r="AE7346" s="5">
        <v>2.2236563941275014</v>
      </c>
      <c r="AF7346">
        <v>1</v>
      </c>
    </row>
    <row r="7347" spans="27:32" x14ac:dyDescent="0.3">
      <c r="AA7347" s="3">
        <v>-23019.25</v>
      </c>
      <c r="AB7347">
        <v>1E-4</v>
      </c>
      <c r="AC7347">
        <v>9</v>
      </c>
      <c r="AD7347" s="5">
        <v>4.935364627696682</v>
      </c>
      <c r="AE7347" s="5">
        <v>2.2891350874506622</v>
      </c>
      <c r="AF7347">
        <v>1</v>
      </c>
    </row>
    <row r="7348" spans="27:32" x14ac:dyDescent="0.3">
      <c r="AA7348" s="3">
        <v>13000.1</v>
      </c>
      <c r="AB7348">
        <v>1E-4</v>
      </c>
      <c r="AC7348">
        <v>8</v>
      </c>
      <c r="AD7348" s="5">
        <v>4.7641182334522387</v>
      </c>
      <c r="AE7348" s="5">
        <v>2.1972739003166493</v>
      </c>
      <c r="AF7348">
        <v>1</v>
      </c>
    </row>
    <row r="7349" spans="27:32" x14ac:dyDescent="0.3">
      <c r="AA7349" s="3">
        <v>38148.44</v>
      </c>
      <c r="AB7349">
        <v>1E-4</v>
      </c>
      <c r="AC7349">
        <v>7</v>
      </c>
      <c r="AD7349" s="5">
        <v>5.0212223365733744</v>
      </c>
      <c r="AE7349" s="5">
        <v>2.1665585508703433</v>
      </c>
      <c r="AF7349">
        <v>1</v>
      </c>
    </row>
    <row r="7350" spans="27:32" x14ac:dyDescent="0.3">
      <c r="AA7350" s="3">
        <v>-1511.5</v>
      </c>
      <c r="AB7350">
        <v>1E-4</v>
      </c>
      <c r="AC7350">
        <v>9</v>
      </c>
      <c r="AD7350" s="5">
        <v>5.0381950177106907</v>
      </c>
      <c r="AE7350" s="5">
        <v>2.2238902635016742</v>
      </c>
      <c r="AF7350">
        <v>1</v>
      </c>
    </row>
    <row r="7351" spans="27:32" x14ac:dyDescent="0.3">
      <c r="AA7351" s="3">
        <v>47342.239999999998</v>
      </c>
      <c r="AB7351">
        <v>1E-4</v>
      </c>
      <c r="AC7351">
        <v>7</v>
      </c>
      <c r="AD7351" s="5">
        <v>5.0558385757910678</v>
      </c>
      <c r="AE7351" s="5">
        <v>2.1273716496792594</v>
      </c>
      <c r="AF7351">
        <v>1</v>
      </c>
    </row>
    <row r="7352" spans="27:32" x14ac:dyDescent="0.3">
      <c r="AA7352" s="3">
        <v>796.12</v>
      </c>
      <c r="AB7352">
        <v>1E-4</v>
      </c>
      <c r="AC7352">
        <v>8</v>
      </c>
      <c r="AD7352" s="5">
        <v>4.9545321496682249</v>
      </c>
      <c r="AE7352" s="5">
        <v>2.182929297993824</v>
      </c>
      <c r="AF7352">
        <v>1</v>
      </c>
    </row>
    <row r="7353" spans="27:32" x14ac:dyDescent="0.3">
      <c r="AA7353" s="3">
        <v>3884.34</v>
      </c>
      <c r="AB7353">
        <v>1E-4</v>
      </c>
      <c r="AC7353">
        <v>8</v>
      </c>
      <c r="AD7353" s="5">
        <v>4.8824534490299598</v>
      </c>
      <c r="AE7353" s="5">
        <v>2.1996059497854556</v>
      </c>
      <c r="AF7353">
        <v>1</v>
      </c>
    </row>
    <row r="7354" spans="27:32" x14ac:dyDescent="0.3">
      <c r="AA7354" s="3">
        <v>36549.230000000003</v>
      </c>
      <c r="AB7354">
        <v>1E-4</v>
      </c>
      <c r="AC7354">
        <v>7</v>
      </c>
      <c r="AD7354" s="5">
        <v>4.8903658453564782</v>
      </c>
      <c r="AE7354" s="5">
        <v>2.2678420647562909</v>
      </c>
      <c r="AF7354">
        <v>1</v>
      </c>
    </row>
    <row r="7355" spans="27:32" x14ac:dyDescent="0.3">
      <c r="AA7355" s="3">
        <v>43828.480000000003</v>
      </c>
      <c r="AB7355">
        <v>1E-4</v>
      </c>
      <c r="AC7355">
        <v>7</v>
      </c>
      <c r="AD7355" s="5">
        <v>5.1211193564616417</v>
      </c>
      <c r="AE7355" s="5">
        <v>2.177031055990672</v>
      </c>
      <c r="AF7355">
        <v>1</v>
      </c>
    </row>
    <row r="7356" spans="27:32" x14ac:dyDescent="0.3">
      <c r="AA7356" s="3">
        <v>2200.0700000000002</v>
      </c>
      <c r="AB7356">
        <v>1E-4</v>
      </c>
      <c r="AC7356">
        <v>8</v>
      </c>
      <c r="AD7356" s="5">
        <v>4.9936652579057741</v>
      </c>
      <c r="AE7356" s="5">
        <v>2.1743021663355964</v>
      </c>
      <c r="AF7356">
        <v>1</v>
      </c>
    </row>
    <row r="7357" spans="27:32" x14ac:dyDescent="0.3">
      <c r="AA7357" s="3">
        <v>52989.46</v>
      </c>
      <c r="AB7357">
        <v>1E-4</v>
      </c>
      <c r="AC7357">
        <v>6</v>
      </c>
      <c r="AD7357" s="5">
        <v>4.9491003346174809</v>
      </c>
      <c r="AE7357" s="5">
        <v>2.0971143096887017</v>
      </c>
      <c r="AF7357">
        <v>1</v>
      </c>
    </row>
    <row r="7358" spans="27:32" x14ac:dyDescent="0.3">
      <c r="AA7358" s="3">
        <v>5817.72</v>
      </c>
      <c r="AB7358">
        <v>1E-4</v>
      </c>
      <c r="AC7358">
        <v>8</v>
      </c>
      <c r="AD7358" s="5">
        <v>5.1973822062819508</v>
      </c>
      <c r="AE7358" s="5">
        <v>2.2705486302475175</v>
      </c>
      <c r="AF7358">
        <v>1</v>
      </c>
    </row>
    <row r="7359" spans="27:32" x14ac:dyDescent="0.3">
      <c r="AA7359" s="3">
        <v>-23613.51</v>
      </c>
      <c r="AB7359">
        <v>1E-4</v>
      </c>
      <c r="AC7359">
        <v>9</v>
      </c>
      <c r="AD7359" s="5">
        <v>4.975406579552458</v>
      </c>
      <c r="AE7359" s="5">
        <v>2.2975061568149839</v>
      </c>
      <c r="AF7359">
        <v>1</v>
      </c>
    </row>
    <row r="7360" spans="27:32" x14ac:dyDescent="0.3">
      <c r="AA7360" s="3">
        <v>20863.8</v>
      </c>
      <c r="AB7360">
        <v>1E-4</v>
      </c>
      <c r="AC7360">
        <v>8</v>
      </c>
      <c r="AD7360" s="5">
        <v>5.0469133003275672</v>
      </c>
      <c r="AE7360" s="5">
        <v>2.147945973904295</v>
      </c>
      <c r="AF7360">
        <v>1</v>
      </c>
    </row>
    <row r="7361" spans="27:32" x14ac:dyDescent="0.3">
      <c r="AA7361" s="3">
        <v>40657.17</v>
      </c>
      <c r="AB7361">
        <v>1E-4</v>
      </c>
      <c r="AC7361">
        <v>7</v>
      </c>
      <c r="AD7361" s="5">
        <v>5.2117546316502814</v>
      </c>
      <c r="AE7361" s="5">
        <v>2.1942922600304491</v>
      </c>
      <c r="AF7361">
        <v>1</v>
      </c>
    </row>
    <row r="7362" spans="27:32" x14ac:dyDescent="0.3">
      <c r="AA7362" s="3">
        <v>9181.92</v>
      </c>
      <c r="AB7362">
        <v>1E-4</v>
      </c>
      <c r="AC7362">
        <v>8</v>
      </c>
      <c r="AD7362" s="5">
        <v>5.1213149508066094</v>
      </c>
      <c r="AE7362" s="5">
        <v>2.1869741394277136</v>
      </c>
      <c r="AF7362">
        <v>1</v>
      </c>
    </row>
    <row r="7363" spans="27:32" x14ac:dyDescent="0.3">
      <c r="AA7363" s="3">
        <v>-19693.490000000002</v>
      </c>
      <c r="AB7363">
        <v>1E-4</v>
      </c>
      <c r="AC7363">
        <v>9</v>
      </c>
      <c r="AD7363" s="5">
        <v>5.0445221499543917</v>
      </c>
      <c r="AE7363" s="5">
        <v>2.2023391728574033</v>
      </c>
      <c r="AF7363">
        <v>1</v>
      </c>
    </row>
    <row r="7364" spans="27:32" x14ac:dyDescent="0.3">
      <c r="AA7364" s="3">
        <v>-2236.25</v>
      </c>
      <c r="AB7364">
        <v>1E-4</v>
      </c>
      <c r="AC7364">
        <v>9</v>
      </c>
      <c r="AD7364" s="5">
        <v>5.1297960356761028</v>
      </c>
      <c r="AE7364" s="5">
        <v>2.2746710098479372</v>
      </c>
      <c r="AF7364">
        <v>1</v>
      </c>
    </row>
    <row r="7365" spans="27:32" x14ac:dyDescent="0.3">
      <c r="AA7365" s="3">
        <v>15996.14</v>
      </c>
      <c r="AB7365">
        <v>1E-4</v>
      </c>
      <c r="AC7365">
        <v>8</v>
      </c>
      <c r="AD7365" s="5">
        <v>5.0126392207244059</v>
      </c>
      <c r="AE7365" s="5">
        <v>2.2479273512312594</v>
      </c>
      <c r="AF7365">
        <v>1</v>
      </c>
    </row>
    <row r="7366" spans="27:32" x14ac:dyDescent="0.3">
      <c r="AA7366" s="3">
        <v>39777.339999999997</v>
      </c>
      <c r="AB7366">
        <v>1E-4</v>
      </c>
      <c r="AC7366">
        <v>7</v>
      </c>
      <c r="AD7366" s="5">
        <v>5.0095836033799959</v>
      </c>
      <c r="AE7366" s="5">
        <v>2.1326416338321676</v>
      </c>
      <c r="AF7366">
        <v>1</v>
      </c>
    </row>
    <row r="7367" spans="27:32" x14ac:dyDescent="0.3">
      <c r="AA7367" s="3">
        <v>9562.7199999999993</v>
      </c>
      <c r="AB7367">
        <v>1E-4</v>
      </c>
      <c r="AC7367">
        <v>8</v>
      </c>
      <c r="AD7367" s="5">
        <v>4.9683018726681762</v>
      </c>
      <c r="AE7367" s="5">
        <v>2.1824325304648173</v>
      </c>
      <c r="AF7367">
        <v>1</v>
      </c>
    </row>
    <row r="7368" spans="27:32" x14ac:dyDescent="0.3">
      <c r="AA7368" s="3">
        <v>-21615.142347901328</v>
      </c>
      <c r="AB7368">
        <v>1E-4</v>
      </c>
      <c r="AC7368">
        <v>9</v>
      </c>
      <c r="AD7368" s="5">
        <v>5.0050855835409385</v>
      </c>
      <c r="AE7368" s="5">
        <v>2.2484194764193277</v>
      </c>
      <c r="AF7368">
        <v>0</v>
      </c>
    </row>
    <row r="7369" spans="27:32" x14ac:dyDescent="0.3">
      <c r="AA7369" s="3">
        <v>17211.48</v>
      </c>
      <c r="AB7369">
        <v>1E-4</v>
      </c>
      <c r="AC7369">
        <v>8</v>
      </c>
      <c r="AD7369" s="5">
        <v>5.0312968148249935</v>
      </c>
      <c r="AE7369" s="5">
        <v>2.137548467184351</v>
      </c>
      <c r="AF7369">
        <v>1</v>
      </c>
    </row>
    <row r="7370" spans="27:32" x14ac:dyDescent="0.3">
      <c r="AA7370" s="3">
        <v>9225.91</v>
      </c>
      <c r="AB7370">
        <v>1E-4</v>
      </c>
      <c r="AC7370">
        <v>8</v>
      </c>
      <c r="AD7370" s="5">
        <v>5.0706475445221635</v>
      </c>
      <c r="AE7370" s="5">
        <v>2.2549151663570051</v>
      </c>
      <c r="AF7370">
        <v>1</v>
      </c>
    </row>
    <row r="7371" spans="27:32" x14ac:dyDescent="0.3">
      <c r="AA7371" s="3">
        <v>15172.42</v>
      </c>
      <c r="AB7371">
        <v>1E-4</v>
      </c>
      <c r="AC7371">
        <v>8</v>
      </c>
      <c r="AD7371" s="5">
        <v>5.0579928279266539</v>
      </c>
      <c r="AE7371" s="5">
        <v>2.2076645721281554</v>
      </c>
      <c r="AF7371">
        <v>1</v>
      </c>
    </row>
    <row r="7372" spans="27:32" x14ac:dyDescent="0.3">
      <c r="AA7372" s="3">
        <v>-4765.7605055539516</v>
      </c>
      <c r="AB7372">
        <v>1E-4</v>
      </c>
      <c r="AC7372">
        <v>8</v>
      </c>
      <c r="AD7372" s="5">
        <v>5.1497613253662724</v>
      </c>
      <c r="AE7372" s="5">
        <v>2.1981680014214731</v>
      </c>
      <c r="AF7372">
        <v>0</v>
      </c>
    </row>
    <row r="7373" spans="27:32" x14ac:dyDescent="0.3">
      <c r="AA7373" s="3">
        <v>36327.78</v>
      </c>
      <c r="AB7373">
        <v>1E-4</v>
      </c>
      <c r="AC7373">
        <v>7</v>
      </c>
      <c r="AD7373" s="5">
        <v>4.8912646030026599</v>
      </c>
      <c r="AE7373" s="5">
        <v>2.152772606520108</v>
      </c>
      <c r="AF7373">
        <v>1</v>
      </c>
    </row>
    <row r="7374" spans="27:32" x14ac:dyDescent="0.3">
      <c r="AA7374" s="3">
        <v>-5838.22</v>
      </c>
      <c r="AB7374">
        <v>1E-4</v>
      </c>
      <c r="AC7374">
        <v>9</v>
      </c>
      <c r="AD7374" s="5">
        <v>4.869220075231925</v>
      </c>
      <c r="AE7374" s="5">
        <v>2.2303525839001925</v>
      </c>
      <c r="AF7374">
        <v>1</v>
      </c>
    </row>
    <row r="7375" spans="27:32" x14ac:dyDescent="0.3">
      <c r="AA7375" s="3">
        <v>36481.82</v>
      </c>
      <c r="AB7375">
        <v>1E-4</v>
      </c>
      <c r="AC7375">
        <v>7</v>
      </c>
      <c r="AD7375" s="5">
        <v>5.028245568158372</v>
      </c>
      <c r="AE7375" s="5">
        <v>2.1580612359962896</v>
      </c>
      <c r="AF7375">
        <v>1</v>
      </c>
    </row>
    <row r="7376" spans="27:32" x14ac:dyDescent="0.3">
      <c r="AA7376" s="3">
        <v>22054.959999999999</v>
      </c>
      <c r="AB7376">
        <v>1E-4</v>
      </c>
      <c r="AC7376">
        <v>8</v>
      </c>
      <c r="AD7376" s="5">
        <v>5.0773379443246087</v>
      </c>
      <c r="AE7376" s="5">
        <v>2.1544011910825183</v>
      </c>
      <c r="AF7376">
        <v>1</v>
      </c>
    </row>
    <row r="7377" spans="27:32" x14ac:dyDescent="0.3">
      <c r="AA7377" s="3">
        <v>12644.06</v>
      </c>
      <c r="AB7377">
        <v>1E-4</v>
      </c>
      <c r="AC7377">
        <v>8</v>
      </c>
      <c r="AD7377" s="5">
        <v>5.074169709364333</v>
      </c>
      <c r="AE7377" s="5">
        <v>2.2255848605578277</v>
      </c>
      <c r="AF7377">
        <v>1</v>
      </c>
    </row>
    <row r="7378" spans="27:32" x14ac:dyDescent="0.3">
      <c r="AA7378" s="3">
        <v>18657.919999999998</v>
      </c>
      <c r="AB7378">
        <v>1E-4</v>
      </c>
      <c r="AC7378">
        <v>8</v>
      </c>
      <c r="AD7378" s="5">
        <v>5.0215949220440175</v>
      </c>
      <c r="AE7378" s="5">
        <v>2.1892337990910384</v>
      </c>
      <c r="AF7378">
        <v>1</v>
      </c>
    </row>
    <row r="7379" spans="27:32" x14ac:dyDescent="0.3">
      <c r="AA7379" s="3">
        <v>9698.9599999999991</v>
      </c>
      <c r="AB7379">
        <v>1E-4</v>
      </c>
      <c r="AC7379">
        <v>8</v>
      </c>
      <c r="AD7379" s="5">
        <v>5.047571430616224</v>
      </c>
      <c r="AE7379" s="5">
        <v>2.1973419491900481</v>
      </c>
      <c r="AF7379">
        <v>1</v>
      </c>
    </row>
    <row r="7380" spans="27:32" x14ac:dyDescent="0.3">
      <c r="AA7380" s="3">
        <v>11271.32</v>
      </c>
      <c r="AB7380">
        <v>1E-4</v>
      </c>
      <c r="AC7380">
        <v>8</v>
      </c>
      <c r="AD7380" s="5">
        <v>4.9240954593701609</v>
      </c>
      <c r="AE7380" s="5">
        <v>2.2885927908316277</v>
      </c>
      <c r="AF7380">
        <v>1</v>
      </c>
    </row>
    <row r="7381" spans="27:32" x14ac:dyDescent="0.3">
      <c r="AA7381" s="3">
        <v>18081.349999999999</v>
      </c>
      <c r="AB7381">
        <v>1E-4</v>
      </c>
      <c r="AC7381">
        <v>8</v>
      </c>
      <c r="AD7381" s="5">
        <v>4.9745657492090931</v>
      </c>
      <c r="AE7381" s="5">
        <v>2.2010933642624795</v>
      </c>
      <c r="AF7381">
        <v>1</v>
      </c>
    </row>
    <row r="7382" spans="27:32" x14ac:dyDescent="0.3">
      <c r="AA7382" s="3">
        <v>1367.57</v>
      </c>
      <c r="AB7382">
        <v>1E-4</v>
      </c>
      <c r="AC7382">
        <v>8</v>
      </c>
      <c r="AD7382" s="5">
        <v>4.85626652132032</v>
      </c>
      <c r="AE7382" s="5">
        <v>2.2080945876286902</v>
      </c>
      <c r="AF7382">
        <v>1</v>
      </c>
    </row>
    <row r="7383" spans="27:32" x14ac:dyDescent="0.3">
      <c r="AA7383" s="3">
        <v>39249.040000000001</v>
      </c>
      <c r="AB7383">
        <v>1E-4</v>
      </c>
      <c r="AC7383">
        <v>7</v>
      </c>
      <c r="AD7383" s="5">
        <v>5.2652363535526803</v>
      </c>
      <c r="AE7383" s="5">
        <v>2.1537028480868097</v>
      </c>
      <c r="AF7383">
        <v>1</v>
      </c>
    </row>
    <row r="7384" spans="27:32" x14ac:dyDescent="0.3">
      <c r="AA7384" s="3">
        <v>19045.5</v>
      </c>
      <c r="AB7384">
        <v>1E-4</v>
      </c>
      <c r="AC7384">
        <v>8</v>
      </c>
      <c r="AD7384" s="5">
        <v>4.9139977519342404</v>
      </c>
      <c r="AE7384" s="5">
        <v>2.2254210554113074</v>
      </c>
      <c r="AF7384">
        <v>1</v>
      </c>
    </row>
    <row r="7385" spans="27:32" x14ac:dyDescent="0.3">
      <c r="AA7385" s="3">
        <v>15554.74</v>
      </c>
      <c r="AB7385">
        <v>1E-4</v>
      </c>
      <c r="AC7385">
        <v>8</v>
      </c>
      <c r="AD7385" s="5">
        <v>5.1607642594920984</v>
      </c>
      <c r="AE7385" s="5">
        <v>2.1729008021901204</v>
      </c>
      <c r="AF7385">
        <v>1</v>
      </c>
    </row>
    <row r="7386" spans="27:32" x14ac:dyDescent="0.3">
      <c r="AA7386" s="3">
        <v>1198.78</v>
      </c>
      <c r="AB7386">
        <v>1E-4</v>
      </c>
      <c r="AC7386">
        <v>8</v>
      </c>
      <c r="AD7386" s="5">
        <v>4.932096110838061</v>
      </c>
      <c r="AE7386" s="5">
        <v>2.1960327365606922</v>
      </c>
      <c r="AF7386">
        <v>1</v>
      </c>
    </row>
    <row r="7387" spans="27:32" x14ac:dyDescent="0.3">
      <c r="AA7387" s="3">
        <v>17669.62</v>
      </c>
      <c r="AB7387">
        <v>1E-4</v>
      </c>
      <c r="AC7387">
        <v>8</v>
      </c>
      <c r="AD7387" s="5">
        <v>5.0573672707979771</v>
      </c>
      <c r="AE7387" s="5">
        <v>2.1851352487590505</v>
      </c>
      <c r="AF7387">
        <v>1</v>
      </c>
    </row>
    <row r="7388" spans="27:32" x14ac:dyDescent="0.3">
      <c r="AA7388" s="3">
        <v>8609.89</v>
      </c>
      <c r="AB7388">
        <v>1E-4</v>
      </c>
      <c r="AC7388">
        <v>8</v>
      </c>
      <c r="AD7388" s="5">
        <v>5.0470543033778155</v>
      </c>
      <c r="AE7388" s="5">
        <v>2.1415811146961632</v>
      </c>
      <c r="AF7388">
        <v>1</v>
      </c>
    </row>
    <row r="7389" spans="27:32" x14ac:dyDescent="0.3">
      <c r="AA7389" s="3">
        <v>26573.34</v>
      </c>
      <c r="AB7389">
        <v>1E-4</v>
      </c>
      <c r="AC7389">
        <v>8</v>
      </c>
      <c r="AD7389" s="5">
        <v>4.9803581348955781</v>
      </c>
      <c r="AE7389" s="5">
        <v>2.2403827170928579</v>
      </c>
      <c r="AF7389">
        <v>1</v>
      </c>
    </row>
    <row r="7390" spans="27:32" x14ac:dyDescent="0.3">
      <c r="AA7390" s="3">
        <v>29803.99</v>
      </c>
      <c r="AB7390">
        <v>1E-4</v>
      </c>
      <c r="AC7390">
        <v>8</v>
      </c>
      <c r="AD7390" s="5">
        <v>5.0280743277966007</v>
      </c>
      <c r="AE7390" s="5">
        <v>2.2003356995259669</v>
      </c>
      <c r="AF7390">
        <v>1</v>
      </c>
    </row>
    <row r="7391" spans="27:32" x14ac:dyDescent="0.3">
      <c r="AA7391" s="3">
        <v>14901.5</v>
      </c>
      <c r="AB7391">
        <v>1E-4</v>
      </c>
      <c r="AC7391">
        <v>8</v>
      </c>
      <c r="AD7391" s="5">
        <v>5.0427050821077319</v>
      </c>
      <c r="AE7391" s="5">
        <v>2.2502067774331356</v>
      </c>
      <c r="AF7391">
        <v>1</v>
      </c>
    </row>
    <row r="7392" spans="27:32" x14ac:dyDescent="0.3">
      <c r="AA7392" s="3">
        <v>14073.58</v>
      </c>
      <c r="AB7392">
        <v>1E-4</v>
      </c>
      <c r="AC7392">
        <v>8</v>
      </c>
      <c r="AD7392" s="5">
        <v>4.9285822048971468</v>
      </c>
      <c r="AE7392" s="5">
        <v>2.2923014501572685</v>
      </c>
      <c r="AF7392">
        <v>1</v>
      </c>
    </row>
    <row r="7393" spans="27:32" x14ac:dyDescent="0.3">
      <c r="AA7393" s="3">
        <v>12694.94</v>
      </c>
      <c r="AB7393">
        <v>1E-4</v>
      </c>
      <c r="AC7393">
        <v>8</v>
      </c>
      <c r="AD7393" s="5">
        <v>4.8623667171730443</v>
      </c>
      <c r="AE7393" s="5">
        <v>2.1796124670415904</v>
      </c>
      <c r="AF7393">
        <v>1</v>
      </c>
    </row>
    <row r="7394" spans="27:32" x14ac:dyDescent="0.3">
      <c r="AA7394" s="3">
        <v>20823.060000000001</v>
      </c>
      <c r="AB7394">
        <v>1E-4</v>
      </c>
      <c r="AC7394">
        <v>8</v>
      </c>
      <c r="AD7394" s="5">
        <v>4.9371098574037555</v>
      </c>
      <c r="AE7394" s="5">
        <v>2.2135233090423028</v>
      </c>
      <c r="AF7394">
        <v>1</v>
      </c>
    </row>
    <row r="7395" spans="27:32" x14ac:dyDescent="0.3">
      <c r="AA7395" s="3">
        <v>19748.5</v>
      </c>
      <c r="AB7395">
        <v>1E-4</v>
      </c>
      <c r="AC7395">
        <v>8</v>
      </c>
      <c r="AD7395" s="5">
        <v>4.9246002685056283</v>
      </c>
      <c r="AE7395" s="5">
        <v>2.1502697488409579</v>
      </c>
      <c r="AF7395">
        <v>1</v>
      </c>
    </row>
    <row r="7396" spans="27:32" x14ac:dyDescent="0.3">
      <c r="AA7396" s="3">
        <v>21529.51</v>
      </c>
      <c r="AB7396">
        <v>1E-4</v>
      </c>
      <c r="AC7396">
        <v>8</v>
      </c>
      <c r="AD7396" s="5">
        <v>4.996497155904648</v>
      </c>
      <c r="AE7396" s="5">
        <v>2.2002707289875505</v>
      </c>
      <c r="AF7396">
        <v>1</v>
      </c>
    </row>
    <row r="7397" spans="27:32" x14ac:dyDescent="0.3">
      <c r="AA7397" s="3">
        <v>-4067.38</v>
      </c>
      <c r="AB7397">
        <v>1E-4</v>
      </c>
      <c r="AC7397">
        <v>9</v>
      </c>
      <c r="AD7397" s="5">
        <v>4.9897352135261777</v>
      </c>
      <c r="AE7397" s="5">
        <v>2.2524201820379099</v>
      </c>
      <c r="AF7397">
        <v>1</v>
      </c>
    </row>
    <row r="7398" spans="27:32" x14ac:dyDescent="0.3">
      <c r="AA7398" s="3">
        <v>41380.49</v>
      </c>
      <c r="AB7398">
        <v>1E-4</v>
      </c>
      <c r="AC7398">
        <v>7</v>
      </c>
      <c r="AD7398" s="5">
        <v>4.9881289850322057</v>
      </c>
      <c r="AE7398" s="5">
        <v>2.0691982468158474</v>
      </c>
      <c r="AF7398">
        <v>1</v>
      </c>
    </row>
    <row r="7399" spans="27:32" x14ac:dyDescent="0.3">
      <c r="AA7399" s="3">
        <v>7331.59</v>
      </c>
      <c r="AB7399">
        <v>1E-4</v>
      </c>
      <c r="AC7399">
        <v>8</v>
      </c>
      <c r="AD7399" s="5">
        <v>5.0199041535738944</v>
      </c>
      <c r="AE7399" s="5">
        <v>2.230028104953151</v>
      </c>
      <c r="AF7399">
        <v>1</v>
      </c>
    </row>
    <row r="7400" spans="27:32" x14ac:dyDescent="0.3">
      <c r="AA7400" s="3">
        <v>35213.39</v>
      </c>
      <c r="AB7400">
        <v>1E-4</v>
      </c>
      <c r="AC7400">
        <v>7</v>
      </c>
      <c r="AD7400" s="5">
        <v>5.0095491344723566</v>
      </c>
      <c r="AE7400" s="5">
        <v>2.2015803168713619</v>
      </c>
      <c r="AF7400">
        <v>1</v>
      </c>
    </row>
    <row r="7401" spans="27:32" x14ac:dyDescent="0.3">
      <c r="AA7401" s="3">
        <v>18332.12</v>
      </c>
      <c r="AB7401">
        <v>1E-4</v>
      </c>
      <c r="AC7401">
        <v>8</v>
      </c>
      <c r="AD7401" s="5">
        <v>4.8779450032352969</v>
      </c>
      <c r="AE7401" s="5">
        <v>2.1985159999172952</v>
      </c>
      <c r="AF7401">
        <v>1</v>
      </c>
    </row>
    <row r="7402" spans="27:32" x14ac:dyDescent="0.3">
      <c r="AA7402" s="3">
        <v>4040</v>
      </c>
      <c r="AB7402">
        <v>1E-4</v>
      </c>
      <c r="AC7402">
        <v>8</v>
      </c>
      <c r="AD7402" s="5">
        <v>5.028748531745296</v>
      </c>
      <c r="AE7402" s="5">
        <v>2.1181054167074813</v>
      </c>
      <c r="AF7402">
        <v>1</v>
      </c>
    </row>
    <row r="7403" spans="27:32" x14ac:dyDescent="0.3">
      <c r="AA7403" s="3">
        <v>9905.32</v>
      </c>
      <c r="AB7403">
        <v>1E-4</v>
      </c>
      <c r="AC7403">
        <v>8</v>
      </c>
      <c r="AD7403" s="5">
        <v>5.1406176861271149</v>
      </c>
      <c r="AE7403" s="5">
        <v>2.2181034542937672</v>
      </c>
      <c r="AF7403">
        <v>1</v>
      </c>
    </row>
    <row r="7404" spans="27:32" x14ac:dyDescent="0.3">
      <c r="AA7404" s="3">
        <v>43710.86</v>
      </c>
      <c r="AB7404">
        <v>1E-4</v>
      </c>
      <c r="AC7404">
        <v>7</v>
      </c>
      <c r="AD7404" s="5">
        <v>4.8941651311620298</v>
      </c>
      <c r="AE7404" s="5">
        <v>2.2301196746290199</v>
      </c>
      <c r="AF7404">
        <v>1</v>
      </c>
    </row>
    <row r="7405" spans="27:32" x14ac:dyDescent="0.3">
      <c r="AA7405" s="3">
        <v>25505.4</v>
      </c>
      <c r="AB7405">
        <v>1E-4</v>
      </c>
      <c r="AC7405">
        <v>8</v>
      </c>
      <c r="AD7405" s="5">
        <v>4.9344151261908307</v>
      </c>
      <c r="AE7405" s="5">
        <v>2.1722245901078385</v>
      </c>
      <c r="AF7405">
        <v>1</v>
      </c>
    </row>
    <row r="7406" spans="27:32" x14ac:dyDescent="0.3">
      <c r="AA7406" s="3">
        <v>-3502.99</v>
      </c>
      <c r="AB7406">
        <v>1E-4</v>
      </c>
      <c r="AC7406">
        <v>9</v>
      </c>
      <c r="AD7406" s="5">
        <v>4.8912436587439219</v>
      </c>
      <c r="AE7406" s="5">
        <v>2.1473718801561339</v>
      </c>
      <c r="AF7406">
        <v>1</v>
      </c>
    </row>
    <row r="7407" spans="27:32" x14ac:dyDescent="0.3">
      <c r="AA7407" s="3">
        <v>-3914.64</v>
      </c>
      <c r="AB7407">
        <v>1E-4</v>
      </c>
      <c r="AC7407">
        <v>9</v>
      </c>
      <c r="AD7407" s="5">
        <v>4.9527753910427217</v>
      </c>
      <c r="AE7407" s="5">
        <v>2.2579090944995217</v>
      </c>
      <c r="AF7407">
        <v>1</v>
      </c>
    </row>
    <row r="7408" spans="27:32" x14ac:dyDescent="0.3">
      <c r="AA7408" s="3">
        <v>-8279.98</v>
      </c>
      <c r="AB7408">
        <v>1E-4</v>
      </c>
      <c r="AC7408">
        <v>9</v>
      </c>
      <c r="AD7408" s="5">
        <v>4.9475659132332135</v>
      </c>
      <c r="AE7408" s="5">
        <v>2.1636959793259063</v>
      </c>
      <c r="AF7408">
        <v>1</v>
      </c>
    </row>
    <row r="7409" spans="27:32" x14ac:dyDescent="0.3">
      <c r="AA7409" s="3">
        <v>20513.099999999999</v>
      </c>
      <c r="AB7409">
        <v>1E-4</v>
      </c>
      <c r="AC7409">
        <v>8</v>
      </c>
      <c r="AD7409" s="5">
        <v>4.9661530825364224</v>
      </c>
      <c r="AE7409" s="5">
        <v>2.1439902359525682</v>
      </c>
      <c r="AF7409">
        <v>1</v>
      </c>
    </row>
    <row r="7410" spans="27:32" x14ac:dyDescent="0.3">
      <c r="AA7410" s="3">
        <v>24279.919999999998</v>
      </c>
      <c r="AB7410">
        <v>1E-4</v>
      </c>
      <c r="AC7410">
        <v>8</v>
      </c>
      <c r="AD7410" s="5">
        <v>4.8468245345474967</v>
      </c>
      <c r="AE7410" s="5">
        <v>2.1296154795869784</v>
      </c>
      <c r="AF7410">
        <v>1</v>
      </c>
    </row>
    <row r="7411" spans="27:32" x14ac:dyDescent="0.3">
      <c r="AA7411" s="3">
        <v>-7705.15</v>
      </c>
      <c r="AB7411">
        <v>1E-4</v>
      </c>
      <c r="AC7411">
        <v>9</v>
      </c>
      <c r="AD7411" s="5">
        <v>4.9832941618066728</v>
      </c>
      <c r="AE7411" s="5">
        <v>2.1769042794396061</v>
      </c>
      <c r="AF7411">
        <v>1</v>
      </c>
    </row>
    <row r="7412" spans="27:32" x14ac:dyDescent="0.3">
      <c r="AA7412" s="3">
        <v>17228.150000000001</v>
      </c>
      <c r="AB7412">
        <v>1E-4</v>
      </c>
      <c r="AC7412">
        <v>8</v>
      </c>
      <c r="AD7412" s="5">
        <v>5.0158119986939429</v>
      </c>
      <c r="AE7412" s="5">
        <v>2.1634032094178695</v>
      </c>
      <c r="AF7412">
        <v>1</v>
      </c>
    </row>
    <row r="7413" spans="27:32" x14ac:dyDescent="0.3">
      <c r="AA7413" s="3">
        <v>44722.63</v>
      </c>
      <c r="AB7413">
        <v>1E-4</v>
      </c>
      <c r="AC7413">
        <v>7</v>
      </c>
      <c r="AD7413" s="5">
        <v>5.0217771650819456</v>
      </c>
      <c r="AE7413" s="5">
        <v>2.1147507528647851</v>
      </c>
      <c r="AF7413">
        <v>1</v>
      </c>
    </row>
    <row r="7414" spans="27:32" x14ac:dyDescent="0.3">
      <c r="AA7414" s="3">
        <v>67.16</v>
      </c>
      <c r="AB7414">
        <v>1E-4</v>
      </c>
      <c r="AC7414">
        <v>8</v>
      </c>
      <c r="AD7414" s="5">
        <v>4.9591767720029205</v>
      </c>
      <c r="AE7414" s="5">
        <v>2.2921160202134137</v>
      </c>
      <c r="AF7414">
        <v>1</v>
      </c>
    </row>
    <row r="7415" spans="27:32" x14ac:dyDescent="0.3">
      <c r="AA7415" s="3">
        <v>-123.08</v>
      </c>
      <c r="AB7415">
        <v>1E-4</v>
      </c>
      <c r="AC7415">
        <v>9</v>
      </c>
      <c r="AD7415" s="5">
        <v>5.1609111902323193</v>
      </c>
      <c r="AE7415" s="5">
        <v>2.1968281438361927</v>
      </c>
      <c r="AF7415">
        <v>1</v>
      </c>
    </row>
    <row r="7416" spans="27:32" x14ac:dyDescent="0.3">
      <c r="AA7416" s="3">
        <v>-43192.515650723159</v>
      </c>
      <c r="AB7416">
        <v>1E-4</v>
      </c>
      <c r="AC7416">
        <v>9</v>
      </c>
      <c r="AD7416" s="5">
        <v>4.9763014203419509</v>
      </c>
      <c r="AE7416" s="5">
        <v>2.1627445768636475</v>
      </c>
      <c r="AF7416">
        <v>0</v>
      </c>
    </row>
    <row r="7417" spans="27:32" x14ac:dyDescent="0.3">
      <c r="AA7417" s="3">
        <v>25180.09</v>
      </c>
      <c r="AB7417">
        <v>1E-4</v>
      </c>
      <c r="AC7417">
        <v>8</v>
      </c>
      <c r="AD7417" s="5">
        <v>4.9769882364034483</v>
      </c>
      <c r="AE7417" s="5">
        <v>2.2384257668152174</v>
      </c>
      <c r="AF7417">
        <v>1</v>
      </c>
    </row>
    <row r="7418" spans="27:32" x14ac:dyDescent="0.3">
      <c r="AA7418" s="3">
        <v>15991.24</v>
      </c>
      <c r="AB7418">
        <v>1E-4</v>
      </c>
      <c r="AC7418">
        <v>8</v>
      </c>
      <c r="AD7418" s="5">
        <v>5.0813631638207584</v>
      </c>
      <c r="AE7418" s="5">
        <v>2.2052080168893982</v>
      </c>
      <c r="AF7418">
        <v>1</v>
      </c>
    </row>
    <row r="7419" spans="27:32" x14ac:dyDescent="0.3">
      <c r="AA7419" s="3">
        <v>13701.34</v>
      </c>
      <c r="AB7419">
        <v>1E-4</v>
      </c>
      <c r="AC7419">
        <v>8</v>
      </c>
      <c r="AD7419" s="5">
        <v>4.998724654312408</v>
      </c>
      <c r="AE7419" s="5">
        <v>2.154126435096352</v>
      </c>
      <c r="AF7419">
        <v>1</v>
      </c>
    </row>
    <row r="7420" spans="27:32" x14ac:dyDescent="0.3">
      <c r="AA7420" s="3">
        <v>25215.42</v>
      </c>
      <c r="AB7420">
        <v>1E-4</v>
      </c>
      <c r="AC7420">
        <v>8</v>
      </c>
      <c r="AD7420" s="5">
        <v>4.9494736264686292</v>
      </c>
      <c r="AE7420" s="5">
        <v>2.2134549377204435</v>
      </c>
      <c r="AF7420">
        <v>1</v>
      </c>
    </row>
    <row r="7421" spans="27:32" x14ac:dyDescent="0.3">
      <c r="AA7421" s="3">
        <v>32889.919999999998</v>
      </c>
      <c r="AB7421">
        <v>1E-4</v>
      </c>
      <c r="AC7421">
        <v>7</v>
      </c>
      <c r="AD7421" s="5">
        <v>5.0182553504420335</v>
      </c>
      <c r="AE7421" s="5">
        <v>2.1329001818699727</v>
      </c>
      <c r="AF7421">
        <v>1</v>
      </c>
    </row>
    <row r="7422" spans="27:32" x14ac:dyDescent="0.3">
      <c r="AA7422" s="3">
        <v>32889.919999999998</v>
      </c>
      <c r="AB7422">
        <v>1E-4</v>
      </c>
      <c r="AC7422">
        <v>7</v>
      </c>
      <c r="AD7422" s="5">
        <v>5.203797449013738</v>
      </c>
      <c r="AE7422" s="5">
        <v>2.2624255350676457</v>
      </c>
      <c r="AF7422">
        <v>1</v>
      </c>
    </row>
    <row r="7423" spans="27:32" x14ac:dyDescent="0.3">
      <c r="AA7423" s="3">
        <v>31674.1</v>
      </c>
      <c r="AB7423">
        <v>1E-4</v>
      </c>
      <c r="AC7423">
        <v>7</v>
      </c>
      <c r="AD7423" s="5">
        <v>5.0391258015409086</v>
      </c>
      <c r="AE7423" s="5">
        <v>2.2682660133453658</v>
      </c>
      <c r="AF7423">
        <v>1</v>
      </c>
    </row>
    <row r="7424" spans="27:32" x14ac:dyDescent="0.3">
      <c r="AA7424" s="3">
        <v>42913.72</v>
      </c>
      <c r="AB7424">
        <v>1E-4</v>
      </c>
      <c r="AC7424">
        <v>7</v>
      </c>
      <c r="AD7424" s="5">
        <v>5.0428624720566981</v>
      </c>
      <c r="AE7424" s="5">
        <v>2.1641713026768858</v>
      </c>
      <c r="AF7424">
        <v>1</v>
      </c>
    </row>
    <row r="7425" spans="27:32" x14ac:dyDescent="0.3">
      <c r="AA7425" s="3">
        <v>35672.22</v>
      </c>
      <c r="AB7425">
        <v>1E-4</v>
      </c>
      <c r="AC7425">
        <v>7</v>
      </c>
      <c r="AD7425" s="5">
        <v>5.0503542134032422</v>
      </c>
      <c r="AE7425" s="5">
        <v>2.2227933100874688</v>
      </c>
      <c r="AF7425">
        <v>1</v>
      </c>
    </row>
    <row r="7426" spans="27:32" x14ac:dyDescent="0.3">
      <c r="AA7426" s="3">
        <v>43342.879999999997</v>
      </c>
      <c r="AB7426">
        <v>1E-4</v>
      </c>
      <c r="AC7426">
        <v>7</v>
      </c>
      <c r="AD7426" s="5">
        <v>5.0011714663365288</v>
      </c>
      <c r="AE7426" s="5">
        <v>2.2741215235196726</v>
      </c>
      <c r="AF7426">
        <v>1</v>
      </c>
    </row>
    <row r="7427" spans="27:32" x14ac:dyDescent="0.3">
      <c r="AA7427" s="3">
        <v>45453.31</v>
      </c>
      <c r="AB7427">
        <v>1E-4</v>
      </c>
      <c r="AC7427">
        <v>7</v>
      </c>
      <c r="AD7427" s="5">
        <v>5.2540654465677816</v>
      </c>
      <c r="AE7427" s="5">
        <v>2.2415299420176993</v>
      </c>
      <c r="AF7427">
        <v>1</v>
      </c>
    </row>
    <row r="7428" spans="27:32" x14ac:dyDescent="0.3">
      <c r="AA7428" s="3">
        <v>15026.67</v>
      </c>
      <c r="AB7428">
        <v>1E-4</v>
      </c>
      <c r="AC7428">
        <v>8</v>
      </c>
      <c r="AD7428" s="5">
        <v>4.9569017849087169</v>
      </c>
      <c r="AE7428" s="5">
        <v>2.1741528066365738</v>
      </c>
      <c r="AF7428">
        <v>1</v>
      </c>
    </row>
    <row r="7429" spans="27:32" x14ac:dyDescent="0.3">
      <c r="AA7429" s="3">
        <v>43942.3</v>
      </c>
      <c r="AB7429">
        <v>1E-4</v>
      </c>
      <c r="AC7429">
        <v>7</v>
      </c>
      <c r="AD7429" s="5">
        <v>5.0687097102856251</v>
      </c>
      <c r="AE7429" s="5">
        <v>2.2057844275568992</v>
      </c>
      <c r="AF7429">
        <v>1</v>
      </c>
    </row>
    <row r="7430" spans="27:32" x14ac:dyDescent="0.3">
      <c r="AA7430" s="3">
        <v>34251.03</v>
      </c>
      <c r="AB7430">
        <v>1E-4</v>
      </c>
      <c r="AC7430">
        <v>7</v>
      </c>
      <c r="AD7430" s="5">
        <v>5.0504011646622642</v>
      </c>
      <c r="AE7430" s="5">
        <v>2.1806076332123374</v>
      </c>
      <c r="AF7430">
        <v>1</v>
      </c>
    </row>
    <row r="7431" spans="27:32" x14ac:dyDescent="0.3">
      <c r="AA7431" s="3">
        <v>13777.72</v>
      </c>
      <c r="AB7431">
        <v>1E-4</v>
      </c>
      <c r="AC7431">
        <v>8</v>
      </c>
      <c r="AD7431" s="5">
        <v>4.7950588113324715</v>
      </c>
      <c r="AE7431" s="5">
        <v>2.197458581418902</v>
      </c>
      <c r="AF7431">
        <v>1</v>
      </c>
    </row>
    <row r="7432" spans="27:32" x14ac:dyDescent="0.3">
      <c r="AA7432" s="3">
        <v>20321.95</v>
      </c>
      <c r="AB7432">
        <v>1E-4</v>
      </c>
      <c r="AC7432">
        <v>8</v>
      </c>
      <c r="AD7432" s="5">
        <v>4.9636255961731646</v>
      </c>
      <c r="AE7432" s="5">
        <v>2.1275500242073524</v>
      </c>
      <c r="AF7432">
        <v>1</v>
      </c>
    </row>
    <row r="7433" spans="27:32" x14ac:dyDescent="0.3">
      <c r="AA7433" s="3">
        <v>31045.15</v>
      </c>
      <c r="AB7433">
        <v>1E-4</v>
      </c>
      <c r="AC7433">
        <v>7</v>
      </c>
      <c r="AD7433" s="5">
        <v>4.9344687661960309</v>
      </c>
      <c r="AE7433" s="5">
        <v>2.1797977039186693</v>
      </c>
      <c r="AF7433">
        <v>1</v>
      </c>
    </row>
    <row r="7434" spans="27:32" x14ac:dyDescent="0.3">
      <c r="AA7434" s="3">
        <v>35104.94</v>
      </c>
      <c r="AB7434">
        <v>1E-4</v>
      </c>
      <c r="AC7434">
        <v>7</v>
      </c>
      <c r="AD7434" s="5">
        <v>5.0163270793238235</v>
      </c>
      <c r="AE7434" s="5">
        <v>2.2043007946214748</v>
      </c>
      <c r="AF7434">
        <v>1</v>
      </c>
    </row>
    <row r="7435" spans="27:32" x14ac:dyDescent="0.3">
      <c r="AA7435" s="3">
        <v>34642.959999999999</v>
      </c>
      <c r="AB7435">
        <v>1E-4</v>
      </c>
      <c r="AC7435">
        <v>7</v>
      </c>
      <c r="AD7435" s="5">
        <v>4.9467155045886715</v>
      </c>
      <c r="AE7435" s="5">
        <v>2.1891628540367947</v>
      </c>
      <c r="AF7435">
        <v>1</v>
      </c>
    </row>
    <row r="7436" spans="27:32" x14ac:dyDescent="0.3">
      <c r="AA7436" s="3">
        <v>-3755.16</v>
      </c>
      <c r="AB7436">
        <v>1E-4</v>
      </c>
      <c r="AC7436">
        <v>9</v>
      </c>
      <c r="AD7436" s="5">
        <v>5.0215144632372155</v>
      </c>
      <c r="AE7436" s="5">
        <v>2.2895553209036388</v>
      </c>
      <c r="AF7436">
        <v>1</v>
      </c>
    </row>
    <row r="7437" spans="27:32" x14ac:dyDescent="0.3">
      <c r="AA7437" s="3">
        <v>35024.18</v>
      </c>
      <c r="AB7437">
        <v>1E-4</v>
      </c>
      <c r="AC7437">
        <v>7</v>
      </c>
      <c r="AD7437" s="5">
        <v>5.1090759879754719</v>
      </c>
      <c r="AE7437" s="5">
        <v>2.1010591691510418</v>
      </c>
      <c r="AF7437">
        <v>1</v>
      </c>
    </row>
    <row r="7438" spans="27:32" x14ac:dyDescent="0.3">
      <c r="AA7438" s="3">
        <v>7959.26</v>
      </c>
      <c r="AB7438">
        <v>1E-4</v>
      </c>
      <c r="AC7438">
        <v>8</v>
      </c>
      <c r="AD7438" s="5">
        <v>4.8222360219351517</v>
      </c>
      <c r="AE7438" s="5">
        <v>2.2723497237799024</v>
      </c>
      <c r="AF7438">
        <v>1</v>
      </c>
    </row>
    <row r="7439" spans="27:32" x14ac:dyDescent="0.3">
      <c r="AA7439" s="3">
        <v>27775.99</v>
      </c>
      <c r="AB7439">
        <v>1E-4</v>
      </c>
      <c r="AC7439">
        <v>8</v>
      </c>
      <c r="AD7439" s="5">
        <v>4.9785268610192439</v>
      </c>
      <c r="AE7439" s="5">
        <v>2.13234858074778</v>
      </c>
      <c r="AF7439">
        <v>1</v>
      </c>
    </row>
    <row r="7440" spans="27:32" x14ac:dyDescent="0.3">
      <c r="AA7440" s="3">
        <v>28650.799999999999</v>
      </c>
      <c r="AB7440">
        <v>1E-4</v>
      </c>
      <c r="AC7440">
        <v>8</v>
      </c>
      <c r="AD7440" s="5">
        <v>4.9532507530155376</v>
      </c>
      <c r="AE7440" s="5">
        <v>2.0975531243030541</v>
      </c>
      <c r="AF7440">
        <v>1</v>
      </c>
    </row>
    <row r="7441" spans="27:32" x14ac:dyDescent="0.3">
      <c r="AA7441" s="3">
        <v>-13922.37</v>
      </c>
      <c r="AB7441">
        <v>1E-4</v>
      </c>
      <c r="AC7441">
        <v>9</v>
      </c>
      <c r="AD7441" s="5">
        <v>5.0418233502087544</v>
      </c>
      <c r="AE7441" s="5">
        <v>2.2478483433581289</v>
      </c>
      <c r="AF7441">
        <v>1</v>
      </c>
    </row>
    <row r="7442" spans="27:32" x14ac:dyDescent="0.3">
      <c r="AA7442" s="3">
        <v>15138.22</v>
      </c>
      <c r="AB7442">
        <v>1E-4</v>
      </c>
      <c r="AC7442">
        <v>8</v>
      </c>
      <c r="AD7442" s="5">
        <v>5.0626397869314399</v>
      </c>
      <c r="AE7442" s="5">
        <v>2.1259654615124264</v>
      </c>
      <c r="AF7442">
        <v>1</v>
      </c>
    </row>
    <row r="7443" spans="27:32" x14ac:dyDescent="0.3">
      <c r="AA7443" s="3">
        <v>32739.03</v>
      </c>
      <c r="AB7443">
        <v>1E-4</v>
      </c>
      <c r="AC7443">
        <v>7</v>
      </c>
      <c r="AD7443" s="5">
        <v>5.1707900515327951</v>
      </c>
      <c r="AE7443" s="5">
        <v>2.1886853804061981</v>
      </c>
      <c r="AF7443">
        <v>1</v>
      </c>
    </row>
    <row r="7444" spans="27:32" x14ac:dyDescent="0.3">
      <c r="AA7444" s="3">
        <v>12610.54</v>
      </c>
      <c r="AB7444">
        <v>1E-4</v>
      </c>
      <c r="AC7444">
        <v>8</v>
      </c>
      <c r="AD7444" s="5">
        <v>5.0557114239563639</v>
      </c>
      <c r="AE7444" s="5">
        <v>2.1822414994925343</v>
      </c>
      <c r="AF7444">
        <v>1</v>
      </c>
    </row>
    <row r="7445" spans="27:32" x14ac:dyDescent="0.3">
      <c r="AA7445" s="3">
        <v>65988.39</v>
      </c>
      <c r="AB7445">
        <v>1E-4</v>
      </c>
      <c r="AC7445">
        <v>6</v>
      </c>
      <c r="AD7445" s="5">
        <v>5.1377675985952704</v>
      </c>
      <c r="AE7445" s="5">
        <v>2.2235644274818398</v>
      </c>
      <c r="AF7445">
        <v>1</v>
      </c>
    </row>
    <row r="7446" spans="27:32" x14ac:dyDescent="0.3">
      <c r="AA7446" s="3">
        <v>-5557.78</v>
      </c>
      <c r="AB7446">
        <v>1E-4</v>
      </c>
      <c r="AC7446">
        <v>9</v>
      </c>
      <c r="AD7446" s="5">
        <v>4.8496452711449303</v>
      </c>
      <c r="AE7446" s="5">
        <v>2.2437849102007323</v>
      </c>
      <c r="AF7446">
        <v>1</v>
      </c>
    </row>
    <row r="7447" spans="27:32" x14ac:dyDescent="0.3">
      <c r="AA7447" s="3">
        <v>4927.71</v>
      </c>
      <c r="AB7447">
        <v>1E-4</v>
      </c>
      <c r="AC7447">
        <v>8</v>
      </c>
      <c r="AD7447" s="5">
        <v>4.9526049055813131</v>
      </c>
      <c r="AE7447" s="5">
        <v>2.1392355463364199</v>
      </c>
      <c r="AF7447">
        <v>1</v>
      </c>
    </row>
    <row r="7448" spans="27:32" x14ac:dyDescent="0.3">
      <c r="AA7448" s="3">
        <v>-14486.52</v>
      </c>
      <c r="AB7448">
        <v>1E-4</v>
      </c>
      <c r="AC7448">
        <v>9</v>
      </c>
      <c r="AD7448" s="5">
        <v>5.0113174433518735</v>
      </c>
      <c r="AE7448" s="5">
        <v>2.2043326268092152</v>
      </c>
      <c r="AF7448">
        <v>1</v>
      </c>
    </row>
    <row r="7449" spans="27:32" x14ac:dyDescent="0.3">
      <c r="AA7449" s="3">
        <v>13362.8</v>
      </c>
      <c r="AB7449">
        <v>1E-4</v>
      </c>
      <c r="AC7449">
        <v>8</v>
      </c>
      <c r="AD7449" s="5">
        <v>5.0597949946202938</v>
      </c>
      <c r="AE7449" s="5">
        <v>2.2582920320737774</v>
      </c>
      <c r="AF7449">
        <v>1</v>
      </c>
    </row>
    <row r="7450" spans="27:32" x14ac:dyDescent="0.3">
      <c r="AA7450" s="3">
        <v>21388.75</v>
      </c>
      <c r="AB7450">
        <v>1E-4</v>
      </c>
      <c r="AC7450">
        <v>8</v>
      </c>
      <c r="AD7450" s="5">
        <v>4.9880880403266428</v>
      </c>
      <c r="AE7450" s="5">
        <v>2.1838631233203736</v>
      </c>
      <c r="AF7450">
        <v>1</v>
      </c>
    </row>
    <row r="7451" spans="27:32" x14ac:dyDescent="0.3">
      <c r="AA7451" s="3">
        <v>-2271.42</v>
      </c>
      <c r="AB7451">
        <v>1E-4</v>
      </c>
      <c r="AC7451">
        <v>9</v>
      </c>
      <c r="AD7451" s="5">
        <v>5.073382215608861</v>
      </c>
      <c r="AE7451" s="5">
        <v>2.1134109177616138</v>
      </c>
      <c r="AF7451">
        <v>1</v>
      </c>
    </row>
    <row r="7452" spans="27:32" x14ac:dyDescent="0.3">
      <c r="AA7452" s="3">
        <v>11441.18</v>
      </c>
      <c r="AB7452">
        <v>1E-4</v>
      </c>
      <c r="AC7452">
        <v>8</v>
      </c>
      <c r="AD7452" s="5">
        <v>4.954680150209561</v>
      </c>
      <c r="AE7452" s="5">
        <v>2.1625754201419345</v>
      </c>
      <c r="AF7452">
        <v>1</v>
      </c>
    </row>
    <row r="7453" spans="27:32" x14ac:dyDescent="0.3">
      <c r="AA7453" s="3">
        <v>10898.17</v>
      </c>
      <c r="AB7453">
        <v>1E-4</v>
      </c>
      <c r="AC7453">
        <v>8</v>
      </c>
      <c r="AD7453" s="5">
        <v>4.9842106991878765</v>
      </c>
      <c r="AE7453" s="5">
        <v>2.1522525256681675</v>
      </c>
      <c r="AF7453">
        <v>1</v>
      </c>
    </row>
    <row r="7454" spans="27:32" x14ac:dyDescent="0.3">
      <c r="AA7454" s="3">
        <v>10357.33</v>
      </c>
      <c r="AB7454">
        <v>1E-4</v>
      </c>
      <c r="AC7454">
        <v>8</v>
      </c>
      <c r="AD7454" s="5">
        <v>4.9177535566260273</v>
      </c>
      <c r="AE7454" s="5">
        <v>2.1902364093363351</v>
      </c>
      <c r="AF7454">
        <v>1</v>
      </c>
    </row>
    <row r="7455" spans="27:32" x14ac:dyDescent="0.3">
      <c r="AA7455" s="3">
        <v>21142.27</v>
      </c>
      <c r="AB7455">
        <v>1E-4</v>
      </c>
      <c r="AC7455">
        <v>8</v>
      </c>
      <c r="AD7455" s="5">
        <v>4.9010253376113191</v>
      </c>
      <c r="AE7455" s="5">
        <v>2.203088758974491</v>
      </c>
      <c r="AF7455">
        <v>1</v>
      </c>
    </row>
    <row r="7456" spans="27:32" x14ac:dyDescent="0.3">
      <c r="AA7456" s="3">
        <v>22988.99</v>
      </c>
      <c r="AB7456">
        <v>1E-4</v>
      </c>
      <c r="AC7456">
        <v>8</v>
      </c>
      <c r="AD7456" s="5">
        <v>5.0282019777053044</v>
      </c>
      <c r="AE7456" s="5">
        <v>2.240025397652512</v>
      </c>
      <c r="AF7456">
        <v>1</v>
      </c>
    </row>
    <row r="7457" spans="27:32" x14ac:dyDescent="0.3">
      <c r="AA7457" s="3">
        <v>26458.98</v>
      </c>
      <c r="AB7457">
        <v>1E-4</v>
      </c>
      <c r="AC7457">
        <v>8</v>
      </c>
      <c r="AD7457" s="5">
        <v>5.0357121895860768</v>
      </c>
      <c r="AE7457" s="5">
        <v>2.2158792002818712</v>
      </c>
      <c r="AF7457">
        <v>1</v>
      </c>
    </row>
    <row r="7458" spans="27:32" x14ac:dyDescent="0.3">
      <c r="AA7458" s="3">
        <v>24623.31</v>
      </c>
      <c r="AB7458">
        <v>1E-4</v>
      </c>
      <c r="AC7458">
        <v>8</v>
      </c>
      <c r="AD7458" s="5">
        <v>5.1415470238309426</v>
      </c>
      <c r="AE7458" s="5">
        <v>2.2187455581135844</v>
      </c>
      <c r="AF7458">
        <v>1</v>
      </c>
    </row>
    <row r="7459" spans="27:32" x14ac:dyDescent="0.3">
      <c r="AA7459" s="3">
        <v>24332.63</v>
      </c>
      <c r="AB7459">
        <v>1E-4</v>
      </c>
      <c r="AC7459">
        <v>8</v>
      </c>
      <c r="AD7459" s="5">
        <v>5.0476830303394058</v>
      </c>
      <c r="AE7459" s="5">
        <v>2.1650463849116002</v>
      </c>
      <c r="AF7459">
        <v>1</v>
      </c>
    </row>
    <row r="7460" spans="27:32" x14ac:dyDescent="0.3">
      <c r="AA7460" s="3">
        <v>27318.560000000001</v>
      </c>
      <c r="AB7460">
        <v>1E-4</v>
      </c>
      <c r="AC7460">
        <v>8</v>
      </c>
      <c r="AD7460" s="5">
        <v>5.0473066529124821</v>
      </c>
      <c r="AE7460" s="5">
        <v>2.1645554466392203</v>
      </c>
      <c r="AF7460">
        <v>1</v>
      </c>
    </row>
    <row r="7461" spans="27:32" x14ac:dyDescent="0.3">
      <c r="AA7461" s="3">
        <v>13869.18</v>
      </c>
      <c r="AB7461">
        <v>1E-4</v>
      </c>
      <c r="AC7461">
        <v>8</v>
      </c>
      <c r="AD7461" s="5">
        <v>5.0106048690091685</v>
      </c>
      <c r="AE7461" s="5">
        <v>2.1479236516560345</v>
      </c>
      <c r="AF7461">
        <v>1</v>
      </c>
    </row>
    <row r="7462" spans="27:32" x14ac:dyDescent="0.3">
      <c r="AA7462" s="3">
        <v>25701</v>
      </c>
      <c r="AB7462">
        <v>1E-4</v>
      </c>
      <c r="AC7462">
        <v>8</v>
      </c>
      <c r="AD7462" s="5">
        <v>4.9990706213226455</v>
      </c>
      <c r="AE7462" s="5">
        <v>2.1296325724945975</v>
      </c>
      <c r="AF7462">
        <v>1</v>
      </c>
    </row>
    <row r="7463" spans="27:32" x14ac:dyDescent="0.3">
      <c r="AA7463" s="3">
        <v>42668.46</v>
      </c>
      <c r="AB7463">
        <v>1E-4</v>
      </c>
      <c r="AC7463">
        <v>7</v>
      </c>
      <c r="AD7463" s="5">
        <v>4.9771794551617301</v>
      </c>
      <c r="AE7463" s="5">
        <v>2.1856701561720779</v>
      </c>
      <c r="AF7463">
        <v>1</v>
      </c>
    </row>
    <row r="7464" spans="27:32" x14ac:dyDescent="0.3">
      <c r="AA7464" s="3">
        <v>21394.9</v>
      </c>
      <c r="AB7464">
        <v>1E-4</v>
      </c>
      <c r="AC7464">
        <v>8</v>
      </c>
      <c r="AD7464" s="5">
        <v>5.1087146758068238</v>
      </c>
      <c r="AE7464" s="5">
        <v>2.2790160707263944</v>
      </c>
      <c r="AF7464">
        <v>1</v>
      </c>
    </row>
    <row r="7465" spans="27:32" x14ac:dyDescent="0.3">
      <c r="AA7465" s="3">
        <v>12249.01</v>
      </c>
      <c r="AB7465">
        <v>1E-4</v>
      </c>
      <c r="AC7465">
        <v>8</v>
      </c>
      <c r="AD7465" s="5">
        <v>5.1128962317739264</v>
      </c>
      <c r="AE7465" s="5">
        <v>2.1541133483648283</v>
      </c>
      <c r="AF7465">
        <v>1</v>
      </c>
    </row>
    <row r="7466" spans="27:32" x14ac:dyDescent="0.3">
      <c r="AA7466" s="3">
        <v>10751.22</v>
      </c>
      <c r="AB7466">
        <v>1E-4</v>
      </c>
      <c r="AC7466">
        <v>8</v>
      </c>
      <c r="AD7466" s="5">
        <v>5.0583587319156003</v>
      </c>
      <c r="AE7466" s="5">
        <v>2.2630074428834774</v>
      </c>
      <c r="AF7466">
        <v>1</v>
      </c>
    </row>
    <row r="7467" spans="27:32" x14ac:dyDescent="0.3">
      <c r="AA7467" s="3">
        <v>12846.76</v>
      </c>
      <c r="AB7467">
        <v>1E-4</v>
      </c>
      <c r="AC7467">
        <v>8</v>
      </c>
      <c r="AD7467" s="5">
        <v>4.9085463107844838</v>
      </c>
      <c r="AE7467" s="5">
        <v>2.092758080704435</v>
      </c>
      <c r="AF7467">
        <v>1</v>
      </c>
    </row>
    <row r="7468" spans="27:32" x14ac:dyDescent="0.3">
      <c r="AA7468" s="3">
        <v>10643.26</v>
      </c>
      <c r="AB7468">
        <v>1E-4</v>
      </c>
      <c r="AC7468">
        <v>8</v>
      </c>
      <c r="AD7468" s="5">
        <v>5.0455990257293282</v>
      </c>
      <c r="AE7468" s="5">
        <v>2.2093465664434753</v>
      </c>
      <c r="AF7468">
        <v>1</v>
      </c>
    </row>
    <row r="7469" spans="27:32" x14ac:dyDescent="0.3">
      <c r="AA7469" s="3">
        <v>32647</v>
      </c>
      <c r="AB7469">
        <v>1E-4</v>
      </c>
      <c r="AC7469">
        <v>7</v>
      </c>
      <c r="AD7469" s="5">
        <v>4.9295672143471387</v>
      </c>
      <c r="AE7469" s="5">
        <v>2.167301108295395</v>
      </c>
      <c r="AF7469">
        <v>1</v>
      </c>
    </row>
    <row r="7470" spans="27:32" x14ac:dyDescent="0.3">
      <c r="AA7470" s="3">
        <v>28986.73</v>
      </c>
      <c r="AB7470">
        <v>1E-4</v>
      </c>
      <c r="AC7470">
        <v>8</v>
      </c>
      <c r="AD7470" s="5">
        <v>4.9956957498992107</v>
      </c>
      <c r="AE7470" s="5">
        <v>2.0948848436370384</v>
      </c>
      <c r="AF7470">
        <v>1</v>
      </c>
    </row>
    <row r="7471" spans="27:32" x14ac:dyDescent="0.3">
      <c r="AA7471" s="3">
        <v>5460.3</v>
      </c>
      <c r="AB7471">
        <v>1E-4</v>
      </c>
      <c r="AC7471">
        <v>8</v>
      </c>
      <c r="AD7471" s="5">
        <v>4.9810901720047758</v>
      </c>
      <c r="AE7471" s="5">
        <v>2.2776506686338811</v>
      </c>
      <c r="AF7471">
        <v>1</v>
      </c>
    </row>
    <row r="7472" spans="27:32" x14ac:dyDescent="0.3">
      <c r="AA7472" s="3">
        <v>4135.97</v>
      </c>
      <c r="AB7472">
        <v>1E-4</v>
      </c>
      <c r="AC7472">
        <v>8</v>
      </c>
      <c r="AD7472" s="5">
        <v>5.0573207177065571</v>
      </c>
      <c r="AE7472" s="5">
        <v>2.1534338056441467</v>
      </c>
      <c r="AF7472">
        <v>1</v>
      </c>
    </row>
    <row r="7473" spans="27:32" x14ac:dyDescent="0.3">
      <c r="AA7473" s="3">
        <v>14877.89</v>
      </c>
      <c r="AB7473">
        <v>1E-4</v>
      </c>
      <c r="AC7473">
        <v>8</v>
      </c>
      <c r="AD7473" s="5">
        <v>4.8558958493318558</v>
      </c>
      <c r="AE7473" s="5">
        <v>2.1775340701766543</v>
      </c>
      <c r="AF7473">
        <v>1</v>
      </c>
    </row>
    <row r="7474" spans="27:32" x14ac:dyDescent="0.3">
      <c r="AA7474" s="3">
        <v>25813.47</v>
      </c>
      <c r="AB7474">
        <v>1E-4</v>
      </c>
      <c r="AC7474">
        <v>8</v>
      </c>
      <c r="AD7474" s="5">
        <v>5.0837569380340497</v>
      </c>
      <c r="AE7474" s="5">
        <v>2.1474204824572798</v>
      </c>
      <c r="AF7474">
        <v>1</v>
      </c>
    </row>
    <row r="7475" spans="27:32" x14ac:dyDescent="0.3">
      <c r="AA7475" s="3">
        <v>20035.84</v>
      </c>
      <c r="AB7475">
        <v>1E-4</v>
      </c>
      <c r="AC7475">
        <v>8</v>
      </c>
      <c r="AD7475" s="5">
        <v>4.9989052235067319</v>
      </c>
      <c r="AE7475" s="5">
        <v>2.1111466591576087</v>
      </c>
      <c r="AF7475">
        <v>1</v>
      </c>
    </row>
    <row r="7476" spans="27:32" x14ac:dyDescent="0.3">
      <c r="AA7476" s="3">
        <v>18632.66</v>
      </c>
      <c r="AB7476">
        <v>1E-4</v>
      </c>
      <c r="AC7476">
        <v>8</v>
      </c>
      <c r="AD7476" s="5">
        <v>5.034244235034147</v>
      </c>
      <c r="AE7476" s="5">
        <v>2.1994706429809652</v>
      </c>
      <c r="AF7476">
        <v>1</v>
      </c>
    </row>
    <row r="7477" spans="27:32" x14ac:dyDescent="0.3">
      <c r="AA7477" s="3">
        <v>26782.85</v>
      </c>
      <c r="AB7477">
        <v>1E-4</v>
      </c>
      <c r="AC7477">
        <v>8</v>
      </c>
      <c r="AD7477" s="5">
        <v>5.1620939766938889</v>
      </c>
      <c r="AE7477" s="5">
        <v>2.2160406760206661</v>
      </c>
      <c r="AF7477">
        <v>1</v>
      </c>
    </row>
    <row r="7478" spans="27:32" x14ac:dyDescent="0.3">
      <c r="AA7478" s="3">
        <v>-1459.24</v>
      </c>
      <c r="AB7478">
        <v>1E-4</v>
      </c>
      <c r="AC7478">
        <v>9</v>
      </c>
      <c r="AD7478" s="5">
        <v>5.0825008469562718</v>
      </c>
      <c r="AE7478" s="5">
        <v>2.2597467671317997</v>
      </c>
      <c r="AF7478">
        <v>1</v>
      </c>
    </row>
    <row r="7479" spans="27:32" x14ac:dyDescent="0.3">
      <c r="AA7479" s="3">
        <v>25325.4</v>
      </c>
      <c r="AB7479">
        <v>1E-4</v>
      </c>
      <c r="AC7479">
        <v>8</v>
      </c>
      <c r="AD7479" s="5">
        <v>4.9613213479080907</v>
      </c>
      <c r="AE7479" s="5">
        <v>2.1319017208002053</v>
      </c>
      <c r="AF7479">
        <v>1</v>
      </c>
    </row>
    <row r="7480" spans="27:32" x14ac:dyDescent="0.3">
      <c r="AA7480" s="3">
        <v>15881.37</v>
      </c>
      <c r="AB7480">
        <v>1E-4</v>
      </c>
      <c r="AC7480">
        <v>8</v>
      </c>
      <c r="AD7480" s="5">
        <v>5.0165925968796286</v>
      </c>
      <c r="AE7480" s="5">
        <v>2.1804108186029283</v>
      </c>
      <c r="AF7480">
        <v>1</v>
      </c>
    </row>
    <row r="7481" spans="27:32" x14ac:dyDescent="0.3">
      <c r="AA7481" s="3">
        <v>24559.82</v>
      </c>
      <c r="AB7481">
        <v>1E-4</v>
      </c>
      <c r="AC7481">
        <v>8</v>
      </c>
      <c r="AD7481" s="5">
        <v>4.9624838744353221</v>
      </c>
      <c r="AE7481" s="5">
        <v>2.219317495410456</v>
      </c>
      <c r="AF7481">
        <v>1</v>
      </c>
    </row>
    <row r="7482" spans="27:32" x14ac:dyDescent="0.3">
      <c r="AA7482" s="3">
        <v>-6967.61</v>
      </c>
      <c r="AB7482">
        <v>1E-4</v>
      </c>
      <c r="AC7482">
        <v>9</v>
      </c>
      <c r="AD7482" s="5">
        <v>4.9645393105440228</v>
      </c>
      <c r="AE7482" s="5">
        <v>2.1672503486935235</v>
      </c>
      <c r="AF7482">
        <v>1</v>
      </c>
    </row>
    <row r="7483" spans="27:32" x14ac:dyDescent="0.3">
      <c r="AA7483" s="3">
        <v>7557.9</v>
      </c>
      <c r="AB7483">
        <v>1E-4</v>
      </c>
      <c r="AC7483">
        <v>8</v>
      </c>
      <c r="AD7483" s="5">
        <v>4.8593917294966635</v>
      </c>
      <c r="AE7483" s="5">
        <v>2.2969243256075851</v>
      </c>
      <c r="AF7483">
        <v>1</v>
      </c>
    </row>
    <row r="7484" spans="27:32" x14ac:dyDescent="0.3">
      <c r="AA7484" s="3">
        <v>21219.054361648552</v>
      </c>
      <c r="AB7484">
        <v>1E-4</v>
      </c>
      <c r="AC7484">
        <v>7</v>
      </c>
      <c r="AD7484" s="5">
        <v>5.1524878111713122</v>
      </c>
      <c r="AE7484" s="5">
        <v>2.1535407309824102</v>
      </c>
      <c r="AF7484">
        <v>0</v>
      </c>
    </row>
    <row r="7485" spans="27:32" x14ac:dyDescent="0.3">
      <c r="AA7485" s="3">
        <v>10204.36</v>
      </c>
      <c r="AB7485">
        <v>1E-4</v>
      </c>
      <c r="AC7485">
        <v>8</v>
      </c>
      <c r="AD7485" s="5">
        <v>5.0040944735240727</v>
      </c>
      <c r="AE7485" s="5">
        <v>2.2723420163942651</v>
      </c>
      <c r="AF7485">
        <v>1</v>
      </c>
    </row>
    <row r="7486" spans="27:32" x14ac:dyDescent="0.3">
      <c r="AA7486" s="3">
        <v>21031.41</v>
      </c>
      <c r="AB7486">
        <v>1E-4</v>
      </c>
      <c r="AC7486">
        <v>8</v>
      </c>
      <c r="AD7486" s="5">
        <v>4.9522727801685207</v>
      </c>
      <c r="AE7486" s="5">
        <v>2.2464928822310624</v>
      </c>
      <c r="AF7486">
        <v>1</v>
      </c>
    </row>
    <row r="7487" spans="27:32" x14ac:dyDescent="0.3">
      <c r="AA7487" s="3">
        <v>22117.32</v>
      </c>
      <c r="AB7487">
        <v>1E-4</v>
      </c>
      <c r="AC7487">
        <v>8</v>
      </c>
      <c r="AD7487" s="5">
        <v>5.0606575445879347</v>
      </c>
      <c r="AE7487" s="5">
        <v>2.2138935484669777</v>
      </c>
      <c r="AF7487">
        <v>1</v>
      </c>
    </row>
    <row r="7488" spans="27:32" x14ac:dyDescent="0.3">
      <c r="AA7488" s="3">
        <v>16138.94</v>
      </c>
      <c r="AB7488">
        <v>1E-4</v>
      </c>
      <c r="AC7488">
        <v>8</v>
      </c>
      <c r="AD7488" s="5">
        <v>5.0328574583529653</v>
      </c>
      <c r="AE7488" s="5">
        <v>2.2412303252604002</v>
      </c>
      <c r="AF7488">
        <v>1</v>
      </c>
    </row>
    <row r="7489" spans="27:32" x14ac:dyDescent="0.3">
      <c r="AA7489" s="3">
        <v>14666.89</v>
      </c>
      <c r="AB7489">
        <v>1E-4</v>
      </c>
      <c r="AC7489">
        <v>8</v>
      </c>
      <c r="AD7489" s="5">
        <v>5.032471606520394</v>
      </c>
      <c r="AE7489" s="5">
        <v>2.1176380448992518</v>
      </c>
      <c r="AF7489">
        <v>1</v>
      </c>
    </row>
    <row r="7490" spans="27:32" x14ac:dyDescent="0.3">
      <c r="AA7490" s="3">
        <v>34892.230000000003</v>
      </c>
      <c r="AB7490">
        <v>1E-4</v>
      </c>
      <c r="AC7490">
        <v>7</v>
      </c>
      <c r="AD7490" s="5">
        <v>5.1971377909380019</v>
      </c>
      <c r="AE7490" s="5">
        <v>2.1813329655655394</v>
      </c>
      <c r="AF7490">
        <v>1</v>
      </c>
    </row>
    <row r="7491" spans="27:32" x14ac:dyDescent="0.3">
      <c r="AA7491" s="3">
        <v>49644.3</v>
      </c>
      <c r="AB7491">
        <v>1E-4</v>
      </c>
      <c r="AC7491">
        <v>6</v>
      </c>
      <c r="AD7491" s="5">
        <v>5.2105378522454977</v>
      </c>
      <c r="AE7491" s="5">
        <v>2.2062159568389448</v>
      </c>
      <c r="AF7491">
        <v>1</v>
      </c>
    </row>
    <row r="7492" spans="27:32" x14ac:dyDescent="0.3">
      <c r="AA7492" s="3">
        <v>2417.14</v>
      </c>
      <c r="AB7492">
        <v>1E-4</v>
      </c>
      <c r="AC7492">
        <v>8</v>
      </c>
      <c r="AD7492" s="5">
        <v>4.8640402075021969</v>
      </c>
      <c r="AE7492" s="5">
        <v>2.189343919244807</v>
      </c>
      <c r="AF7492">
        <v>1</v>
      </c>
    </row>
    <row r="7493" spans="27:32" x14ac:dyDescent="0.3">
      <c r="AA7493" s="3">
        <v>18380.53</v>
      </c>
      <c r="AB7493">
        <v>1E-4</v>
      </c>
      <c r="AC7493">
        <v>8</v>
      </c>
      <c r="AD7493" s="5">
        <v>4.9325567094748841</v>
      </c>
      <c r="AE7493" s="5">
        <v>2.1674815712060203</v>
      </c>
      <c r="AF7493">
        <v>1</v>
      </c>
    </row>
    <row r="7494" spans="27:32" x14ac:dyDescent="0.3">
      <c r="AA7494" s="3">
        <v>18380.53</v>
      </c>
      <c r="AB7494">
        <v>1E-4</v>
      </c>
      <c r="AC7494">
        <v>8</v>
      </c>
      <c r="AD7494" s="5">
        <v>5.1004358011662596</v>
      </c>
      <c r="AE7494" s="5">
        <v>2.2541625113306742</v>
      </c>
      <c r="AF7494">
        <v>1</v>
      </c>
    </row>
    <row r="7495" spans="27:32" x14ac:dyDescent="0.3">
      <c r="AA7495" s="3">
        <v>-1022.73</v>
      </c>
      <c r="AB7495">
        <v>1E-4</v>
      </c>
      <c r="AC7495">
        <v>9</v>
      </c>
      <c r="AD7495" s="5">
        <v>4.9726620515636242</v>
      </c>
      <c r="AE7495" s="5">
        <v>2.1806429648325656</v>
      </c>
      <c r="AF7495">
        <v>1</v>
      </c>
    </row>
    <row r="7496" spans="27:32" x14ac:dyDescent="0.3">
      <c r="AA7496" s="3">
        <v>13495.89</v>
      </c>
      <c r="AB7496">
        <v>1E-4</v>
      </c>
      <c r="AC7496">
        <v>8</v>
      </c>
      <c r="AD7496" s="5">
        <v>5.0788725612090522</v>
      </c>
      <c r="AE7496" s="5">
        <v>2.2449833336657155</v>
      </c>
      <c r="AF7496">
        <v>1</v>
      </c>
    </row>
    <row r="7497" spans="27:32" x14ac:dyDescent="0.3">
      <c r="AA7497" s="3">
        <v>13495.89</v>
      </c>
      <c r="AB7497">
        <v>1E-4</v>
      </c>
      <c r="AC7497">
        <v>8</v>
      </c>
      <c r="AD7497" s="5">
        <v>4.865232922598115</v>
      </c>
      <c r="AE7497" s="5">
        <v>2.1853600456463909</v>
      </c>
      <c r="AF7497">
        <v>1</v>
      </c>
    </row>
    <row r="7498" spans="27:32" x14ac:dyDescent="0.3">
      <c r="AA7498" s="3">
        <v>28832.21</v>
      </c>
      <c r="AB7498">
        <v>1E-4</v>
      </c>
      <c r="AC7498">
        <v>8</v>
      </c>
      <c r="AD7498" s="5">
        <v>5.161893606922205</v>
      </c>
      <c r="AE7498" s="5">
        <v>2.2569008194892826</v>
      </c>
      <c r="AF7498">
        <v>1</v>
      </c>
    </row>
    <row r="7499" spans="27:32" x14ac:dyDescent="0.3">
      <c r="AA7499" s="3">
        <v>21711.66</v>
      </c>
      <c r="AB7499">
        <v>1E-4</v>
      </c>
      <c r="AC7499">
        <v>8</v>
      </c>
      <c r="AD7499" s="5">
        <v>4.9732891478508128</v>
      </c>
      <c r="AE7499" s="5">
        <v>2.1839442833108897</v>
      </c>
      <c r="AF7499">
        <v>1</v>
      </c>
    </row>
    <row r="7500" spans="27:32" x14ac:dyDescent="0.3">
      <c r="AA7500" s="3">
        <v>36718.94</v>
      </c>
      <c r="AB7500">
        <v>1E-4</v>
      </c>
      <c r="AC7500">
        <v>7</v>
      </c>
      <c r="AD7500" s="5">
        <v>5.0079418795264594</v>
      </c>
      <c r="AE7500" s="5">
        <v>2.1553517306027663</v>
      </c>
      <c r="AF7500">
        <v>1</v>
      </c>
    </row>
    <row r="7501" spans="27:32" x14ac:dyDescent="0.3">
      <c r="AA7501" s="3">
        <v>36718.94</v>
      </c>
      <c r="AB7501">
        <v>1E-4</v>
      </c>
      <c r="AC7501">
        <v>7</v>
      </c>
      <c r="AD7501" s="5">
        <v>5.1118763648985732</v>
      </c>
      <c r="AE7501" s="5">
        <v>2.1463706625796171</v>
      </c>
      <c r="AF7501">
        <v>1</v>
      </c>
    </row>
    <row r="7502" spans="27:32" x14ac:dyDescent="0.3">
      <c r="AA7502" s="3">
        <v>-18347.96</v>
      </c>
      <c r="AB7502">
        <v>1E-4</v>
      </c>
      <c r="AC7502">
        <v>9</v>
      </c>
      <c r="AD7502" s="5">
        <v>4.8864979427605943</v>
      </c>
      <c r="AE7502" s="5">
        <v>2.2332558904862996</v>
      </c>
      <c r="AF7502">
        <v>1</v>
      </c>
    </row>
    <row r="7503" spans="27:32" x14ac:dyDescent="0.3">
      <c r="AA7503" s="3">
        <v>22656.63</v>
      </c>
      <c r="AB7503">
        <v>1E-4</v>
      </c>
      <c r="AC7503">
        <v>8</v>
      </c>
      <c r="AD7503" s="5">
        <v>5.0120590991148637</v>
      </c>
      <c r="AE7503" s="5">
        <v>2.2211297225267312</v>
      </c>
      <c r="AF7503">
        <v>1</v>
      </c>
    </row>
    <row r="7504" spans="27:32" x14ac:dyDescent="0.3">
      <c r="AA7504" s="3">
        <v>-10006.65</v>
      </c>
      <c r="AB7504">
        <v>1E-4</v>
      </c>
      <c r="AC7504">
        <v>9</v>
      </c>
      <c r="AD7504" s="5">
        <v>4.8938596417086302</v>
      </c>
      <c r="AE7504" s="5">
        <v>2.2093535925567473</v>
      </c>
      <c r="AF7504">
        <v>1</v>
      </c>
    </row>
    <row r="7505" spans="27:32" x14ac:dyDescent="0.3">
      <c r="AA7505" s="3">
        <v>2754.86</v>
      </c>
      <c r="AB7505">
        <v>1E-4</v>
      </c>
      <c r="AC7505">
        <v>8</v>
      </c>
      <c r="AD7505" s="5">
        <v>5.0597796915886732</v>
      </c>
      <c r="AE7505" s="5">
        <v>2.1935130961548901</v>
      </c>
      <c r="AF7505">
        <v>1</v>
      </c>
    </row>
    <row r="7506" spans="27:32" x14ac:dyDescent="0.3">
      <c r="AA7506" s="3">
        <v>-9436.9500000000007</v>
      </c>
      <c r="AB7506">
        <v>1E-4</v>
      </c>
      <c r="AC7506">
        <v>9</v>
      </c>
      <c r="AD7506" s="5">
        <v>5.0211223189454621</v>
      </c>
      <c r="AE7506" s="5">
        <v>2.1281400149901875</v>
      </c>
      <c r="AF7506">
        <v>1</v>
      </c>
    </row>
    <row r="7507" spans="27:32" x14ac:dyDescent="0.3">
      <c r="AA7507" s="3">
        <v>36318.97</v>
      </c>
      <c r="AB7507">
        <v>1E-4</v>
      </c>
      <c r="AC7507">
        <v>7</v>
      </c>
      <c r="AD7507" s="5">
        <v>5.1084722255002664</v>
      </c>
      <c r="AE7507" s="5">
        <v>2.2640419714968667</v>
      </c>
      <c r="AF7507">
        <v>1</v>
      </c>
    </row>
    <row r="7508" spans="27:32" x14ac:dyDescent="0.3">
      <c r="AA7508" s="3">
        <v>36991.43</v>
      </c>
      <c r="AB7508">
        <v>1E-4</v>
      </c>
      <c r="AC7508">
        <v>7</v>
      </c>
      <c r="AD7508" s="5">
        <v>5.08058519645241</v>
      </c>
      <c r="AE7508" s="5">
        <v>2.1571852516792305</v>
      </c>
      <c r="AF7508">
        <v>1</v>
      </c>
    </row>
    <row r="7509" spans="27:32" x14ac:dyDescent="0.3">
      <c r="AA7509" s="3">
        <v>1394.32</v>
      </c>
      <c r="AB7509">
        <v>1E-4</v>
      </c>
      <c r="AC7509">
        <v>8</v>
      </c>
      <c r="AD7509" s="5">
        <v>5.0537448963724945</v>
      </c>
      <c r="AE7509" s="5">
        <v>2.152199796991086</v>
      </c>
      <c r="AF7509">
        <v>1</v>
      </c>
    </row>
    <row r="7510" spans="27:32" x14ac:dyDescent="0.3">
      <c r="AA7510" s="3">
        <v>30671.01</v>
      </c>
      <c r="AB7510">
        <v>1E-4</v>
      </c>
      <c r="AC7510">
        <v>7</v>
      </c>
      <c r="AD7510" s="5">
        <v>5.0123368802268171</v>
      </c>
      <c r="AE7510" s="5">
        <v>2.1349409693682317</v>
      </c>
      <c r="AF7510">
        <v>1</v>
      </c>
    </row>
    <row r="7511" spans="27:32" x14ac:dyDescent="0.3">
      <c r="AA7511" s="3">
        <v>53256.5</v>
      </c>
      <c r="AB7511">
        <v>1E-4</v>
      </c>
      <c r="AC7511">
        <v>6</v>
      </c>
      <c r="AD7511" s="5">
        <v>5.0960927545694066</v>
      </c>
      <c r="AE7511" s="5">
        <v>2.1773157514652959</v>
      </c>
      <c r="AF7511">
        <v>1</v>
      </c>
    </row>
    <row r="7512" spans="27:32" x14ac:dyDescent="0.3">
      <c r="AA7512" s="3">
        <v>13161.94</v>
      </c>
      <c r="AB7512">
        <v>1E-4</v>
      </c>
      <c r="AC7512">
        <v>8</v>
      </c>
      <c r="AD7512" s="5">
        <v>5.1177856369637347</v>
      </c>
      <c r="AE7512" s="5">
        <v>2.3192036417424551</v>
      </c>
      <c r="AF7512">
        <v>1</v>
      </c>
    </row>
    <row r="7513" spans="27:32" x14ac:dyDescent="0.3">
      <c r="AA7513" s="3">
        <v>29617.63</v>
      </c>
      <c r="AB7513">
        <v>1E-4</v>
      </c>
      <c r="AC7513">
        <v>8</v>
      </c>
      <c r="AD7513" s="5">
        <v>5.0514752138546433</v>
      </c>
      <c r="AE7513" s="5">
        <v>2.1675941436942066</v>
      </c>
      <c r="AF7513">
        <v>1</v>
      </c>
    </row>
    <row r="7514" spans="27:32" x14ac:dyDescent="0.3">
      <c r="AA7514" s="3">
        <v>7550.1</v>
      </c>
      <c r="AB7514">
        <v>1E-4</v>
      </c>
      <c r="AC7514">
        <v>8</v>
      </c>
      <c r="AD7514" s="5">
        <v>5.08379776210014</v>
      </c>
      <c r="AE7514" s="5">
        <v>2.186959774117188</v>
      </c>
      <c r="AF7514">
        <v>1</v>
      </c>
    </row>
    <row r="7515" spans="27:32" x14ac:dyDescent="0.3">
      <c r="AA7515" s="3">
        <v>13752.75</v>
      </c>
      <c r="AB7515">
        <v>1E-4</v>
      </c>
      <c r="AC7515">
        <v>8</v>
      </c>
      <c r="AD7515" s="5">
        <v>5.2575010375104823</v>
      </c>
      <c r="AE7515" s="5">
        <v>2.1288217400956331</v>
      </c>
      <c r="AF7515">
        <v>1</v>
      </c>
    </row>
    <row r="7516" spans="27:32" x14ac:dyDescent="0.3">
      <c r="AA7516" s="3">
        <v>13752.75</v>
      </c>
      <c r="AB7516">
        <v>1E-4</v>
      </c>
      <c r="AC7516">
        <v>8</v>
      </c>
      <c r="AD7516" s="5">
        <v>4.9826203020833351</v>
      </c>
      <c r="AE7516" s="5">
        <v>2.1698626212775767</v>
      </c>
      <c r="AF7516">
        <v>1</v>
      </c>
    </row>
    <row r="7517" spans="27:32" x14ac:dyDescent="0.3">
      <c r="AA7517" s="3">
        <v>-9772.5</v>
      </c>
      <c r="AB7517">
        <v>1E-4</v>
      </c>
      <c r="AC7517">
        <v>9</v>
      </c>
      <c r="AD7517" s="5">
        <v>4.8366234790738405</v>
      </c>
      <c r="AE7517" s="5">
        <v>2.2999776500593452</v>
      </c>
      <c r="AF7517">
        <v>1</v>
      </c>
    </row>
    <row r="7518" spans="27:32" x14ac:dyDescent="0.3">
      <c r="AA7518" s="3">
        <v>11937.66</v>
      </c>
      <c r="AB7518">
        <v>1E-4</v>
      </c>
      <c r="AC7518">
        <v>8</v>
      </c>
      <c r="AD7518" s="5">
        <v>4.9066572115475333</v>
      </c>
      <c r="AE7518" s="5">
        <v>2.1654465364771323</v>
      </c>
      <c r="AF7518">
        <v>1</v>
      </c>
    </row>
    <row r="7519" spans="27:32" x14ac:dyDescent="0.3">
      <c r="AA7519" s="3">
        <v>18444.490000000002</v>
      </c>
      <c r="AB7519">
        <v>1E-4</v>
      </c>
      <c r="AC7519">
        <v>8</v>
      </c>
      <c r="AD7519" s="5">
        <v>4.9534719466583921</v>
      </c>
      <c r="AE7519" s="5">
        <v>2.1123984080625582</v>
      </c>
      <c r="AF7519">
        <v>1</v>
      </c>
    </row>
    <row r="7520" spans="27:32" x14ac:dyDescent="0.3">
      <c r="AA7520" s="3">
        <v>-2035.24</v>
      </c>
      <c r="AB7520">
        <v>1E-4</v>
      </c>
      <c r="AC7520">
        <v>9</v>
      </c>
      <c r="AD7520" s="5">
        <v>5.0696345524953426</v>
      </c>
      <c r="AE7520" s="5">
        <v>2.2708671291434341</v>
      </c>
      <c r="AF7520">
        <v>1</v>
      </c>
    </row>
    <row r="7521" spans="27:32" x14ac:dyDescent="0.3">
      <c r="AA7521" s="3">
        <v>-2035.24</v>
      </c>
      <c r="AB7521">
        <v>1E-4</v>
      </c>
      <c r="AC7521">
        <v>9</v>
      </c>
      <c r="AD7521" s="5">
        <v>5.0018251447525923</v>
      </c>
      <c r="AE7521" s="5">
        <v>2.1417801711528428</v>
      </c>
      <c r="AF7521">
        <v>1</v>
      </c>
    </row>
    <row r="7522" spans="27:32" x14ac:dyDescent="0.3">
      <c r="AA7522" s="3">
        <v>-13167.24</v>
      </c>
      <c r="AB7522">
        <v>1E-4</v>
      </c>
      <c r="AC7522">
        <v>9</v>
      </c>
      <c r="AD7522" s="5">
        <v>4.8968658418948658</v>
      </c>
      <c r="AE7522" s="5">
        <v>2.275432575305639</v>
      </c>
      <c r="AF7522">
        <v>1</v>
      </c>
    </row>
    <row r="7523" spans="27:32" x14ac:dyDescent="0.3">
      <c r="AA7523" s="3">
        <v>-13167.24</v>
      </c>
      <c r="AB7523">
        <v>1E-4</v>
      </c>
      <c r="AC7523">
        <v>9</v>
      </c>
      <c r="AD7523" s="5">
        <v>4.9238224483535582</v>
      </c>
      <c r="AE7523" s="5">
        <v>2.2087643762740408</v>
      </c>
      <c r="AF7523">
        <v>1</v>
      </c>
    </row>
    <row r="7524" spans="27:32" x14ac:dyDescent="0.3">
      <c r="AA7524" s="3">
        <v>13135.16</v>
      </c>
      <c r="AB7524">
        <v>1E-4</v>
      </c>
      <c r="AC7524">
        <v>8</v>
      </c>
      <c r="AD7524" s="5">
        <v>4.9874790123595734</v>
      </c>
      <c r="AE7524" s="5">
        <v>2.2327269743243447</v>
      </c>
      <c r="AF7524">
        <v>1</v>
      </c>
    </row>
    <row r="7525" spans="27:32" x14ac:dyDescent="0.3">
      <c r="AA7525" s="3">
        <v>-20541.16252354264</v>
      </c>
      <c r="AB7525">
        <v>1E-4</v>
      </c>
      <c r="AC7525">
        <v>9</v>
      </c>
      <c r="AD7525" s="5">
        <v>4.9093433197845542</v>
      </c>
      <c r="AE7525" s="5">
        <v>2.2462453784389824</v>
      </c>
      <c r="AF7525">
        <v>0</v>
      </c>
    </row>
    <row r="7526" spans="27:32" x14ac:dyDescent="0.3">
      <c r="AA7526" s="3">
        <v>-20541.16252354264</v>
      </c>
      <c r="AB7526">
        <v>1E-4</v>
      </c>
      <c r="AC7526">
        <v>9</v>
      </c>
      <c r="AD7526" s="5">
        <v>5.1414091410956022</v>
      </c>
      <c r="AE7526" s="5">
        <v>2.2227899505261215</v>
      </c>
      <c r="AF7526">
        <v>0</v>
      </c>
    </row>
    <row r="7527" spans="27:32" x14ac:dyDescent="0.3">
      <c r="AA7527" s="3">
        <v>12293.96</v>
      </c>
      <c r="AB7527">
        <v>1E-4</v>
      </c>
      <c r="AC7527">
        <v>8</v>
      </c>
      <c r="AD7527" s="5">
        <v>5.0234561803420714</v>
      </c>
      <c r="AE7527" s="5">
        <v>2.1092792710767494</v>
      </c>
      <c r="AF7527">
        <v>1</v>
      </c>
    </row>
    <row r="7528" spans="27:32" x14ac:dyDescent="0.3">
      <c r="AA7528" s="3">
        <v>33723.1</v>
      </c>
      <c r="AB7528">
        <v>1E-4</v>
      </c>
      <c r="AC7528">
        <v>7</v>
      </c>
      <c r="AD7528" s="5">
        <v>5.0407819501114828</v>
      </c>
      <c r="AE7528" s="5">
        <v>2.1847137960188121</v>
      </c>
      <c r="AF7528">
        <v>1</v>
      </c>
    </row>
    <row r="7529" spans="27:32" x14ac:dyDescent="0.3">
      <c r="AA7529" s="3">
        <v>1209.47</v>
      </c>
      <c r="AB7529">
        <v>1E-4</v>
      </c>
      <c r="AC7529">
        <v>8</v>
      </c>
      <c r="AD7529" s="5">
        <v>4.9379649531031413</v>
      </c>
      <c r="AE7529" s="5">
        <v>2.1652635494133468</v>
      </c>
      <c r="AF7529">
        <v>1</v>
      </c>
    </row>
    <row r="7530" spans="27:32" x14ac:dyDescent="0.3">
      <c r="AA7530" s="3">
        <v>5071.67</v>
      </c>
      <c r="AB7530">
        <v>1E-4</v>
      </c>
      <c r="AC7530">
        <v>8</v>
      </c>
      <c r="AD7530" s="5">
        <v>4.9948559171163112</v>
      </c>
      <c r="AE7530" s="5">
        <v>2.2299102115281926</v>
      </c>
      <c r="AF7530">
        <v>1</v>
      </c>
    </row>
    <row r="7531" spans="27:32" x14ac:dyDescent="0.3">
      <c r="AA7531" s="3">
        <v>2423.11</v>
      </c>
      <c r="AB7531">
        <v>1E-4</v>
      </c>
      <c r="AC7531">
        <v>8</v>
      </c>
      <c r="AD7531" s="5">
        <v>5.0655088142332403</v>
      </c>
      <c r="AE7531" s="5">
        <v>2.1582940137008348</v>
      </c>
      <c r="AF7531">
        <v>1</v>
      </c>
    </row>
    <row r="7532" spans="27:32" x14ac:dyDescent="0.3">
      <c r="AA7532" s="3">
        <v>-297.04000000000002</v>
      </c>
      <c r="AB7532">
        <v>1E-4</v>
      </c>
      <c r="AC7532">
        <v>9</v>
      </c>
      <c r="AD7532" s="5">
        <v>4.9961362546354318</v>
      </c>
      <c r="AE7532" s="5">
        <v>2.318712797929769</v>
      </c>
      <c r="AF7532">
        <v>1</v>
      </c>
    </row>
    <row r="7533" spans="27:32" x14ac:dyDescent="0.3">
      <c r="AA7533" s="3">
        <v>-59.85</v>
      </c>
      <c r="AB7533">
        <v>1E-4</v>
      </c>
      <c r="AC7533">
        <v>9</v>
      </c>
      <c r="AD7533" s="5">
        <v>5.0534388823448504</v>
      </c>
      <c r="AE7533" s="5">
        <v>2.2092288930747701</v>
      </c>
      <c r="AF7533">
        <v>1</v>
      </c>
    </row>
    <row r="7534" spans="27:32" x14ac:dyDescent="0.3">
      <c r="AA7534" s="3">
        <v>-232.03</v>
      </c>
      <c r="AB7534">
        <v>1E-4</v>
      </c>
      <c r="AC7534">
        <v>9</v>
      </c>
      <c r="AD7534" s="5">
        <v>4.9396301728296166</v>
      </c>
      <c r="AE7534" s="5">
        <v>2.163531136334242</v>
      </c>
      <c r="AF7534">
        <v>1</v>
      </c>
    </row>
    <row r="7535" spans="27:32" x14ac:dyDescent="0.3">
      <c r="AA7535" s="3">
        <v>18476.57</v>
      </c>
      <c r="AB7535">
        <v>1E-4</v>
      </c>
      <c r="AC7535">
        <v>8</v>
      </c>
      <c r="AD7535" s="5">
        <v>4.9835285064006509</v>
      </c>
      <c r="AE7535" s="5">
        <v>2.1739379336996478</v>
      </c>
      <c r="AF7535">
        <v>1</v>
      </c>
    </row>
    <row r="7536" spans="27:32" x14ac:dyDescent="0.3">
      <c r="AA7536" s="3">
        <v>19970.05</v>
      </c>
      <c r="AB7536">
        <v>1E-4</v>
      </c>
      <c r="AC7536">
        <v>8</v>
      </c>
      <c r="AD7536" s="5">
        <v>5.0200406547231706</v>
      </c>
      <c r="AE7536" s="5">
        <v>2.210616424915564</v>
      </c>
      <c r="AF7536">
        <v>1</v>
      </c>
    </row>
    <row r="7537" spans="27:32" x14ac:dyDescent="0.3">
      <c r="AA7537" s="3">
        <v>20171.310000000001</v>
      </c>
      <c r="AB7537">
        <v>1E-4</v>
      </c>
      <c r="AC7537">
        <v>8</v>
      </c>
      <c r="AD7537" s="5">
        <v>4.8213724534260667</v>
      </c>
      <c r="AE7537" s="5">
        <v>2.1857328324308343</v>
      </c>
      <c r="AF7537">
        <v>1</v>
      </c>
    </row>
    <row r="7538" spans="27:32" x14ac:dyDescent="0.3">
      <c r="AA7538" s="3">
        <v>30953.84</v>
      </c>
      <c r="AB7538">
        <v>1E-4</v>
      </c>
      <c r="AC7538">
        <v>8</v>
      </c>
      <c r="AD7538" s="5">
        <v>5.1474755021689456</v>
      </c>
      <c r="AE7538" s="5">
        <v>2.2060585284309036</v>
      </c>
      <c r="AF7538">
        <v>1</v>
      </c>
    </row>
    <row r="7539" spans="27:32" x14ac:dyDescent="0.3">
      <c r="AA7539" s="3">
        <v>29189.31</v>
      </c>
      <c r="AB7539">
        <v>1E-4</v>
      </c>
      <c r="AC7539">
        <v>7</v>
      </c>
      <c r="AD7539" s="5">
        <v>4.9667482508548311</v>
      </c>
      <c r="AE7539" s="5">
        <v>2.1836042256191703</v>
      </c>
      <c r="AF7539">
        <v>1</v>
      </c>
    </row>
    <row r="7540" spans="27:32" x14ac:dyDescent="0.3">
      <c r="AA7540" s="3">
        <v>9243.59</v>
      </c>
      <c r="AB7540">
        <v>1E-4</v>
      </c>
      <c r="AC7540">
        <v>8</v>
      </c>
      <c r="AD7540" s="5">
        <v>5.0505102573229355</v>
      </c>
      <c r="AE7540" s="5">
        <v>2.2062723231315498</v>
      </c>
      <c r="AF7540">
        <v>1</v>
      </c>
    </row>
    <row r="7541" spans="27:32" x14ac:dyDescent="0.3">
      <c r="AA7541" s="3">
        <v>18362.05</v>
      </c>
      <c r="AB7541">
        <v>1E-4</v>
      </c>
      <c r="AC7541">
        <v>8</v>
      </c>
      <c r="AD7541" s="5">
        <v>4.9769868676373292</v>
      </c>
      <c r="AE7541" s="5">
        <v>2.3044506871599335</v>
      </c>
      <c r="AF7541">
        <v>1</v>
      </c>
    </row>
    <row r="7542" spans="27:32" x14ac:dyDescent="0.3">
      <c r="AA7542" s="3">
        <v>17427.95</v>
      </c>
      <c r="AB7542">
        <v>1E-4</v>
      </c>
      <c r="AC7542">
        <v>8</v>
      </c>
      <c r="AD7542" s="5">
        <v>5.0339882758329013</v>
      </c>
      <c r="AE7542" s="5">
        <v>2.1864299995789249</v>
      </c>
      <c r="AF7542">
        <v>1</v>
      </c>
    </row>
    <row r="7543" spans="27:32" x14ac:dyDescent="0.3">
      <c r="AA7543" s="3">
        <v>16226.75</v>
      </c>
      <c r="AB7543">
        <v>1E-4</v>
      </c>
      <c r="AC7543">
        <v>8</v>
      </c>
      <c r="AD7543" s="5">
        <v>4.9176091440439036</v>
      </c>
      <c r="AE7543" s="5">
        <v>2.1755518231569719</v>
      </c>
      <c r="AF7543">
        <v>1</v>
      </c>
    </row>
    <row r="7544" spans="27:32" x14ac:dyDescent="0.3">
      <c r="AA7544" s="3">
        <v>19771.189999999999</v>
      </c>
      <c r="AB7544">
        <v>1E-4</v>
      </c>
      <c r="AC7544">
        <v>8</v>
      </c>
      <c r="AD7544" s="5">
        <v>4.9926853664047073</v>
      </c>
      <c r="AE7544" s="5">
        <v>2.184003568606244</v>
      </c>
      <c r="AF7544">
        <v>1</v>
      </c>
    </row>
    <row r="7545" spans="27:32" x14ac:dyDescent="0.3">
      <c r="AA7545" s="3">
        <v>46468.79</v>
      </c>
      <c r="AB7545">
        <v>1E-4</v>
      </c>
      <c r="AC7545">
        <v>7</v>
      </c>
      <c r="AD7545" s="5">
        <v>4.9807571450111983</v>
      </c>
      <c r="AE7545" s="5">
        <v>2.1609872636213687</v>
      </c>
      <c r="AF7545">
        <v>1</v>
      </c>
    </row>
    <row r="7546" spans="27:32" x14ac:dyDescent="0.3">
      <c r="AA7546" s="3">
        <v>56686.43</v>
      </c>
      <c r="AB7546">
        <v>1E-4</v>
      </c>
      <c r="AC7546">
        <v>6</v>
      </c>
      <c r="AD7546" s="5">
        <v>5.0125166542251502</v>
      </c>
      <c r="AE7546" s="5">
        <v>2.1368827366620735</v>
      </c>
      <c r="AF7546">
        <v>1</v>
      </c>
    </row>
    <row r="7547" spans="27:32" x14ac:dyDescent="0.3">
      <c r="AA7547" s="3">
        <v>4130.5200000000004</v>
      </c>
      <c r="AB7547">
        <v>1E-4</v>
      </c>
      <c r="AC7547">
        <v>8</v>
      </c>
      <c r="AD7547" s="5">
        <v>4.9761489578055054</v>
      </c>
      <c r="AE7547" s="5">
        <v>2.1794870251672265</v>
      </c>
      <c r="AF7547">
        <v>1</v>
      </c>
    </row>
    <row r="7548" spans="27:32" x14ac:dyDescent="0.3">
      <c r="AA7548" s="3">
        <v>-18450.89</v>
      </c>
      <c r="AB7548">
        <v>1E-4</v>
      </c>
      <c r="AC7548">
        <v>9</v>
      </c>
      <c r="AD7548" s="5">
        <v>4.9435272092832188</v>
      </c>
      <c r="AE7548" s="5">
        <v>2.2236850914583997</v>
      </c>
      <c r="AF7548">
        <v>1</v>
      </c>
    </row>
    <row r="7549" spans="27:32" x14ac:dyDescent="0.3">
      <c r="AA7549" s="3">
        <v>-143.91</v>
      </c>
      <c r="AB7549">
        <v>1E-4</v>
      </c>
      <c r="AC7549">
        <v>9</v>
      </c>
      <c r="AD7549" s="5">
        <v>5.0274749186611372</v>
      </c>
      <c r="AE7549" s="5">
        <v>2.2491393755432942</v>
      </c>
      <c r="AF7549">
        <v>1</v>
      </c>
    </row>
    <row r="7550" spans="27:32" x14ac:dyDescent="0.3">
      <c r="AA7550" s="3">
        <v>15931.94</v>
      </c>
      <c r="AB7550">
        <v>1E-4</v>
      </c>
      <c r="AC7550">
        <v>8</v>
      </c>
      <c r="AD7550" s="5">
        <v>5.0130902068423886</v>
      </c>
      <c r="AE7550" s="5">
        <v>2.1784201824239284</v>
      </c>
      <c r="AF7550">
        <v>1</v>
      </c>
    </row>
    <row r="7551" spans="27:32" x14ac:dyDescent="0.3">
      <c r="AA7551" s="3">
        <v>27016.11</v>
      </c>
      <c r="AB7551">
        <v>1E-4</v>
      </c>
      <c r="AC7551">
        <v>8</v>
      </c>
      <c r="AD7551" s="5">
        <v>5.0527928415300298</v>
      </c>
      <c r="AE7551" s="5">
        <v>2.196315100826352</v>
      </c>
      <c r="AF7551">
        <v>1</v>
      </c>
    </row>
    <row r="7552" spans="27:32" x14ac:dyDescent="0.3">
      <c r="AA7552" s="3">
        <v>38433</v>
      </c>
      <c r="AB7552">
        <v>1E-4</v>
      </c>
      <c r="AC7552">
        <v>7</v>
      </c>
      <c r="AD7552" s="5">
        <v>5.0664396167832502</v>
      </c>
      <c r="AE7552" s="5">
        <v>2.1529410877092303</v>
      </c>
      <c r="AF7552">
        <v>1</v>
      </c>
    </row>
    <row r="7553" spans="27:32" x14ac:dyDescent="0.3">
      <c r="AA7553" s="3">
        <v>33119.25</v>
      </c>
      <c r="AB7553">
        <v>1E-4</v>
      </c>
      <c r="AC7553">
        <v>7</v>
      </c>
      <c r="AD7553" s="5">
        <v>5.0494951416243801</v>
      </c>
      <c r="AE7553" s="5">
        <v>2.1420059443169692</v>
      </c>
      <c r="AF7553">
        <v>1</v>
      </c>
    </row>
    <row r="7554" spans="27:32" x14ac:dyDescent="0.3">
      <c r="AA7554" s="3">
        <v>147.16</v>
      </c>
      <c r="AB7554">
        <v>1E-4</v>
      </c>
      <c r="AC7554">
        <v>8</v>
      </c>
      <c r="AD7554" s="5">
        <v>4.9596164135058256</v>
      </c>
      <c r="AE7554" s="5">
        <v>2.2073878632859372</v>
      </c>
      <c r="AF7554">
        <v>1</v>
      </c>
    </row>
    <row r="7555" spans="27:32" x14ac:dyDescent="0.3">
      <c r="AA7555" s="3">
        <v>-6955.93</v>
      </c>
      <c r="AB7555">
        <v>1E-4</v>
      </c>
      <c r="AC7555">
        <v>9</v>
      </c>
      <c r="AD7555" s="5">
        <v>4.904072744023396</v>
      </c>
      <c r="AE7555" s="5">
        <v>2.2572225183720573</v>
      </c>
      <c r="AF7555">
        <v>1</v>
      </c>
    </row>
    <row r="7556" spans="27:32" x14ac:dyDescent="0.3">
      <c r="AA7556" s="3">
        <v>20358.419999999998</v>
      </c>
      <c r="AB7556">
        <v>1E-4</v>
      </c>
      <c r="AC7556">
        <v>8</v>
      </c>
      <c r="AD7556" s="5">
        <v>4.9954251891941599</v>
      </c>
      <c r="AE7556" s="5">
        <v>2.1571883119752115</v>
      </c>
      <c r="AF7556">
        <v>1</v>
      </c>
    </row>
    <row r="7557" spans="27:32" x14ac:dyDescent="0.3">
      <c r="AA7557" s="3">
        <v>39455.14</v>
      </c>
      <c r="AB7557">
        <v>1E-4</v>
      </c>
      <c r="AC7557">
        <v>7</v>
      </c>
      <c r="AD7557" s="5">
        <v>5.0386987795623597</v>
      </c>
      <c r="AE7557" s="5">
        <v>2.1769274901534437</v>
      </c>
      <c r="AF7557">
        <v>1</v>
      </c>
    </row>
    <row r="7558" spans="27:32" x14ac:dyDescent="0.3">
      <c r="AA7558" s="3">
        <v>-3604.6</v>
      </c>
      <c r="AB7558">
        <v>1E-4</v>
      </c>
      <c r="AC7558">
        <v>9</v>
      </c>
      <c r="AD7558" s="5">
        <v>4.8666659130162744</v>
      </c>
      <c r="AE7558" s="5">
        <v>2.1877778904598895</v>
      </c>
      <c r="AF7558">
        <v>1</v>
      </c>
    </row>
    <row r="7559" spans="27:32" x14ac:dyDescent="0.3">
      <c r="AA7559" s="3">
        <v>3975.23</v>
      </c>
      <c r="AB7559">
        <v>1E-4</v>
      </c>
      <c r="AC7559">
        <v>8</v>
      </c>
      <c r="AD7559" s="5">
        <v>4.9833564123544329</v>
      </c>
      <c r="AE7559" s="5">
        <v>2.1622394291245066</v>
      </c>
      <c r="AF7559">
        <v>1</v>
      </c>
    </row>
    <row r="7560" spans="27:32" x14ac:dyDescent="0.3">
      <c r="AA7560" s="3">
        <v>10949.57</v>
      </c>
      <c r="AB7560">
        <v>1E-4</v>
      </c>
      <c r="AC7560">
        <v>8</v>
      </c>
      <c r="AD7560" s="5">
        <v>4.9351669133185814</v>
      </c>
      <c r="AE7560" s="5">
        <v>2.2186927919727157</v>
      </c>
      <c r="AF7560">
        <v>1</v>
      </c>
    </row>
    <row r="7561" spans="27:32" x14ac:dyDescent="0.3">
      <c r="AA7561" s="3">
        <v>23630.12</v>
      </c>
      <c r="AB7561">
        <v>1E-4</v>
      </c>
      <c r="AC7561">
        <v>8</v>
      </c>
      <c r="AD7561" s="5">
        <v>5.0015464074543683</v>
      </c>
      <c r="AE7561" s="5">
        <v>2.1315971234930897</v>
      </c>
      <c r="AF7561">
        <v>1</v>
      </c>
    </row>
    <row r="7562" spans="27:32" x14ac:dyDescent="0.3">
      <c r="AA7562" s="3">
        <v>22223.29</v>
      </c>
      <c r="AB7562">
        <v>1E-4</v>
      </c>
      <c r="AC7562">
        <v>8</v>
      </c>
      <c r="AD7562" s="5">
        <v>5.0020282836456973</v>
      </c>
      <c r="AE7562" s="5">
        <v>2.1406543555817286</v>
      </c>
      <c r="AF7562">
        <v>1</v>
      </c>
    </row>
    <row r="7563" spans="27:32" x14ac:dyDescent="0.3">
      <c r="AA7563" s="3">
        <v>29346.01</v>
      </c>
      <c r="AB7563">
        <v>1E-4</v>
      </c>
      <c r="AC7563">
        <v>8</v>
      </c>
      <c r="AD7563" s="5">
        <v>5.0915003347689431</v>
      </c>
      <c r="AE7563" s="5">
        <v>2.2048117549087394</v>
      </c>
      <c r="AF7563">
        <v>1</v>
      </c>
    </row>
    <row r="7564" spans="27:32" x14ac:dyDescent="0.3">
      <c r="AA7564" s="3">
        <v>605.73</v>
      </c>
      <c r="AB7564">
        <v>1E-4</v>
      </c>
      <c r="AC7564">
        <v>8</v>
      </c>
      <c r="AD7564" s="5">
        <v>5.1255501236953132</v>
      </c>
      <c r="AE7564" s="5">
        <v>2.1861164274140821</v>
      </c>
      <c r="AF7564">
        <v>1</v>
      </c>
    </row>
    <row r="7565" spans="27:32" x14ac:dyDescent="0.3">
      <c r="AA7565" s="3">
        <v>30391.119999999999</v>
      </c>
      <c r="AB7565">
        <v>1E-4</v>
      </c>
      <c r="AC7565">
        <v>7</v>
      </c>
      <c r="AD7565" s="5">
        <v>4.9254610812081756</v>
      </c>
      <c r="AE7565" s="5">
        <v>2.2032368034587546</v>
      </c>
      <c r="AF7565">
        <v>1</v>
      </c>
    </row>
    <row r="7566" spans="27:32" x14ac:dyDescent="0.3">
      <c r="AA7566" s="3">
        <v>39591.15</v>
      </c>
      <c r="AB7566">
        <v>1E-4</v>
      </c>
      <c r="AC7566">
        <v>7</v>
      </c>
      <c r="AD7566" s="5">
        <v>4.8276440053959551</v>
      </c>
      <c r="AE7566" s="5">
        <v>2.1325470547531564</v>
      </c>
      <c r="AF7566">
        <v>1</v>
      </c>
    </row>
    <row r="7567" spans="27:32" x14ac:dyDescent="0.3">
      <c r="AA7567" s="3">
        <v>12898.92</v>
      </c>
      <c r="AB7567">
        <v>1E-4</v>
      </c>
      <c r="AC7567">
        <v>8</v>
      </c>
      <c r="AD7567" s="5">
        <v>4.9712881538426537</v>
      </c>
      <c r="AE7567" s="5">
        <v>2.2629358516261222</v>
      </c>
      <c r="AF7567">
        <v>1</v>
      </c>
    </row>
    <row r="7568" spans="27:32" x14ac:dyDescent="0.3">
      <c r="AA7568" s="3">
        <v>1141.76</v>
      </c>
      <c r="AB7568">
        <v>1E-4</v>
      </c>
      <c r="AC7568">
        <v>8</v>
      </c>
      <c r="AD7568" s="5">
        <v>5.0650651860669447</v>
      </c>
      <c r="AE7568" s="5">
        <v>2.2467179530949282</v>
      </c>
      <c r="AF7568">
        <v>1</v>
      </c>
    </row>
    <row r="7569" spans="27:32" x14ac:dyDescent="0.3">
      <c r="AA7569" s="3">
        <v>14343.53</v>
      </c>
      <c r="AB7569">
        <v>1E-4</v>
      </c>
      <c r="AC7569">
        <v>8</v>
      </c>
      <c r="AD7569" s="5">
        <v>4.9997408460346637</v>
      </c>
      <c r="AE7569" s="5">
        <v>2.1935520515369396</v>
      </c>
      <c r="AF7569">
        <v>1</v>
      </c>
    </row>
    <row r="7570" spans="27:32" x14ac:dyDescent="0.3">
      <c r="AA7570" s="3">
        <v>14886.52</v>
      </c>
      <c r="AB7570">
        <v>1E-4</v>
      </c>
      <c r="AC7570">
        <v>8</v>
      </c>
      <c r="AD7570" s="5">
        <v>4.9933180097761332</v>
      </c>
      <c r="AE7570" s="5">
        <v>2.247036356659363</v>
      </c>
      <c r="AF7570">
        <v>1</v>
      </c>
    </row>
    <row r="7571" spans="27:32" x14ac:dyDescent="0.3">
      <c r="AA7571" s="3">
        <v>55720.54</v>
      </c>
      <c r="AB7571">
        <v>1E-4</v>
      </c>
      <c r="AC7571">
        <v>6</v>
      </c>
      <c r="AD7571" s="5">
        <v>5.1417425168948947</v>
      </c>
      <c r="AE7571" s="5">
        <v>2.2894399577963935</v>
      </c>
      <c r="AF7571">
        <v>1</v>
      </c>
    </row>
    <row r="7572" spans="27:32" x14ac:dyDescent="0.3">
      <c r="AA7572" s="3">
        <v>24424.06</v>
      </c>
      <c r="AB7572">
        <v>1E-4</v>
      </c>
      <c r="AC7572">
        <v>8</v>
      </c>
      <c r="AD7572" s="5">
        <v>4.9719674218139023</v>
      </c>
      <c r="AE7572" s="5">
        <v>2.1175581147830083</v>
      </c>
      <c r="AF7572">
        <v>1</v>
      </c>
    </row>
    <row r="7573" spans="27:32" x14ac:dyDescent="0.3">
      <c r="AA7573" s="3">
        <v>42200.74</v>
      </c>
      <c r="AB7573">
        <v>1E-4</v>
      </c>
      <c r="AC7573">
        <v>7</v>
      </c>
      <c r="AD7573" s="5">
        <v>4.9697561700716291</v>
      </c>
      <c r="AE7573" s="5">
        <v>2.2097370925992701</v>
      </c>
      <c r="AF7573">
        <v>1</v>
      </c>
    </row>
    <row r="7574" spans="27:32" x14ac:dyDescent="0.3">
      <c r="AA7574" s="3">
        <v>14048.12</v>
      </c>
      <c r="AB7574">
        <v>1E-4</v>
      </c>
      <c r="AC7574">
        <v>8</v>
      </c>
      <c r="AD7574" s="5">
        <v>4.9125125587637699</v>
      </c>
      <c r="AE7574" s="5">
        <v>2.2168859704849742</v>
      </c>
      <c r="AF7574">
        <v>1</v>
      </c>
    </row>
    <row r="7575" spans="27:32" x14ac:dyDescent="0.3">
      <c r="AA7575" s="3">
        <v>8810.8700000000008</v>
      </c>
      <c r="AB7575">
        <v>1E-4</v>
      </c>
      <c r="AC7575">
        <v>8</v>
      </c>
      <c r="AD7575" s="5">
        <v>4.9499299920201789</v>
      </c>
      <c r="AE7575" s="5">
        <v>2.2297478163466278</v>
      </c>
      <c r="AF7575">
        <v>1</v>
      </c>
    </row>
    <row r="7576" spans="27:32" x14ac:dyDescent="0.3">
      <c r="AA7576" s="3">
        <v>28511.75</v>
      </c>
      <c r="AB7576">
        <v>1E-4</v>
      </c>
      <c r="AC7576">
        <v>8</v>
      </c>
      <c r="AD7576" s="5">
        <v>5.0025837282418308</v>
      </c>
      <c r="AE7576" s="5">
        <v>2.203590350916135</v>
      </c>
      <c r="AF7576">
        <v>1</v>
      </c>
    </row>
    <row r="7577" spans="27:32" x14ac:dyDescent="0.3">
      <c r="AA7577" s="3">
        <v>12697.28</v>
      </c>
      <c r="AB7577">
        <v>1E-4</v>
      </c>
      <c r="AC7577">
        <v>8</v>
      </c>
      <c r="AD7577" s="5">
        <v>5.1016560213592461</v>
      </c>
      <c r="AE7577" s="5">
        <v>2.1951193016864723</v>
      </c>
      <c r="AF7577">
        <v>1</v>
      </c>
    </row>
    <row r="7578" spans="27:32" x14ac:dyDescent="0.3">
      <c r="AA7578" s="3">
        <v>28981.34</v>
      </c>
      <c r="AB7578">
        <v>1E-4</v>
      </c>
      <c r="AC7578">
        <v>7</v>
      </c>
      <c r="AD7578" s="5">
        <v>5.1043834878662588</v>
      </c>
      <c r="AE7578" s="5">
        <v>2.1975211778251591</v>
      </c>
      <c r="AF7578">
        <v>1</v>
      </c>
    </row>
    <row r="7579" spans="27:32" x14ac:dyDescent="0.3">
      <c r="AA7579" s="3">
        <v>9891.2199999999993</v>
      </c>
      <c r="AB7579">
        <v>1E-4</v>
      </c>
      <c r="AC7579">
        <v>8</v>
      </c>
      <c r="AD7579" s="5">
        <v>4.8874992714992933</v>
      </c>
      <c r="AE7579" s="5">
        <v>2.131347261386884</v>
      </c>
      <c r="AF7579">
        <v>1</v>
      </c>
    </row>
    <row r="7580" spans="27:32" x14ac:dyDescent="0.3">
      <c r="AA7580" s="3">
        <v>10251.4</v>
      </c>
      <c r="AB7580">
        <v>1E-4</v>
      </c>
      <c r="AC7580">
        <v>8</v>
      </c>
      <c r="AD7580" s="5">
        <v>4.8406720443357276</v>
      </c>
      <c r="AE7580" s="5">
        <v>2.1317792072124102</v>
      </c>
      <c r="AF7580">
        <v>1</v>
      </c>
    </row>
    <row r="7581" spans="27:32" x14ac:dyDescent="0.3">
      <c r="AA7581" s="3">
        <v>31773.14</v>
      </c>
      <c r="AB7581">
        <v>1E-4</v>
      </c>
      <c r="AC7581">
        <v>7</v>
      </c>
      <c r="AD7581" s="5">
        <v>4.9548085575793053</v>
      </c>
      <c r="AE7581" s="5">
        <v>2.1594333160329691</v>
      </c>
      <c r="AF7581">
        <v>1</v>
      </c>
    </row>
    <row r="7582" spans="27:32" x14ac:dyDescent="0.3">
      <c r="AA7582" s="3">
        <v>-17287.22</v>
      </c>
      <c r="AB7582">
        <v>1E-4</v>
      </c>
      <c r="AC7582">
        <v>9</v>
      </c>
      <c r="AD7582" s="5">
        <v>4.9406713925642105</v>
      </c>
      <c r="AE7582" s="5">
        <v>2.2328782194043146</v>
      </c>
      <c r="AF7582">
        <v>1</v>
      </c>
    </row>
    <row r="7583" spans="27:32" x14ac:dyDescent="0.3">
      <c r="AA7583" s="3">
        <v>27793.17</v>
      </c>
      <c r="AB7583">
        <v>1E-4</v>
      </c>
      <c r="AC7583">
        <v>8</v>
      </c>
      <c r="AD7583" s="5">
        <v>5.0239403686925579</v>
      </c>
      <c r="AE7583" s="5">
        <v>2.191457450390522</v>
      </c>
      <c r="AF7583">
        <v>1</v>
      </c>
    </row>
    <row r="7584" spans="27:32" x14ac:dyDescent="0.3">
      <c r="AA7584" s="3">
        <v>12272.22</v>
      </c>
      <c r="AB7584">
        <v>1E-4</v>
      </c>
      <c r="AC7584">
        <v>8</v>
      </c>
      <c r="AD7584" s="5">
        <v>4.9538307294128856</v>
      </c>
      <c r="AE7584" s="5">
        <v>2.2222522615318132</v>
      </c>
      <c r="AF7584">
        <v>1</v>
      </c>
    </row>
    <row r="7585" spans="27:32" x14ac:dyDescent="0.3">
      <c r="AA7585" s="3">
        <v>-5330.33</v>
      </c>
      <c r="AB7585">
        <v>1E-4</v>
      </c>
      <c r="AC7585">
        <v>9</v>
      </c>
      <c r="AD7585" s="5">
        <v>4.9858244537918939</v>
      </c>
      <c r="AE7585" s="5">
        <v>2.2196631110350125</v>
      </c>
      <c r="AF7585">
        <v>1</v>
      </c>
    </row>
    <row r="7586" spans="27:32" x14ac:dyDescent="0.3">
      <c r="AA7586" s="3">
        <v>-7316.52</v>
      </c>
      <c r="AB7586">
        <v>1E-4</v>
      </c>
      <c r="AC7586">
        <v>9</v>
      </c>
      <c r="AD7586" s="5">
        <v>4.8182953726710549</v>
      </c>
      <c r="AE7586" s="5">
        <v>2.1789826092184597</v>
      </c>
      <c r="AF7586">
        <v>1</v>
      </c>
    </row>
    <row r="7587" spans="27:32" x14ac:dyDescent="0.3">
      <c r="AA7587" s="3">
        <v>24848.09</v>
      </c>
      <c r="AB7587">
        <v>1E-4</v>
      </c>
      <c r="AC7587">
        <v>8</v>
      </c>
      <c r="AD7587" s="5">
        <v>5.0568049699238218</v>
      </c>
      <c r="AE7587" s="5">
        <v>2.1916492479660481</v>
      </c>
      <c r="AF7587">
        <v>1</v>
      </c>
    </row>
    <row r="7588" spans="27:32" x14ac:dyDescent="0.3">
      <c r="AA7588" s="3">
        <v>1524.72</v>
      </c>
      <c r="AB7588">
        <v>1E-4</v>
      </c>
      <c r="AC7588">
        <v>8</v>
      </c>
      <c r="AD7588" s="5">
        <v>4.9991952763411742</v>
      </c>
      <c r="AE7588" s="5">
        <v>2.2505355458688916</v>
      </c>
      <c r="AF7588">
        <v>1</v>
      </c>
    </row>
    <row r="7589" spans="27:32" x14ac:dyDescent="0.3">
      <c r="AA7589" s="3">
        <v>11537.79</v>
      </c>
      <c r="AB7589">
        <v>1E-4</v>
      </c>
      <c r="AC7589">
        <v>8</v>
      </c>
      <c r="AD7589" s="5">
        <v>5.0122582750964053</v>
      </c>
      <c r="AE7589" s="5">
        <v>2.1569364718024104</v>
      </c>
      <c r="AF7589">
        <v>1</v>
      </c>
    </row>
    <row r="7590" spans="27:32" x14ac:dyDescent="0.3">
      <c r="AA7590" s="3">
        <v>32337.95</v>
      </c>
      <c r="AB7590">
        <v>1E-4</v>
      </c>
      <c r="AC7590">
        <v>7</v>
      </c>
      <c r="AD7590" s="5">
        <v>4.8745065314957676</v>
      </c>
      <c r="AE7590" s="5">
        <v>2.2252529300577573</v>
      </c>
      <c r="AF7590">
        <v>1</v>
      </c>
    </row>
    <row r="7591" spans="27:32" x14ac:dyDescent="0.3">
      <c r="AA7591" s="3">
        <v>41753.19</v>
      </c>
      <c r="AB7591">
        <v>1E-4</v>
      </c>
      <c r="AC7591">
        <v>7</v>
      </c>
      <c r="AD7591" s="5">
        <v>5.1723176409597968</v>
      </c>
      <c r="AE7591" s="5">
        <v>2.2331394252937984</v>
      </c>
      <c r="AF7591">
        <v>1</v>
      </c>
    </row>
    <row r="7592" spans="27:32" x14ac:dyDescent="0.3">
      <c r="AA7592" s="3">
        <v>7733.37</v>
      </c>
      <c r="AB7592">
        <v>1E-4</v>
      </c>
      <c r="AC7592">
        <v>8</v>
      </c>
      <c r="AD7592" s="5">
        <v>4.9438853374535174</v>
      </c>
      <c r="AE7592" s="5">
        <v>2.1675312835483092</v>
      </c>
      <c r="AF7592">
        <v>1</v>
      </c>
    </row>
    <row r="7593" spans="27:32" x14ac:dyDescent="0.3">
      <c r="AA7593" s="3">
        <v>-29995.62</v>
      </c>
      <c r="AB7593">
        <v>1E-4</v>
      </c>
      <c r="AC7593">
        <v>9</v>
      </c>
      <c r="AD7593" s="5">
        <v>4.9267385804385349</v>
      </c>
      <c r="AE7593" s="5">
        <v>2.1785921705390936</v>
      </c>
      <c r="AF7593">
        <v>1</v>
      </c>
    </row>
    <row r="7594" spans="27:32" x14ac:dyDescent="0.3">
      <c r="AA7594" s="3">
        <v>14780.22</v>
      </c>
      <c r="AB7594">
        <v>1E-4</v>
      </c>
      <c r="AC7594">
        <v>8</v>
      </c>
      <c r="AD7594" s="5">
        <v>5.0877799085325028</v>
      </c>
      <c r="AE7594" s="5">
        <v>2.126300134169643</v>
      </c>
      <c r="AF7594">
        <v>1</v>
      </c>
    </row>
    <row r="7595" spans="27:32" x14ac:dyDescent="0.3">
      <c r="AA7595" s="3">
        <v>10712.79</v>
      </c>
      <c r="AB7595">
        <v>1E-4</v>
      </c>
      <c r="AC7595">
        <v>8</v>
      </c>
      <c r="AD7595" s="5">
        <v>5.0611155982293692</v>
      </c>
      <c r="AE7595" s="5">
        <v>2.1371904408273252</v>
      </c>
      <c r="AF7595">
        <v>1</v>
      </c>
    </row>
    <row r="7596" spans="27:32" x14ac:dyDescent="0.3">
      <c r="AA7596" s="3">
        <v>-1743.57</v>
      </c>
      <c r="AB7596">
        <v>1E-4</v>
      </c>
      <c r="AC7596">
        <v>9</v>
      </c>
      <c r="AD7596" s="5">
        <v>4.8389222822819926</v>
      </c>
      <c r="AE7596" s="5">
        <v>2.1596319178379604</v>
      </c>
      <c r="AF7596">
        <v>1</v>
      </c>
    </row>
    <row r="7597" spans="27:32" x14ac:dyDescent="0.3">
      <c r="AA7597" s="3">
        <v>11269.86</v>
      </c>
      <c r="AB7597">
        <v>1E-4</v>
      </c>
      <c r="AC7597">
        <v>8</v>
      </c>
      <c r="AD7597" s="5">
        <v>5.0062782935400421</v>
      </c>
      <c r="AE7597" s="5">
        <v>2.1705025408503902</v>
      </c>
      <c r="AF7597">
        <v>1</v>
      </c>
    </row>
    <row r="7598" spans="27:32" x14ac:dyDescent="0.3">
      <c r="AA7598" s="3">
        <v>29553.05</v>
      </c>
      <c r="AB7598">
        <v>1E-4</v>
      </c>
      <c r="AC7598">
        <v>8</v>
      </c>
      <c r="AD7598" s="5">
        <v>4.8872521473157056</v>
      </c>
      <c r="AE7598" s="5">
        <v>2.1802152857923658</v>
      </c>
      <c r="AF7598">
        <v>1</v>
      </c>
    </row>
    <row r="7599" spans="27:32" x14ac:dyDescent="0.3">
      <c r="AA7599" s="3">
        <v>-19328.93</v>
      </c>
      <c r="AB7599">
        <v>1E-4</v>
      </c>
      <c r="AC7599">
        <v>9</v>
      </c>
      <c r="AD7599" s="5">
        <v>4.9609252276731706</v>
      </c>
      <c r="AE7599" s="5">
        <v>2.1488759443119578</v>
      </c>
      <c r="AF7599">
        <v>1</v>
      </c>
    </row>
    <row r="7600" spans="27:32" x14ac:dyDescent="0.3">
      <c r="AA7600" s="3">
        <v>-5014.6899999999996</v>
      </c>
      <c r="AB7600">
        <v>1E-4</v>
      </c>
      <c r="AC7600">
        <v>9</v>
      </c>
      <c r="AD7600" s="5">
        <v>5.060408799446888</v>
      </c>
      <c r="AE7600" s="5">
        <v>2.2208008328651561</v>
      </c>
      <c r="AF7600">
        <v>1</v>
      </c>
    </row>
    <row r="7601" spans="27:32" x14ac:dyDescent="0.3">
      <c r="AA7601" s="3">
        <v>21876.32</v>
      </c>
      <c r="AB7601">
        <v>1E-4</v>
      </c>
      <c r="AC7601">
        <v>8</v>
      </c>
      <c r="AD7601" s="5">
        <v>4.9449048309907599</v>
      </c>
      <c r="AE7601" s="5">
        <v>2.2459936279543569</v>
      </c>
      <c r="AF7601">
        <v>1</v>
      </c>
    </row>
    <row r="7602" spans="27:32" x14ac:dyDescent="0.3">
      <c r="AA7602" s="3">
        <v>10964.74</v>
      </c>
      <c r="AB7602">
        <v>1E-4</v>
      </c>
      <c r="AC7602">
        <v>8</v>
      </c>
      <c r="AD7602" s="5">
        <v>4.9799322393960255</v>
      </c>
      <c r="AE7602" s="5">
        <v>2.2425636312507464</v>
      </c>
      <c r="AF7602">
        <v>1</v>
      </c>
    </row>
    <row r="7603" spans="27:32" x14ac:dyDescent="0.3">
      <c r="AA7603" s="3">
        <v>8956.81</v>
      </c>
      <c r="AB7603">
        <v>1E-4</v>
      </c>
      <c r="AC7603">
        <v>8</v>
      </c>
      <c r="AD7603" s="5">
        <v>5.0707357037854015</v>
      </c>
      <c r="AE7603" s="5">
        <v>2.25122804899125</v>
      </c>
      <c r="AF7603">
        <v>1</v>
      </c>
    </row>
    <row r="7604" spans="27:32" x14ac:dyDescent="0.3">
      <c r="AA7604" s="3">
        <v>16289.15</v>
      </c>
      <c r="AB7604">
        <v>1E-4</v>
      </c>
      <c r="AC7604">
        <v>8</v>
      </c>
      <c r="AD7604" s="5">
        <v>5.0744244019574705</v>
      </c>
      <c r="AE7604" s="5">
        <v>2.2151277821838167</v>
      </c>
      <c r="AF7604">
        <v>1</v>
      </c>
    </row>
    <row r="7605" spans="27:32" x14ac:dyDescent="0.3">
      <c r="AA7605" s="3">
        <v>14327.61</v>
      </c>
      <c r="AB7605">
        <v>1E-4</v>
      </c>
      <c r="AC7605">
        <v>8</v>
      </c>
      <c r="AD7605" s="5">
        <v>5.0870866811717406</v>
      </c>
      <c r="AE7605" s="5">
        <v>2.1269077190008141</v>
      </c>
      <c r="AF7605">
        <v>1</v>
      </c>
    </row>
    <row r="7606" spans="27:32" x14ac:dyDescent="0.3">
      <c r="AA7606" s="3">
        <v>-21309.592227226272</v>
      </c>
      <c r="AB7606">
        <v>1E-4</v>
      </c>
      <c r="AC7606">
        <v>9</v>
      </c>
      <c r="AD7606" s="5">
        <v>4.9284487824535796</v>
      </c>
      <c r="AE7606" s="5">
        <v>2.287435398641696</v>
      </c>
      <c r="AF7606">
        <v>0</v>
      </c>
    </row>
    <row r="7607" spans="27:32" x14ac:dyDescent="0.3">
      <c r="AA7607" s="3">
        <v>50423.16</v>
      </c>
      <c r="AB7607">
        <v>1E-4</v>
      </c>
      <c r="AC7607">
        <v>7</v>
      </c>
      <c r="AD7607" s="5">
        <v>5.1746795512841919</v>
      </c>
      <c r="AE7607" s="5">
        <v>2.1296387091814921</v>
      </c>
      <c r="AF7607">
        <v>1</v>
      </c>
    </row>
    <row r="7608" spans="27:32" x14ac:dyDescent="0.3">
      <c r="AA7608" s="3">
        <v>-40074.253096056455</v>
      </c>
      <c r="AB7608">
        <v>1E-4</v>
      </c>
      <c r="AC7608">
        <v>9</v>
      </c>
      <c r="AD7608" s="5">
        <v>4.8128498097308263</v>
      </c>
      <c r="AE7608" s="5">
        <v>2.1931501437602567</v>
      </c>
      <c r="AF7608">
        <v>0</v>
      </c>
    </row>
    <row r="7609" spans="27:32" x14ac:dyDescent="0.3">
      <c r="AA7609" s="3">
        <v>-11791.98</v>
      </c>
      <c r="AB7609">
        <v>1E-4</v>
      </c>
      <c r="AC7609">
        <v>9</v>
      </c>
      <c r="AD7609" s="5">
        <v>4.8943075467550088</v>
      </c>
      <c r="AE7609" s="5">
        <v>2.2448807060405298</v>
      </c>
      <c r="AF7609">
        <v>1</v>
      </c>
    </row>
    <row r="7610" spans="27:32" x14ac:dyDescent="0.3">
      <c r="AA7610" s="3">
        <v>17216.11</v>
      </c>
      <c r="AB7610">
        <v>1E-4</v>
      </c>
      <c r="AC7610">
        <v>8</v>
      </c>
      <c r="AD7610" s="5">
        <v>5.0561337883789106</v>
      </c>
      <c r="AE7610" s="5">
        <v>2.197037302029234</v>
      </c>
      <c r="AF7610">
        <v>1</v>
      </c>
    </row>
    <row r="7611" spans="27:32" x14ac:dyDescent="0.3">
      <c r="AA7611" s="3">
        <v>25753.4</v>
      </c>
      <c r="AB7611">
        <v>1E-4</v>
      </c>
      <c r="AC7611">
        <v>8</v>
      </c>
      <c r="AD7611" s="5">
        <v>5.0749199788865162</v>
      </c>
      <c r="AE7611" s="5">
        <v>2.1596524108353834</v>
      </c>
      <c r="AF7611">
        <v>1</v>
      </c>
    </row>
    <row r="7612" spans="27:32" x14ac:dyDescent="0.3">
      <c r="AA7612" s="3">
        <v>20330.39</v>
      </c>
      <c r="AB7612">
        <v>1E-4</v>
      </c>
      <c r="AC7612">
        <v>8</v>
      </c>
      <c r="AD7612" s="5">
        <v>5.0640159757465844</v>
      </c>
      <c r="AE7612" s="5">
        <v>2.2655211418853853</v>
      </c>
      <c r="AF7612">
        <v>1</v>
      </c>
    </row>
    <row r="7613" spans="27:32" x14ac:dyDescent="0.3">
      <c r="AA7613" s="3">
        <v>-21173.67</v>
      </c>
      <c r="AB7613">
        <v>1E-4</v>
      </c>
      <c r="AC7613">
        <v>9</v>
      </c>
      <c r="AD7613" s="5">
        <v>5.042622015071192</v>
      </c>
      <c r="AE7613" s="5">
        <v>2.2168051351579998</v>
      </c>
      <c r="AF7613">
        <v>1</v>
      </c>
    </row>
    <row r="7614" spans="27:32" x14ac:dyDescent="0.3">
      <c r="AA7614" s="3">
        <v>1030.06</v>
      </c>
      <c r="AB7614">
        <v>1E-4</v>
      </c>
      <c r="AC7614">
        <v>8</v>
      </c>
      <c r="AD7614" s="5">
        <v>5.0670045223814872</v>
      </c>
      <c r="AE7614" s="5">
        <v>2.2282925564593539</v>
      </c>
      <c r="AF7614">
        <v>1</v>
      </c>
    </row>
    <row r="7615" spans="27:32" x14ac:dyDescent="0.3">
      <c r="AA7615" s="3">
        <v>26173.31</v>
      </c>
      <c r="AB7615">
        <v>1E-4</v>
      </c>
      <c r="AC7615">
        <v>8</v>
      </c>
      <c r="AD7615" s="5">
        <v>5.1870548072850706</v>
      </c>
      <c r="AE7615" s="5">
        <v>2.1682422075339658</v>
      </c>
      <c r="AF7615">
        <v>1</v>
      </c>
    </row>
    <row r="7616" spans="27:32" x14ac:dyDescent="0.3">
      <c r="AA7616" s="3">
        <v>9918.66</v>
      </c>
      <c r="AB7616">
        <v>1E-4</v>
      </c>
      <c r="AC7616">
        <v>8</v>
      </c>
      <c r="AD7616" s="5">
        <v>4.9747615856516321</v>
      </c>
      <c r="AE7616" s="5">
        <v>2.2348823324375369</v>
      </c>
      <c r="AF7616">
        <v>1</v>
      </c>
    </row>
    <row r="7617" spans="27:32" x14ac:dyDescent="0.3">
      <c r="AA7617" s="3">
        <v>27274.47</v>
      </c>
      <c r="AB7617">
        <v>1E-4</v>
      </c>
      <c r="AC7617">
        <v>8</v>
      </c>
      <c r="AD7617" s="5">
        <v>5.2154395570619405</v>
      </c>
      <c r="AE7617" s="5">
        <v>2.2330819863044487</v>
      </c>
      <c r="AF7617">
        <v>1</v>
      </c>
    </row>
    <row r="7618" spans="27:32" x14ac:dyDescent="0.3">
      <c r="AA7618" s="3">
        <v>-16598.96</v>
      </c>
      <c r="AB7618">
        <v>1E-4</v>
      </c>
      <c r="AC7618">
        <v>9</v>
      </c>
      <c r="AD7618" s="5">
        <v>4.8067266946593277</v>
      </c>
      <c r="AE7618" s="5">
        <v>2.3110916152395684</v>
      </c>
      <c r="AF7618">
        <v>1</v>
      </c>
    </row>
    <row r="7619" spans="27:32" x14ac:dyDescent="0.3">
      <c r="AA7619" s="3">
        <v>28447.26</v>
      </c>
      <c r="AB7619">
        <v>1E-4</v>
      </c>
      <c r="AC7619">
        <v>7</v>
      </c>
      <c r="AD7619" s="5">
        <v>4.8821440935908633</v>
      </c>
      <c r="AE7619" s="5">
        <v>2.1641875029887152</v>
      </c>
      <c r="AF7619">
        <v>1</v>
      </c>
    </row>
    <row r="7620" spans="27:32" x14ac:dyDescent="0.3">
      <c r="AA7620" s="3">
        <v>-301.68</v>
      </c>
      <c r="AB7620">
        <v>1E-4</v>
      </c>
      <c r="AC7620">
        <v>9</v>
      </c>
      <c r="AD7620" s="5">
        <v>4.9673083301006482</v>
      </c>
      <c r="AE7620" s="5">
        <v>2.1573640863024135</v>
      </c>
      <c r="AF7620">
        <v>1</v>
      </c>
    </row>
    <row r="7621" spans="27:32" x14ac:dyDescent="0.3">
      <c r="AA7621" s="3">
        <v>1299.6400000000001</v>
      </c>
      <c r="AB7621">
        <v>1E-4</v>
      </c>
      <c r="AC7621">
        <v>8</v>
      </c>
      <c r="AD7621" s="5">
        <v>4.9778053384953225</v>
      </c>
      <c r="AE7621" s="5">
        <v>2.1914708491182444</v>
      </c>
      <c r="AF7621">
        <v>1</v>
      </c>
    </row>
    <row r="7622" spans="27:32" x14ac:dyDescent="0.3">
      <c r="AA7622" s="3">
        <v>19977.07</v>
      </c>
      <c r="AB7622">
        <v>1E-4</v>
      </c>
      <c r="AC7622">
        <v>8</v>
      </c>
      <c r="AD7622" s="5">
        <v>5.0079098791072774</v>
      </c>
      <c r="AE7622" s="5">
        <v>2.1736011514815892</v>
      </c>
      <c r="AF7622">
        <v>1</v>
      </c>
    </row>
    <row r="7623" spans="27:32" x14ac:dyDescent="0.3">
      <c r="AA7623" s="3">
        <v>21551.56</v>
      </c>
      <c r="AB7623">
        <v>1E-4</v>
      </c>
      <c r="AC7623">
        <v>8</v>
      </c>
      <c r="AD7623" s="5">
        <v>5.1594826344732887</v>
      </c>
      <c r="AE7623" s="5">
        <v>2.1053427175503749</v>
      </c>
      <c r="AF7623">
        <v>1</v>
      </c>
    </row>
    <row r="7624" spans="27:32" x14ac:dyDescent="0.3">
      <c r="AA7624" s="3">
        <v>4403.07</v>
      </c>
      <c r="AB7624">
        <v>1E-4</v>
      </c>
      <c r="AC7624">
        <v>8</v>
      </c>
      <c r="AD7624" s="5">
        <v>5.1663272520417971</v>
      </c>
      <c r="AE7624" s="5">
        <v>2.200683829586874</v>
      </c>
      <c r="AF7624">
        <v>1</v>
      </c>
    </row>
    <row r="7625" spans="27:32" x14ac:dyDescent="0.3">
      <c r="AA7625" s="3">
        <v>49106.14</v>
      </c>
      <c r="AB7625">
        <v>1E-4</v>
      </c>
      <c r="AC7625">
        <v>6</v>
      </c>
      <c r="AD7625" s="5">
        <v>4.9527343332056546</v>
      </c>
      <c r="AE7625" s="5">
        <v>2.2190033655721773</v>
      </c>
      <c r="AF7625">
        <v>1</v>
      </c>
    </row>
    <row r="7626" spans="27:32" x14ac:dyDescent="0.3">
      <c r="AA7626" s="3">
        <v>36882.269999999997</v>
      </c>
      <c r="AB7626">
        <v>1E-4</v>
      </c>
      <c r="AC7626">
        <v>7</v>
      </c>
      <c r="AD7626" s="5">
        <v>5.0304232866317919</v>
      </c>
      <c r="AE7626" s="5">
        <v>2.1841303686135336</v>
      </c>
      <c r="AF7626">
        <v>1</v>
      </c>
    </row>
    <row r="7627" spans="27:32" x14ac:dyDescent="0.3">
      <c r="AA7627" s="3">
        <v>33821.21</v>
      </c>
      <c r="AB7627">
        <v>1E-4</v>
      </c>
      <c r="AC7627">
        <v>7</v>
      </c>
      <c r="AD7627" s="5">
        <v>4.9777431811507391</v>
      </c>
      <c r="AE7627" s="5">
        <v>2.1831676659742749</v>
      </c>
      <c r="AF7627">
        <v>1</v>
      </c>
    </row>
    <row r="7628" spans="27:32" x14ac:dyDescent="0.3">
      <c r="AA7628" s="3">
        <v>6546.47</v>
      </c>
      <c r="AB7628">
        <v>1E-4</v>
      </c>
      <c r="AC7628">
        <v>8</v>
      </c>
      <c r="AD7628" s="5">
        <v>5.0002845974612349</v>
      </c>
      <c r="AE7628" s="5">
        <v>2.1887780488599868</v>
      </c>
      <c r="AF7628">
        <v>1</v>
      </c>
    </row>
    <row r="7629" spans="27:32" x14ac:dyDescent="0.3">
      <c r="AA7629" s="3">
        <v>14477.78</v>
      </c>
      <c r="AB7629">
        <v>1E-4</v>
      </c>
      <c r="AC7629">
        <v>8</v>
      </c>
      <c r="AD7629" s="5">
        <v>5.0774579572756089</v>
      </c>
      <c r="AE7629" s="5">
        <v>2.2778020109997188</v>
      </c>
      <c r="AF7629">
        <v>1</v>
      </c>
    </row>
    <row r="7630" spans="27:32" x14ac:dyDescent="0.3">
      <c r="AA7630" s="3">
        <v>16659.3</v>
      </c>
      <c r="AB7630">
        <v>1E-4</v>
      </c>
      <c r="AC7630">
        <v>8</v>
      </c>
      <c r="AD7630" s="5">
        <v>4.8664469780915507</v>
      </c>
      <c r="AE7630" s="5">
        <v>2.233614597971588</v>
      </c>
      <c r="AF7630">
        <v>1</v>
      </c>
    </row>
    <row r="7631" spans="27:32" x14ac:dyDescent="0.3">
      <c r="AA7631" s="3">
        <v>28576.79</v>
      </c>
      <c r="AB7631">
        <v>1E-4</v>
      </c>
      <c r="AC7631">
        <v>7</v>
      </c>
      <c r="AD7631" s="5">
        <v>4.9715713893475204</v>
      </c>
      <c r="AE7631" s="5">
        <v>2.1999336547607053</v>
      </c>
      <c r="AF7631">
        <v>1</v>
      </c>
    </row>
    <row r="7632" spans="27:32" x14ac:dyDescent="0.3">
      <c r="AA7632" s="3">
        <v>-22078.647853478928</v>
      </c>
      <c r="AB7632">
        <v>1E-4</v>
      </c>
      <c r="AC7632">
        <v>9</v>
      </c>
      <c r="AD7632" s="5">
        <v>5.1478167771294379</v>
      </c>
      <c r="AE7632" s="5">
        <v>2.2156017120286688</v>
      </c>
      <c r="AF7632">
        <v>0</v>
      </c>
    </row>
    <row r="7633" spans="27:32" x14ac:dyDescent="0.3">
      <c r="AA7633" s="3">
        <v>19084.71</v>
      </c>
      <c r="AB7633">
        <v>1E-4</v>
      </c>
      <c r="AC7633">
        <v>8</v>
      </c>
      <c r="AD7633" s="5">
        <v>5.0073836370971669</v>
      </c>
      <c r="AE7633" s="5">
        <v>2.2307970469216709</v>
      </c>
      <c r="AF7633">
        <v>1</v>
      </c>
    </row>
    <row r="7634" spans="27:32" x14ac:dyDescent="0.3">
      <c r="AA7634" s="3">
        <v>8814.07</v>
      </c>
      <c r="AB7634">
        <v>1E-4</v>
      </c>
      <c r="AC7634">
        <v>8</v>
      </c>
      <c r="AD7634" s="5">
        <v>4.8845759680084422</v>
      </c>
      <c r="AE7634" s="5">
        <v>2.2293363742070005</v>
      </c>
      <c r="AF7634">
        <v>1</v>
      </c>
    </row>
    <row r="7635" spans="27:32" x14ac:dyDescent="0.3">
      <c r="AA7635" s="3">
        <v>2022.74</v>
      </c>
      <c r="AB7635">
        <v>1E-4</v>
      </c>
      <c r="AC7635">
        <v>8</v>
      </c>
      <c r="AD7635" s="5">
        <v>5.0007521394472709</v>
      </c>
      <c r="AE7635" s="5">
        <v>2.2376278684542705</v>
      </c>
      <c r="AF7635">
        <v>1</v>
      </c>
    </row>
    <row r="7636" spans="27:32" x14ac:dyDescent="0.3">
      <c r="AA7636" s="3">
        <v>-4207.0600000000004</v>
      </c>
      <c r="AB7636">
        <v>1E-4</v>
      </c>
      <c r="AC7636">
        <v>9</v>
      </c>
      <c r="AD7636" s="5">
        <v>4.8995038193553393</v>
      </c>
      <c r="AE7636" s="5">
        <v>2.2274700044359368</v>
      </c>
      <c r="AF7636">
        <v>1</v>
      </c>
    </row>
    <row r="7637" spans="27:32" x14ac:dyDescent="0.3">
      <c r="AA7637" s="3">
        <v>26592.01</v>
      </c>
      <c r="AB7637">
        <v>1E-4</v>
      </c>
      <c r="AC7637">
        <v>8</v>
      </c>
      <c r="AD7637" s="5">
        <v>5.0397964590179072</v>
      </c>
      <c r="AE7637" s="5">
        <v>2.1508300517526324</v>
      </c>
      <c r="AF7637">
        <v>1</v>
      </c>
    </row>
    <row r="7638" spans="27:32" x14ac:dyDescent="0.3">
      <c r="AA7638" s="3">
        <v>11799.7</v>
      </c>
      <c r="AB7638">
        <v>1E-4</v>
      </c>
      <c r="AC7638">
        <v>8</v>
      </c>
      <c r="AD7638" s="5">
        <v>5.0481442799164213</v>
      </c>
      <c r="AE7638" s="5">
        <v>2.2521673213445954</v>
      </c>
      <c r="AF7638">
        <v>1</v>
      </c>
    </row>
    <row r="7639" spans="27:32" x14ac:dyDescent="0.3">
      <c r="AA7639" s="3">
        <v>28533.41</v>
      </c>
      <c r="AB7639">
        <v>1E-4</v>
      </c>
      <c r="AC7639">
        <v>7</v>
      </c>
      <c r="AD7639" s="5">
        <v>5.0659832461644738</v>
      </c>
      <c r="AE7639" s="5">
        <v>2.2292101451638731</v>
      </c>
      <c r="AF7639">
        <v>1</v>
      </c>
    </row>
    <row r="7640" spans="27:32" x14ac:dyDescent="0.3">
      <c r="AA7640" s="3">
        <v>-26053.43</v>
      </c>
      <c r="AB7640">
        <v>1E-4</v>
      </c>
      <c r="AC7640">
        <v>9</v>
      </c>
      <c r="AD7640" s="5">
        <v>4.9353173873746385</v>
      </c>
      <c r="AE7640" s="5">
        <v>2.2017964429464971</v>
      </c>
      <c r="AF7640">
        <v>1</v>
      </c>
    </row>
    <row r="7641" spans="27:32" x14ac:dyDescent="0.3">
      <c r="AA7641" s="3">
        <v>17364.64</v>
      </c>
      <c r="AB7641">
        <v>1E-4</v>
      </c>
      <c r="AC7641">
        <v>8</v>
      </c>
      <c r="AD7641" s="5">
        <v>5.0130527768549227</v>
      </c>
      <c r="AE7641" s="5">
        <v>2.171881575683055</v>
      </c>
      <c r="AF7641">
        <v>1</v>
      </c>
    </row>
    <row r="7642" spans="27:32" x14ac:dyDescent="0.3">
      <c r="AA7642" s="3">
        <v>24317.58</v>
      </c>
      <c r="AB7642">
        <v>1E-4</v>
      </c>
      <c r="AC7642">
        <v>8</v>
      </c>
      <c r="AD7642" s="5">
        <v>5.0245709642809269</v>
      </c>
      <c r="AE7642" s="5">
        <v>2.1446167107401077</v>
      </c>
      <c r="AF7642">
        <v>1</v>
      </c>
    </row>
    <row r="7643" spans="27:32" x14ac:dyDescent="0.3">
      <c r="AA7643" s="3">
        <v>5710.74</v>
      </c>
      <c r="AB7643">
        <v>1E-4</v>
      </c>
      <c r="AC7643">
        <v>8</v>
      </c>
      <c r="AD7643" s="5">
        <v>4.8994563794022925</v>
      </c>
      <c r="AE7643" s="5">
        <v>2.2232820105776474</v>
      </c>
      <c r="AF7643">
        <v>1</v>
      </c>
    </row>
    <row r="7644" spans="27:32" x14ac:dyDescent="0.3">
      <c r="AA7644" s="3">
        <v>17809.259999999998</v>
      </c>
      <c r="AB7644">
        <v>1E-4</v>
      </c>
      <c r="AC7644">
        <v>8</v>
      </c>
      <c r="AD7644" s="5">
        <v>4.9041055027549536</v>
      </c>
      <c r="AE7644" s="5">
        <v>2.2678557753311588</v>
      </c>
      <c r="AF7644">
        <v>1</v>
      </c>
    </row>
    <row r="7645" spans="27:32" x14ac:dyDescent="0.3">
      <c r="AA7645" s="3">
        <v>-13299.904067235861</v>
      </c>
      <c r="AB7645">
        <v>1E-4</v>
      </c>
      <c r="AC7645">
        <v>8</v>
      </c>
      <c r="AD7645" s="5">
        <v>4.878016758629709</v>
      </c>
      <c r="AE7645" s="5">
        <v>2.1663526415404051</v>
      </c>
      <c r="AF7645">
        <v>0</v>
      </c>
    </row>
    <row r="7646" spans="27:32" x14ac:dyDescent="0.3">
      <c r="AA7646" s="3">
        <v>31687.99</v>
      </c>
      <c r="AB7646">
        <v>1E-4</v>
      </c>
      <c r="AC7646">
        <v>7</v>
      </c>
      <c r="AD7646" s="5">
        <v>4.9900679960350516</v>
      </c>
      <c r="AE7646" s="5">
        <v>2.2300481848311207</v>
      </c>
      <c r="AF7646">
        <v>1</v>
      </c>
    </row>
    <row r="7647" spans="27:32" x14ac:dyDescent="0.3">
      <c r="AA7647" s="3">
        <v>10405.19</v>
      </c>
      <c r="AB7647">
        <v>1E-4</v>
      </c>
      <c r="AC7647">
        <v>8</v>
      </c>
      <c r="AD7647" s="5">
        <v>4.893285281499927</v>
      </c>
      <c r="AE7647" s="5">
        <v>2.1264633001699855</v>
      </c>
      <c r="AF7647">
        <v>1</v>
      </c>
    </row>
    <row r="7648" spans="27:32" x14ac:dyDescent="0.3">
      <c r="AA7648" s="3">
        <v>21576.48</v>
      </c>
      <c r="AB7648">
        <v>1E-4</v>
      </c>
      <c r="AC7648">
        <v>8</v>
      </c>
      <c r="AD7648" s="5">
        <v>4.9895067314164159</v>
      </c>
      <c r="AE7648" s="5">
        <v>2.2003127404259915</v>
      </c>
      <c r="AF7648">
        <v>1</v>
      </c>
    </row>
    <row r="7649" spans="27:32" x14ac:dyDescent="0.3">
      <c r="AA7649" s="3">
        <v>17068</v>
      </c>
      <c r="AB7649">
        <v>1E-4</v>
      </c>
      <c r="AC7649">
        <v>8</v>
      </c>
      <c r="AD7649" s="5">
        <v>4.9800991327815431</v>
      </c>
      <c r="AE7649" s="5">
        <v>2.2090867028186998</v>
      </c>
      <c r="AF7649">
        <v>1</v>
      </c>
    </row>
    <row r="7650" spans="27:32" x14ac:dyDescent="0.3">
      <c r="AA7650" s="3">
        <v>6030.54</v>
      </c>
      <c r="AB7650">
        <v>1E-4</v>
      </c>
      <c r="AC7650">
        <v>8</v>
      </c>
      <c r="AD7650" s="5">
        <v>4.9417000785781857</v>
      </c>
      <c r="AE7650" s="5">
        <v>2.2440510325044691</v>
      </c>
      <c r="AF7650">
        <v>1</v>
      </c>
    </row>
    <row r="7651" spans="27:32" x14ac:dyDescent="0.3">
      <c r="AA7651" s="3">
        <v>36061.14</v>
      </c>
      <c r="AB7651">
        <v>1E-4</v>
      </c>
      <c r="AC7651">
        <v>7</v>
      </c>
      <c r="AD7651" s="5">
        <v>5.0349036860728678</v>
      </c>
      <c r="AE7651" s="5">
        <v>2.0790661909210817</v>
      </c>
      <c r="AF7651">
        <v>1</v>
      </c>
    </row>
    <row r="7652" spans="27:32" x14ac:dyDescent="0.3">
      <c r="AA7652" s="3">
        <v>8963.69</v>
      </c>
      <c r="AB7652">
        <v>1E-4</v>
      </c>
      <c r="AC7652">
        <v>8</v>
      </c>
      <c r="AD7652" s="5">
        <v>5.0388394445575821</v>
      </c>
      <c r="AE7652" s="5">
        <v>2.1817029161433306</v>
      </c>
      <c r="AF7652">
        <v>1</v>
      </c>
    </row>
    <row r="7653" spans="27:32" x14ac:dyDescent="0.3">
      <c r="AA7653" s="3">
        <v>51642.96</v>
      </c>
      <c r="AB7653">
        <v>1E-4</v>
      </c>
      <c r="AC7653">
        <v>6</v>
      </c>
      <c r="AD7653" s="5">
        <v>5.1150963472248581</v>
      </c>
      <c r="AE7653" s="5">
        <v>2.1238231133956531</v>
      </c>
      <c r="AF7653">
        <v>1</v>
      </c>
    </row>
    <row r="7654" spans="27:32" x14ac:dyDescent="0.3">
      <c r="AA7654" s="3">
        <v>15852.88</v>
      </c>
      <c r="AB7654">
        <v>1E-4</v>
      </c>
      <c r="AC7654">
        <v>8</v>
      </c>
      <c r="AD7654" s="5">
        <v>5.0185171718838912</v>
      </c>
      <c r="AE7654" s="5">
        <v>2.1925861637134978</v>
      </c>
      <c r="AF7654">
        <v>1</v>
      </c>
    </row>
    <row r="7655" spans="27:32" x14ac:dyDescent="0.3">
      <c r="AA7655" s="3">
        <v>7323.49</v>
      </c>
      <c r="AB7655">
        <v>1E-4</v>
      </c>
      <c r="AC7655">
        <v>8</v>
      </c>
      <c r="AD7655" s="5">
        <v>5.074606321770581</v>
      </c>
      <c r="AE7655" s="5">
        <v>2.1642997921106035</v>
      </c>
      <c r="AF7655">
        <v>1</v>
      </c>
    </row>
    <row r="7656" spans="27:32" x14ac:dyDescent="0.3">
      <c r="AA7656" s="3">
        <v>24325.29</v>
      </c>
      <c r="AB7656">
        <v>1E-4</v>
      </c>
      <c r="AC7656">
        <v>8</v>
      </c>
      <c r="AD7656" s="5">
        <v>4.9889261434648091</v>
      </c>
      <c r="AE7656" s="5">
        <v>2.188044951220923</v>
      </c>
      <c r="AF7656">
        <v>1</v>
      </c>
    </row>
    <row r="7657" spans="27:32" x14ac:dyDescent="0.3">
      <c r="AA7657" s="3">
        <v>-13538.07</v>
      </c>
      <c r="AB7657">
        <v>1E-4</v>
      </c>
      <c r="AC7657">
        <v>9</v>
      </c>
      <c r="AD7657" s="5">
        <v>5.1077304737466278</v>
      </c>
      <c r="AE7657" s="5">
        <v>2.147909743553253</v>
      </c>
      <c r="AF7657">
        <v>1</v>
      </c>
    </row>
    <row r="7658" spans="27:32" x14ac:dyDescent="0.3">
      <c r="AA7658" s="3">
        <v>19633.14</v>
      </c>
      <c r="AB7658">
        <v>1E-4</v>
      </c>
      <c r="AC7658">
        <v>8</v>
      </c>
      <c r="AD7658" s="5">
        <v>5.0693380232553951</v>
      </c>
      <c r="AE7658" s="5">
        <v>2.2218805245208073</v>
      </c>
      <c r="AF7658">
        <v>1</v>
      </c>
    </row>
    <row r="7659" spans="27:32" x14ac:dyDescent="0.3">
      <c r="AA7659" s="3">
        <v>33121.980000000003</v>
      </c>
      <c r="AB7659">
        <v>1E-4</v>
      </c>
      <c r="AC7659">
        <v>7</v>
      </c>
      <c r="AD7659" s="5">
        <v>5.1514940383821441</v>
      </c>
      <c r="AE7659" s="5">
        <v>2.2390224114986856</v>
      </c>
      <c r="AF7659">
        <v>1</v>
      </c>
    </row>
    <row r="7660" spans="27:32" x14ac:dyDescent="0.3">
      <c r="AA7660" s="3">
        <v>-11992.59</v>
      </c>
      <c r="AB7660">
        <v>1E-4</v>
      </c>
      <c r="AC7660">
        <v>9</v>
      </c>
      <c r="AD7660" s="5">
        <v>4.8502353877047506</v>
      </c>
      <c r="AE7660" s="5">
        <v>2.2116062592681773</v>
      </c>
      <c r="AF7660">
        <v>1</v>
      </c>
    </row>
    <row r="7661" spans="27:32" x14ac:dyDescent="0.3">
      <c r="AA7661" s="3">
        <v>20244.95</v>
      </c>
      <c r="AB7661">
        <v>1E-4</v>
      </c>
      <c r="AC7661">
        <v>8</v>
      </c>
      <c r="AD7661" s="5">
        <v>5.0421695462689051</v>
      </c>
      <c r="AE7661" s="5">
        <v>2.1111165044431717</v>
      </c>
      <c r="AF7661">
        <v>1</v>
      </c>
    </row>
    <row r="7662" spans="27:32" x14ac:dyDescent="0.3">
      <c r="AA7662" s="3">
        <v>-3763.97</v>
      </c>
      <c r="AB7662">
        <v>1E-4</v>
      </c>
      <c r="AC7662">
        <v>9</v>
      </c>
      <c r="AD7662" s="5">
        <v>5.1113531576590399</v>
      </c>
      <c r="AE7662" s="5">
        <v>2.1413805885549104</v>
      </c>
      <c r="AF7662">
        <v>1</v>
      </c>
    </row>
    <row r="7663" spans="27:32" x14ac:dyDescent="0.3">
      <c r="AA7663" s="3">
        <v>22539.34</v>
      </c>
      <c r="AB7663">
        <v>1E-4</v>
      </c>
      <c r="AC7663">
        <v>8</v>
      </c>
      <c r="AD7663" s="5">
        <v>5.0959322186731635</v>
      </c>
      <c r="AE7663" s="5">
        <v>2.2572697467791634</v>
      </c>
      <c r="AF7663">
        <v>1</v>
      </c>
    </row>
    <row r="7664" spans="27:32" x14ac:dyDescent="0.3">
      <c r="AA7664" s="3">
        <v>22030.48</v>
      </c>
      <c r="AB7664">
        <v>1E-4</v>
      </c>
      <c r="AC7664">
        <v>8</v>
      </c>
      <c r="AD7664" s="5">
        <v>4.992377882152061</v>
      </c>
      <c r="AE7664" s="5">
        <v>2.0684583845737317</v>
      </c>
      <c r="AF7664">
        <v>1</v>
      </c>
    </row>
    <row r="7665" spans="27:32" x14ac:dyDescent="0.3">
      <c r="AA7665" s="3">
        <v>36574.11</v>
      </c>
      <c r="AB7665">
        <v>1E-4</v>
      </c>
      <c r="AC7665">
        <v>7</v>
      </c>
      <c r="AD7665" s="5">
        <v>5.1006921617719581</v>
      </c>
      <c r="AE7665" s="5">
        <v>2.1282120656876486</v>
      </c>
      <c r="AF7665">
        <v>1</v>
      </c>
    </row>
    <row r="7666" spans="27:32" x14ac:dyDescent="0.3">
      <c r="AA7666" s="3">
        <v>44970.92</v>
      </c>
      <c r="AB7666">
        <v>1E-4</v>
      </c>
      <c r="AC7666">
        <v>7</v>
      </c>
      <c r="AD7666" s="5">
        <v>4.9368196983856132</v>
      </c>
      <c r="AE7666" s="5">
        <v>2.2032186941623424</v>
      </c>
      <c r="AF7666">
        <v>1</v>
      </c>
    </row>
    <row r="7667" spans="27:32" x14ac:dyDescent="0.3">
      <c r="AA7667" s="3">
        <v>20536.830000000002</v>
      </c>
      <c r="AB7667">
        <v>1E-4</v>
      </c>
      <c r="AC7667">
        <v>8</v>
      </c>
      <c r="AD7667" s="5">
        <v>5.040524550423946</v>
      </c>
      <c r="AE7667" s="5">
        <v>2.2411816490726277</v>
      </c>
      <c r="AF7667">
        <v>1</v>
      </c>
    </row>
    <row r="7668" spans="27:32" x14ac:dyDescent="0.3">
      <c r="AA7668" s="3">
        <v>-5537.7</v>
      </c>
      <c r="AB7668">
        <v>1E-4</v>
      </c>
      <c r="AC7668">
        <v>9</v>
      </c>
      <c r="AD7668" s="5">
        <v>4.9597148360195451</v>
      </c>
      <c r="AE7668" s="5">
        <v>2.2011468013559958</v>
      </c>
      <c r="AF7668">
        <v>1</v>
      </c>
    </row>
    <row r="7669" spans="27:32" x14ac:dyDescent="0.3">
      <c r="AA7669" s="3">
        <v>3134.61</v>
      </c>
      <c r="AB7669">
        <v>1E-4</v>
      </c>
      <c r="AC7669">
        <v>8</v>
      </c>
      <c r="AD7669" s="5">
        <v>5.1222882540773975</v>
      </c>
      <c r="AE7669" s="5">
        <v>2.1520725451124911</v>
      </c>
      <c r="AF7669">
        <v>1</v>
      </c>
    </row>
    <row r="7670" spans="27:32" x14ac:dyDescent="0.3">
      <c r="AA7670" s="3">
        <v>-5594.86</v>
      </c>
      <c r="AB7670">
        <v>1E-4</v>
      </c>
      <c r="AC7670">
        <v>9</v>
      </c>
      <c r="AD7670" s="5">
        <v>5.0631835876118716</v>
      </c>
      <c r="AE7670" s="5">
        <v>2.1978358171110779</v>
      </c>
      <c r="AF7670">
        <v>1</v>
      </c>
    </row>
    <row r="7671" spans="27:32" x14ac:dyDescent="0.3">
      <c r="AA7671" s="3">
        <v>-4587.67</v>
      </c>
      <c r="AB7671">
        <v>1E-4</v>
      </c>
      <c r="AC7671">
        <v>9</v>
      </c>
      <c r="AD7671" s="5">
        <v>4.924277182357228</v>
      </c>
      <c r="AE7671" s="5">
        <v>2.0337272606859895</v>
      </c>
      <c r="AF7671">
        <v>1</v>
      </c>
    </row>
    <row r="7672" spans="27:32" x14ac:dyDescent="0.3">
      <c r="AA7672" s="3">
        <v>-2738.34</v>
      </c>
      <c r="AB7672">
        <v>1E-4</v>
      </c>
      <c r="AC7672">
        <v>9</v>
      </c>
      <c r="AD7672" s="5">
        <v>4.9144313693649897</v>
      </c>
      <c r="AE7672" s="5">
        <v>2.1871319640723548</v>
      </c>
      <c r="AF7672">
        <v>1</v>
      </c>
    </row>
    <row r="7673" spans="27:32" x14ac:dyDescent="0.3">
      <c r="AA7673" s="3">
        <v>15440.97</v>
      </c>
      <c r="AB7673">
        <v>1E-4</v>
      </c>
      <c r="AC7673">
        <v>8</v>
      </c>
      <c r="AD7673" s="5">
        <v>4.8962395628687752</v>
      </c>
      <c r="AE7673" s="5">
        <v>2.2136914209598584</v>
      </c>
      <c r="AF7673">
        <v>1</v>
      </c>
    </row>
    <row r="7674" spans="27:32" x14ac:dyDescent="0.3">
      <c r="AA7674" s="3">
        <v>24086.03</v>
      </c>
      <c r="AB7674">
        <v>1E-4</v>
      </c>
      <c r="AC7674">
        <v>8</v>
      </c>
      <c r="AD7674" s="5">
        <v>5.0676919815823078</v>
      </c>
      <c r="AE7674" s="5">
        <v>2.2113665457234259</v>
      </c>
      <c r="AF7674">
        <v>1</v>
      </c>
    </row>
    <row r="7675" spans="27:32" x14ac:dyDescent="0.3">
      <c r="AA7675" s="3">
        <v>39768.980000000003</v>
      </c>
      <c r="AB7675">
        <v>1E-4</v>
      </c>
      <c r="AC7675">
        <v>7</v>
      </c>
      <c r="AD7675" s="5">
        <v>5.1039713536701878</v>
      </c>
      <c r="AE7675" s="5">
        <v>2.1892643275169372</v>
      </c>
      <c r="AF7675">
        <v>1</v>
      </c>
    </row>
    <row r="7676" spans="27:32" x14ac:dyDescent="0.3">
      <c r="AA7676" s="3">
        <v>832.79</v>
      </c>
      <c r="AB7676">
        <v>1E-4</v>
      </c>
      <c r="AC7676">
        <v>8</v>
      </c>
      <c r="AD7676" s="5">
        <v>5.071867017904597</v>
      </c>
      <c r="AE7676" s="5">
        <v>2.111406866815654</v>
      </c>
      <c r="AF7676">
        <v>1</v>
      </c>
    </row>
    <row r="7677" spans="27:32" x14ac:dyDescent="0.3">
      <c r="AA7677" s="3">
        <v>2931.48</v>
      </c>
      <c r="AB7677">
        <v>1E-4</v>
      </c>
      <c r="AC7677">
        <v>8</v>
      </c>
      <c r="AD7677" s="5">
        <v>5.0533402666199168</v>
      </c>
      <c r="AE7677" s="5">
        <v>2.1808706718684321</v>
      </c>
      <c r="AF7677">
        <v>1</v>
      </c>
    </row>
    <row r="7678" spans="27:32" x14ac:dyDescent="0.3">
      <c r="AA7678" s="3">
        <v>23071.4</v>
      </c>
      <c r="AB7678">
        <v>1E-4</v>
      </c>
      <c r="AC7678">
        <v>8</v>
      </c>
      <c r="AD7678" s="5">
        <v>4.9793024707639377</v>
      </c>
      <c r="AE7678" s="5">
        <v>2.1689310451759334</v>
      </c>
      <c r="AF7678">
        <v>1</v>
      </c>
    </row>
    <row r="7679" spans="27:32" x14ac:dyDescent="0.3">
      <c r="AA7679" s="3">
        <v>-3585.62</v>
      </c>
      <c r="AB7679">
        <v>1E-4</v>
      </c>
      <c r="AC7679">
        <v>9</v>
      </c>
      <c r="AD7679" s="5">
        <v>5.1549078806325515</v>
      </c>
      <c r="AE7679" s="5">
        <v>2.192924434189429</v>
      </c>
      <c r="AF7679">
        <v>1</v>
      </c>
    </row>
    <row r="7680" spans="27:32" x14ac:dyDescent="0.3">
      <c r="AA7680" s="3">
        <v>12334.33</v>
      </c>
      <c r="AB7680">
        <v>1E-4</v>
      </c>
      <c r="AC7680">
        <v>8</v>
      </c>
      <c r="AD7680" s="5">
        <v>5.130421681647781</v>
      </c>
      <c r="AE7680" s="5">
        <v>2.1585965025619744</v>
      </c>
      <c r="AF7680">
        <v>1</v>
      </c>
    </row>
    <row r="7681" spans="27:32" x14ac:dyDescent="0.3">
      <c r="AA7681" s="3">
        <v>27525.07</v>
      </c>
      <c r="AB7681">
        <v>1E-4</v>
      </c>
      <c r="AC7681">
        <v>7</v>
      </c>
      <c r="AD7681" s="5">
        <v>4.9354350198214894</v>
      </c>
      <c r="AE7681" s="5">
        <v>2.0447340561831946</v>
      </c>
      <c r="AF7681">
        <v>1</v>
      </c>
    </row>
    <row r="7682" spans="27:32" x14ac:dyDescent="0.3">
      <c r="AA7682" s="3">
        <v>19179.7</v>
      </c>
      <c r="AB7682">
        <v>1E-4</v>
      </c>
      <c r="AC7682">
        <v>8</v>
      </c>
      <c r="AD7682" s="5">
        <v>4.7255129352289922</v>
      </c>
      <c r="AE7682" s="5">
        <v>2.1392919928506533</v>
      </c>
      <c r="AF7682">
        <v>1</v>
      </c>
    </row>
    <row r="7683" spans="27:32" x14ac:dyDescent="0.3">
      <c r="AA7683" s="3">
        <v>6430.97</v>
      </c>
      <c r="AB7683">
        <v>1E-4</v>
      </c>
      <c r="AC7683">
        <v>8</v>
      </c>
      <c r="AD7683" s="5">
        <v>4.9126007340791924</v>
      </c>
      <c r="AE7683" s="5">
        <v>2.2197693658502309</v>
      </c>
      <c r="AF7683">
        <v>1</v>
      </c>
    </row>
    <row r="7684" spans="27:32" x14ac:dyDescent="0.3">
      <c r="AA7684" s="3">
        <v>15218.64</v>
      </c>
      <c r="AB7684">
        <v>1E-4</v>
      </c>
      <c r="AC7684">
        <v>8</v>
      </c>
      <c r="AD7684" s="5">
        <v>4.7749900593292232</v>
      </c>
      <c r="AE7684" s="5">
        <v>2.1594627310666286</v>
      </c>
      <c r="AF7684">
        <v>1</v>
      </c>
    </row>
    <row r="7685" spans="27:32" x14ac:dyDescent="0.3">
      <c r="AA7685" s="3">
        <v>22028.080000000002</v>
      </c>
      <c r="AB7685">
        <v>1E-4</v>
      </c>
      <c r="AC7685">
        <v>8</v>
      </c>
      <c r="AD7685" s="5">
        <v>5.12569621284619</v>
      </c>
      <c r="AE7685" s="5">
        <v>2.2183002076830149</v>
      </c>
      <c r="AF7685">
        <v>1</v>
      </c>
    </row>
    <row r="7686" spans="27:32" x14ac:dyDescent="0.3">
      <c r="AA7686" s="3">
        <v>-21188.49</v>
      </c>
      <c r="AB7686">
        <v>1E-4</v>
      </c>
      <c r="AC7686">
        <v>9</v>
      </c>
      <c r="AD7686" s="5">
        <v>5.0217827131528301</v>
      </c>
      <c r="AE7686" s="5">
        <v>2.2148704876169676</v>
      </c>
      <c r="AF7686">
        <v>1</v>
      </c>
    </row>
    <row r="7687" spans="27:32" x14ac:dyDescent="0.3">
      <c r="AA7687" s="3">
        <v>14348.69</v>
      </c>
      <c r="AB7687">
        <v>1E-4</v>
      </c>
      <c r="AC7687">
        <v>8</v>
      </c>
      <c r="AD7687" s="5">
        <v>4.9922044645658605</v>
      </c>
      <c r="AE7687" s="5">
        <v>2.2374569262381292</v>
      </c>
      <c r="AF7687">
        <v>1</v>
      </c>
    </row>
    <row r="7688" spans="27:32" x14ac:dyDescent="0.3">
      <c r="AA7688" s="3">
        <v>19469.689999999999</v>
      </c>
      <c r="AB7688">
        <v>1E-4</v>
      </c>
      <c r="AC7688">
        <v>8</v>
      </c>
      <c r="AD7688" s="5">
        <v>4.9593306472848662</v>
      </c>
      <c r="AE7688" s="5">
        <v>2.1995465131512169</v>
      </c>
      <c r="AF7688">
        <v>1</v>
      </c>
    </row>
    <row r="7689" spans="27:32" x14ac:dyDescent="0.3">
      <c r="AA7689" s="3">
        <v>32819</v>
      </c>
      <c r="AB7689">
        <v>1E-4</v>
      </c>
      <c r="AC7689">
        <v>7</v>
      </c>
      <c r="AD7689" s="5">
        <v>5.071070412767539</v>
      </c>
      <c r="AE7689" s="5">
        <v>2.2194382639376893</v>
      </c>
      <c r="AF7689">
        <v>1</v>
      </c>
    </row>
    <row r="7690" spans="27:32" x14ac:dyDescent="0.3">
      <c r="AA7690" s="3">
        <v>23901.43</v>
      </c>
      <c r="AB7690">
        <v>1E-4</v>
      </c>
      <c r="AC7690">
        <v>8</v>
      </c>
      <c r="AD7690" s="5">
        <v>4.9365906748082322</v>
      </c>
      <c r="AE7690" s="5">
        <v>2.2358170330138751</v>
      </c>
      <c r="AF7690">
        <v>1</v>
      </c>
    </row>
    <row r="7691" spans="27:32" x14ac:dyDescent="0.3">
      <c r="AA7691" s="3">
        <v>20273.169999999998</v>
      </c>
      <c r="AB7691">
        <v>1E-4</v>
      </c>
      <c r="AC7691">
        <v>8</v>
      </c>
      <c r="AD7691" s="5">
        <v>4.9866190260761893</v>
      </c>
      <c r="AE7691" s="5">
        <v>2.1830541238722083</v>
      </c>
      <c r="AF7691">
        <v>1</v>
      </c>
    </row>
    <row r="7692" spans="27:32" x14ac:dyDescent="0.3">
      <c r="AA7692" s="3">
        <v>11920.47</v>
      </c>
      <c r="AB7692">
        <v>1E-4</v>
      </c>
      <c r="AC7692">
        <v>8</v>
      </c>
      <c r="AD7692" s="5">
        <v>4.9509529084891346</v>
      </c>
      <c r="AE7692" s="5">
        <v>2.1744323500597247</v>
      </c>
      <c r="AF7692">
        <v>1</v>
      </c>
    </row>
    <row r="7693" spans="27:32" x14ac:dyDescent="0.3">
      <c r="AA7693" s="3">
        <v>-12980.15</v>
      </c>
      <c r="AB7693">
        <v>1E-4</v>
      </c>
      <c r="AC7693">
        <v>9</v>
      </c>
      <c r="AD7693" s="5">
        <v>5.0233820326757828</v>
      </c>
      <c r="AE7693" s="5">
        <v>2.2813719849301828</v>
      </c>
      <c r="AF7693">
        <v>1</v>
      </c>
    </row>
    <row r="7694" spans="27:32" x14ac:dyDescent="0.3">
      <c r="AA7694" s="3">
        <v>-3223.07</v>
      </c>
      <c r="AB7694">
        <v>1E-4</v>
      </c>
      <c r="AC7694">
        <v>9</v>
      </c>
      <c r="AD7694" s="5">
        <v>4.8242225748051357</v>
      </c>
      <c r="AE7694" s="5">
        <v>2.2398936597418593</v>
      </c>
      <c r="AF7694">
        <v>1</v>
      </c>
    </row>
    <row r="7695" spans="27:32" x14ac:dyDescent="0.3">
      <c r="AA7695" s="3">
        <v>1704.47</v>
      </c>
      <c r="AB7695">
        <v>1E-4</v>
      </c>
      <c r="AC7695">
        <v>8</v>
      </c>
      <c r="AD7695" s="5">
        <v>5.0893492430654073</v>
      </c>
      <c r="AE7695" s="5">
        <v>2.2833084990867651</v>
      </c>
      <c r="AF7695">
        <v>1</v>
      </c>
    </row>
    <row r="7696" spans="27:32" x14ac:dyDescent="0.3">
      <c r="AA7696" s="3">
        <v>23211.1</v>
      </c>
      <c r="AB7696">
        <v>1E-4</v>
      </c>
      <c r="AC7696">
        <v>8</v>
      </c>
      <c r="AD7696" s="5">
        <v>4.9039667984188746</v>
      </c>
      <c r="AE7696" s="5">
        <v>2.2030220568266072</v>
      </c>
      <c r="AF7696">
        <v>1</v>
      </c>
    </row>
    <row r="7697" spans="27:32" x14ac:dyDescent="0.3">
      <c r="AA7697" s="3">
        <v>23765.759999999998</v>
      </c>
      <c r="AB7697">
        <v>1E-4</v>
      </c>
      <c r="AC7697">
        <v>8</v>
      </c>
      <c r="AD7697" s="5">
        <v>5.1161970102369745</v>
      </c>
      <c r="AE7697" s="5">
        <v>2.2723327235418647</v>
      </c>
      <c r="AF7697">
        <v>1</v>
      </c>
    </row>
    <row r="7698" spans="27:32" x14ac:dyDescent="0.3">
      <c r="AA7698" s="3">
        <v>20354.599999999999</v>
      </c>
      <c r="AB7698">
        <v>1E-4</v>
      </c>
      <c r="AC7698">
        <v>8</v>
      </c>
      <c r="AD7698" s="5">
        <v>5.0448194189198352</v>
      </c>
      <c r="AE7698" s="5">
        <v>2.1858725426260226</v>
      </c>
      <c r="AF7698">
        <v>1</v>
      </c>
    </row>
    <row r="7699" spans="27:32" x14ac:dyDescent="0.3">
      <c r="AA7699" s="3">
        <v>32847.040000000001</v>
      </c>
      <c r="AB7699">
        <v>1E-4</v>
      </c>
      <c r="AC7699">
        <v>7</v>
      </c>
      <c r="AD7699" s="5">
        <v>5.2141371386228066</v>
      </c>
      <c r="AE7699" s="5">
        <v>2.191469313000828</v>
      </c>
      <c r="AF7699">
        <v>1</v>
      </c>
    </row>
    <row r="7700" spans="27:32" x14ac:dyDescent="0.3">
      <c r="AA7700" s="3">
        <v>15007.45</v>
      </c>
      <c r="AB7700">
        <v>1E-4</v>
      </c>
      <c r="AC7700">
        <v>8</v>
      </c>
      <c r="AD7700" s="5">
        <v>5.0440438569550405</v>
      </c>
      <c r="AE7700" s="5">
        <v>2.2122600338816283</v>
      </c>
      <c r="AF7700">
        <v>1</v>
      </c>
    </row>
    <row r="7701" spans="27:32" x14ac:dyDescent="0.3">
      <c r="AA7701" s="3">
        <v>3079.5</v>
      </c>
      <c r="AB7701">
        <v>1E-4</v>
      </c>
      <c r="AC7701">
        <v>8</v>
      </c>
      <c r="AD7701" s="5">
        <v>4.9613495900312259</v>
      </c>
      <c r="AE7701" s="5">
        <v>2.2118872531967839</v>
      </c>
      <c r="AF7701">
        <v>1</v>
      </c>
    </row>
    <row r="7702" spans="27:32" x14ac:dyDescent="0.3">
      <c r="AA7702" s="3">
        <v>13495.02</v>
      </c>
      <c r="AB7702">
        <v>1E-4</v>
      </c>
      <c r="AC7702">
        <v>8</v>
      </c>
      <c r="AD7702" s="5">
        <v>4.9951791676693666</v>
      </c>
      <c r="AE7702" s="5">
        <v>2.2138770906166556</v>
      </c>
      <c r="AF7702">
        <v>1</v>
      </c>
    </row>
    <row r="7703" spans="27:32" x14ac:dyDescent="0.3">
      <c r="AA7703" s="3">
        <v>4700.2299999999996</v>
      </c>
      <c r="AB7703">
        <v>1E-4</v>
      </c>
      <c r="AC7703">
        <v>8</v>
      </c>
      <c r="AD7703" s="5">
        <v>4.9593371852979171</v>
      </c>
      <c r="AE7703" s="5">
        <v>2.1725687777545186</v>
      </c>
      <c r="AF7703">
        <v>1</v>
      </c>
    </row>
    <row r="7704" spans="27:32" x14ac:dyDescent="0.3">
      <c r="AA7704" s="3">
        <v>20836.63</v>
      </c>
      <c r="AB7704">
        <v>1E-4</v>
      </c>
      <c r="AC7704">
        <v>8</v>
      </c>
      <c r="AD7704" s="5">
        <v>5.1783982907937283</v>
      </c>
      <c r="AE7704" s="5">
        <v>2.1554746333075352</v>
      </c>
      <c r="AF7704">
        <v>1</v>
      </c>
    </row>
    <row r="7705" spans="27:32" x14ac:dyDescent="0.3">
      <c r="AA7705" s="3">
        <v>7541.54</v>
      </c>
      <c r="AB7705">
        <v>1E-4</v>
      </c>
      <c r="AC7705">
        <v>8</v>
      </c>
      <c r="AD7705" s="5">
        <v>4.9528376608963116</v>
      </c>
      <c r="AE7705" s="5">
        <v>2.1413908475014622</v>
      </c>
      <c r="AF7705">
        <v>1</v>
      </c>
    </row>
    <row r="7706" spans="27:32" x14ac:dyDescent="0.3">
      <c r="AA7706" s="3">
        <v>13411.83</v>
      </c>
      <c r="AB7706">
        <v>1E-4</v>
      </c>
      <c r="AC7706">
        <v>8</v>
      </c>
      <c r="AD7706" s="5">
        <v>4.8761145053227279</v>
      </c>
      <c r="AE7706" s="5">
        <v>2.2480927561435053</v>
      </c>
      <c r="AF7706">
        <v>1</v>
      </c>
    </row>
    <row r="7707" spans="27:32" x14ac:dyDescent="0.3">
      <c r="AA7707" s="3">
        <v>39.03</v>
      </c>
      <c r="AB7707">
        <v>1E-4</v>
      </c>
      <c r="AC7707">
        <v>8</v>
      </c>
      <c r="AD7707" s="5">
        <v>4.8780260113323415</v>
      </c>
      <c r="AE7707" s="5">
        <v>2.2245973835548822</v>
      </c>
      <c r="AF7707">
        <v>1</v>
      </c>
    </row>
    <row r="7708" spans="27:32" x14ac:dyDescent="0.3">
      <c r="AA7708" s="3">
        <v>9018.2999999999993</v>
      </c>
      <c r="AB7708">
        <v>1E-4</v>
      </c>
      <c r="AC7708">
        <v>8</v>
      </c>
      <c r="AD7708" s="5">
        <v>5.1400683169158921</v>
      </c>
      <c r="AE7708" s="5">
        <v>2.121398288841275</v>
      </c>
      <c r="AF7708">
        <v>1</v>
      </c>
    </row>
    <row r="7709" spans="27:32" x14ac:dyDescent="0.3">
      <c r="AA7709" s="3">
        <v>35218.86</v>
      </c>
      <c r="AB7709">
        <v>1E-4</v>
      </c>
      <c r="AC7709">
        <v>7</v>
      </c>
      <c r="AD7709" s="5">
        <v>4.9310460352030514</v>
      </c>
      <c r="AE7709" s="5">
        <v>2.1521613379444595</v>
      </c>
      <c r="AF7709">
        <v>1</v>
      </c>
    </row>
    <row r="7710" spans="27:32" x14ac:dyDescent="0.3">
      <c r="AA7710" s="3">
        <v>7330.02</v>
      </c>
      <c r="AB7710">
        <v>1E-4</v>
      </c>
      <c r="AC7710">
        <v>8</v>
      </c>
      <c r="AD7710" s="5">
        <v>5.1178454547467629</v>
      </c>
      <c r="AE7710" s="5">
        <v>2.1808677099554217</v>
      </c>
      <c r="AF7710">
        <v>1</v>
      </c>
    </row>
    <row r="7711" spans="27:32" x14ac:dyDescent="0.3">
      <c r="AA7711" s="3">
        <v>12442.31</v>
      </c>
      <c r="AB7711">
        <v>1E-4</v>
      </c>
      <c r="AC7711">
        <v>8</v>
      </c>
      <c r="AD7711" s="5">
        <v>4.9362578957984233</v>
      </c>
      <c r="AE7711" s="5">
        <v>2.202449961692158</v>
      </c>
      <c r="AF7711">
        <v>1</v>
      </c>
    </row>
    <row r="7712" spans="27:32" x14ac:dyDescent="0.3">
      <c r="AA7712" s="3">
        <v>1074.92</v>
      </c>
      <c r="AB7712">
        <v>1E-4</v>
      </c>
      <c r="AC7712">
        <v>8</v>
      </c>
      <c r="AD7712" s="5">
        <v>5.0609370674546215</v>
      </c>
      <c r="AE7712" s="5">
        <v>2.2672686819437802</v>
      </c>
      <c r="AF7712">
        <v>1</v>
      </c>
    </row>
    <row r="7713" spans="27:32" x14ac:dyDescent="0.3">
      <c r="AA7713" s="3">
        <v>21582.15</v>
      </c>
      <c r="AB7713">
        <v>1E-4</v>
      </c>
      <c r="AC7713">
        <v>7</v>
      </c>
      <c r="AD7713" s="5">
        <v>4.9908245848050479</v>
      </c>
      <c r="AE7713" s="5">
        <v>2.1899560498930959</v>
      </c>
      <c r="AF7713">
        <v>1</v>
      </c>
    </row>
    <row r="7714" spans="27:32" x14ac:dyDescent="0.3">
      <c r="AA7714" s="3">
        <v>-13357.68</v>
      </c>
      <c r="AB7714">
        <v>1E-4</v>
      </c>
      <c r="AC7714">
        <v>9</v>
      </c>
      <c r="AD7714" s="5">
        <v>4.9986324669444135</v>
      </c>
      <c r="AE7714" s="5">
        <v>2.1932767540217579</v>
      </c>
      <c r="AF7714">
        <v>1</v>
      </c>
    </row>
    <row r="7715" spans="27:32" x14ac:dyDescent="0.3">
      <c r="AA7715" s="3">
        <v>16172.63</v>
      </c>
      <c r="AB7715">
        <v>1E-4</v>
      </c>
      <c r="AC7715">
        <v>8</v>
      </c>
      <c r="AD7715" s="5">
        <v>5.0011893033466883</v>
      </c>
      <c r="AE7715" s="5">
        <v>2.196935300187135</v>
      </c>
      <c r="AF7715">
        <v>1</v>
      </c>
    </row>
    <row r="7716" spans="27:32" x14ac:dyDescent="0.3">
      <c r="AA7716" s="3">
        <v>33711.370000000003</v>
      </c>
      <c r="AB7716">
        <v>1E-4</v>
      </c>
      <c r="AC7716">
        <v>7</v>
      </c>
      <c r="AD7716" s="5">
        <v>4.9872814607240237</v>
      </c>
      <c r="AE7716" s="5">
        <v>2.2109518556438656</v>
      </c>
      <c r="AF7716">
        <v>1</v>
      </c>
    </row>
    <row r="7717" spans="27:32" x14ac:dyDescent="0.3">
      <c r="AA7717" s="3">
        <v>44863.519999999997</v>
      </c>
      <c r="AB7717">
        <v>1E-4</v>
      </c>
      <c r="AC7717">
        <v>7</v>
      </c>
      <c r="AD7717" s="5">
        <v>4.9912959082218196</v>
      </c>
      <c r="AE7717" s="5">
        <v>2.1959715550200696</v>
      </c>
      <c r="AF7717">
        <v>1</v>
      </c>
    </row>
    <row r="7718" spans="27:32" x14ac:dyDescent="0.3">
      <c r="AA7718" s="3">
        <v>38197.9</v>
      </c>
      <c r="AB7718">
        <v>1E-4</v>
      </c>
      <c r="AC7718">
        <v>7</v>
      </c>
      <c r="AD7718" s="5">
        <v>5.0996462472887725</v>
      </c>
      <c r="AE7718" s="5">
        <v>2.178210032752935</v>
      </c>
      <c r="AF7718">
        <v>1</v>
      </c>
    </row>
    <row r="7719" spans="27:32" x14ac:dyDescent="0.3">
      <c r="AA7719" s="3">
        <v>31002.1</v>
      </c>
      <c r="AB7719">
        <v>1E-4</v>
      </c>
      <c r="AC7719">
        <v>7</v>
      </c>
      <c r="AD7719" s="5">
        <v>5.0613576876210171</v>
      </c>
      <c r="AE7719" s="5">
        <v>2.1700623879985605</v>
      </c>
      <c r="AF7719">
        <v>1</v>
      </c>
    </row>
    <row r="7720" spans="27:32" x14ac:dyDescent="0.3">
      <c r="AA7720" s="3">
        <v>11886.52</v>
      </c>
      <c r="AB7720">
        <v>1E-4</v>
      </c>
      <c r="AC7720">
        <v>8</v>
      </c>
      <c r="AD7720" s="5">
        <v>4.6904515600874079</v>
      </c>
      <c r="AE7720" s="5">
        <v>2.1754065114581809</v>
      </c>
      <c r="AF7720">
        <v>1</v>
      </c>
    </row>
    <row r="7721" spans="27:32" x14ac:dyDescent="0.3">
      <c r="AA7721" s="3">
        <v>-15277.58</v>
      </c>
      <c r="AB7721">
        <v>1E-4</v>
      </c>
      <c r="AC7721">
        <v>9</v>
      </c>
      <c r="AD7721" s="5">
        <v>5.0420668280613121</v>
      </c>
      <c r="AE7721" s="5">
        <v>2.1931663072199776</v>
      </c>
      <c r="AF7721">
        <v>1</v>
      </c>
    </row>
    <row r="7722" spans="27:32" x14ac:dyDescent="0.3">
      <c r="AA7722" s="3">
        <v>-11411.31</v>
      </c>
      <c r="AB7722">
        <v>1E-4</v>
      </c>
      <c r="AC7722">
        <v>9</v>
      </c>
      <c r="AD7722" s="5">
        <v>4.9527471005336787</v>
      </c>
      <c r="AE7722" s="5">
        <v>2.2756297851100369</v>
      </c>
      <c r="AF7722">
        <v>1</v>
      </c>
    </row>
    <row r="7723" spans="27:32" x14ac:dyDescent="0.3">
      <c r="AA7723" s="3">
        <v>32412.09</v>
      </c>
      <c r="AB7723">
        <v>1E-4</v>
      </c>
      <c r="AC7723">
        <v>7</v>
      </c>
      <c r="AD7723" s="5">
        <v>5.0522842454978303</v>
      </c>
      <c r="AE7723" s="5">
        <v>2.2590243540490156</v>
      </c>
      <c r="AF7723">
        <v>1</v>
      </c>
    </row>
    <row r="7724" spans="27:32" x14ac:dyDescent="0.3">
      <c r="AA7724" s="3">
        <v>-16741.11</v>
      </c>
      <c r="AB7724">
        <v>1E-4</v>
      </c>
      <c r="AC7724">
        <v>9</v>
      </c>
      <c r="AD7724" s="5">
        <v>4.8942977698905379</v>
      </c>
      <c r="AE7724" s="5">
        <v>2.1906194387759137</v>
      </c>
      <c r="AF7724">
        <v>1</v>
      </c>
    </row>
    <row r="7725" spans="27:32" x14ac:dyDescent="0.3">
      <c r="AA7725" s="3">
        <v>-6826.09</v>
      </c>
      <c r="AB7725">
        <v>1E-4</v>
      </c>
      <c r="AC7725">
        <v>9</v>
      </c>
      <c r="AD7725" s="5">
        <v>4.9515653992541893</v>
      </c>
      <c r="AE7725" s="5">
        <v>2.1854411587093581</v>
      </c>
      <c r="AF7725">
        <v>1</v>
      </c>
    </row>
    <row r="7726" spans="27:32" x14ac:dyDescent="0.3">
      <c r="AA7726" s="3">
        <v>12181.96</v>
      </c>
      <c r="AB7726">
        <v>1E-4</v>
      </c>
      <c r="AC7726">
        <v>8</v>
      </c>
      <c r="AD7726" s="5">
        <v>4.9943033307182612</v>
      </c>
      <c r="AE7726" s="5">
        <v>2.2409881074319311</v>
      </c>
      <c r="AF7726">
        <v>1</v>
      </c>
    </row>
    <row r="7727" spans="27:32" x14ac:dyDescent="0.3">
      <c r="AA7727" s="3">
        <v>11972.45</v>
      </c>
      <c r="AB7727">
        <v>1E-4</v>
      </c>
      <c r="AC7727">
        <v>8</v>
      </c>
      <c r="AD7727" s="5">
        <v>5.020019721980753</v>
      </c>
      <c r="AE7727" s="5">
        <v>2.1548421185796602</v>
      </c>
      <c r="AF7727">
        <v>1</v>
      </c>
    </row>
    <row r="7728" spans="27:32" x14ac:dyDescent="0.3">
      <c r="AA7728" s="3">
        <v>-40725.860876999453</v>
      </c>
      <c r="AB7728">
        <v>1E-4</v>
      </c>
      <c r="AC7728">
        <v>9</v>
      </c>
      <c r="AD7728" s="5">
        <v>4.9585722853069187</v>
      </c>
      <c r="AE7728" s="5">
        <v>2.2264478469832625</v>
      </c>
      <c r="AF7728">
        <v>0</v>
      </c>
    </row>
    <row r="7729" spans="27:32" x14ac:dyDescent="0.3">
      <c r="AA7729" s="3">
        <v>-22159.74</v>
      </c>
      <c r="AB7729">
        <v>1E-4</v>
      </c>
      <c r="AC7729">
        <v>9</v>
      </c>
      <c r="AD7729" s="5">
        <v>5.0122878660188004</v>
      </c>
      <c r="AE7729" s="5">
        <v>2.1428742192564516</v>
      </c>
      <c r="AF7729">
        <v>1</v>
      </c>
    </row>
    <row r="7730" spans="27:32" x14ac:dyDescent="0.3">
      <c r="AA7730" s="3">
        <v>-6154.23</v>
      </c>
      <c r="AB7730">
        <v>1E-4</v>
      </c>
      <c r="AC7730">
        <v>9</v>
      </c>
      <c r="AD7730" s="5">
        <v>4.8796901707988951</v>
      </c>
      <c r="AE7730" s="5">
        <v>2.1594361212289916</v>
      </c>
      <c r="AF7730">
        <v>1</v>
      </c>
    </row>
    <row r="7731" spans="27:32" x14ac:dyDescent="0.3">
      <c r="AA7731" s="3">
        <v>1688.66</v>
      </c>
      <c r="AB7731">
        <v>1E-4</v>
      </c>
      <c r="AC7731">
        <v>8</v>
      </c>
      <c r="AD7731" s="5">
        <v>5.0770262030037152</v>
      </c>
      <c r="AE7731" s="5">
        <v>2.1884999376207603</v>
      </c>
      <c r="AF7731">
        <v>1</v>
      </c>
    </row>
    <row r="7732" spans="27:32" x14ac:dyDescent="0.3">
      <c r="AA7732" s="3">
        <v>8167.38</v>
      </c>
      <c r="AB7732">
        <v>1E-4</v>
      </c>
      <c r="AC7732">
        <v>8</v>
      </c>
      <c r="AD7732" s="5">
        <v>4.9127146447100332</v>
      </c>
      <c r="AE7732" s="5">
        <v>2.1955584478816004</v>
      </c>
      <c r="AF7732">
        <v>1</v>
      </c>
    </row>
    <row r="7733" spans="27:32" x14ac:dyDescent="0.3">
      <c r="AA7733" s="3">
        <v>47800.79</v>
      </c>
      <c r="AB7733">
        <v>1E-4</v>
      </c>
      <c r="AC7733">
        <v>7</v>
      </c>
      <c r="AD7733" s="5">
        <v>5.0530448827669199</v>
      </c>
      <c r="AE7733" s="5">
        <v>2.1885862700267338</v>
      </c>
      <c r="AF7733">
        <v>1</v>
      </c>
    </row>
    <row r="7734" spans="27:32" x14ac:dyDescent="0.3">
      <c r="AA7734" s="3">
        <v>31325.86</v>
      </c>
      <c r="AB7734">
        <v>1E-4</v>
      </c>
      <c r="AC7734">
        <v>7</v>
      </c>
      <c r="AD7734" s="5">
        <v>4.9320884805555574</v>
      </c>
      <c r="AE7734" s="5">
        <v>2.140208731349408</v>
      </c>
      <c r="AF7734">
        <v>1</v>
      </c>
    </row>
    <row r="7735" spans="27:32" x14ac:dyDescent="0.3">
      <c r="AA7735" s="3">
        <v>-37340.046835439272</v>
      </c>
      <c r="AB7735">
        <v>1E-4</v>
      </c>
      <c r="AC7735">
        <v>9</v>
      </c>
      <c r="AD7735" s="5">
        <v>5.0479579638174714</v>
      </c>
      <c r="AE7735" s="5">
        <v>2.2388515780465239</v>
      </c>
      <c r="AF7735">
        <v>0</v>
      </c>
    </row>
    <row r="7736" spans="27:32" x14ac:dyDescent="0.3">
      <c r="AA7736" s="3">
        <v>10905.69</v>
      </c>
      <c r="AB7736">
        <v>1E-4</v>
      </c>
      <c r="AC7736">
        <v>8</v>
      </c>
      <c r="AD7736" s="5">
        <v>4.9606482897701136</v>
      </c>
      <c r="AE7736" s="5">
        <v>2.1815013217630743</v>
      </c>
      <c r="AF7736">
        <v>1</v>
      </c>
    </row>
    <row r="7737" spans="27:32" x14ac:dyDescent="0.3">
      <c r="AA7737" s="3">
        <v>5937.96</v>
      </c>
      <c r="AB7737">
        <v>1E-4</v>
      </c>
      <c r="AC7737">
        <v>8</v>
      </c>
      <c r="AD7737" s="5">
        <v>4.9425265513756775</v>
      </c>
      <c r="AE7737" s="5">
        <v>2.1345253824374453</v>
      </c>
      <c r="AF7737">
        <v>1</v>
      </c>
    </row>
    <row r="7738" spans="27:32" x14ac:dyDescent="0.3">
      <c r="AA7738" s="3">
        <v>23637.3</v>
      </c>
      <c r="AB7738">
        <v>1E-4</v>
      </c>
      <c r="AC7738">
        <v>8</v>
      </c>
      <c r="AD7738" s="5">
        <v>5.0623418332558963</v>
      </c>
      <c r="AE7738" s="5">
        <v>2.2931586085791111</v>
      </c>
      <c r="AF7738">
        <v>1</v>
      </c>
    </row>
    <row r="7739" spans="27:32" x14ac:dyDescent="0.3">
      <c r="AA7739" s="3">
        <v>18765.12</v>
      </c>
      <c r="AB7739">
        <v>1E-4</v>
      </c>
      <c r="AC7739">
        <v>8</v>
      </c>
      <c r="AD7739" s="5">
        <v>4.9119560774489424</v>
      </c>
      <c r="AE7739" s="5">
        <v>2.190341914257552</v>
      </c>
      <c r="AF7739">
        <v>1</v>
      </c>
    </row>
    <row r="7740" spans="27:32" x14ac:dyDescent="0.3">
      <c r="AA7740" s="3">
        <v>26803.79</v>
      </c>
      <c r="AB7740">
        <v>1E-4</v>
      </c>
      <c r="AC7740">
        <v>8</v>
      </c>
      <c r="AD7740" s="5">
        <v>5.0428451524163274</v>
      </c>
      <c r="AE7740" s="5">
        <v>2.2663946807710169</v>
      </c>
      <c r="AF7740">
        <v>1</v>
      </c>
    </row>
    <row r="7741" spans="27:32" x14ac:dyDescent="0.3">
      <c r="AA7741" s="3">
        <v>-3590.56</v>
      </c>
      <c r="AB7741">
        <v>1E-4</v>
      </c>
      <c r="AC7741">
        <v>9</v>
      </c>
      <c r="AD7741" s="5">
        <v>5.0632907486704424</v>
      </c>
      <c r="AE7741" s="5">
        <v>2.2993136474538973</v>
      </c>
      <c r="AF7741">
        <v>1</v>
      </c>
    </row>
    <row r="7742" spans="27:32" x14ac:dyDescent="0.3">
      <c r="AA7742" s="3">
        <v>28995.32</v>
      </c>
      <c r="AB7742">
        <v>1E-4</v>
      </c>
      <c r="AC7742">
        <v>8</v>
      </c>
      <c r="AD7742" s="5">
        <v>5.3046068638512871</v>
      </c>
      <c r="AE7742" s="5">
        <v>2.1401011429728589</v>
      </c>
      <c r="AF7742">
        <v>1</v>
      </c>
    </row>
    <row r="7743" spans="27:32" x14ac:dyDescent="0.3">
      <c r="AA7743" s="3">
        <v>23045.98</v>
      </c>
      <c r="AB7743">
        <v>1E-4</v>
      </c>
      <c r="AC7743">
        <v>8</v>
      </c>
      <c r="AD7743" s="5">
        <v>4.9625283144819425</v>
      </c>
      <c r="AE7743" s="5">
        <v>2.1555706788265789</v>
      </c>
      <c r="AF7743">
        <v>1</v>
      </c>
    </row>
    <row r="7744" spans="27:32" x14ac:dyDescent="0.3">
      <c r="AA7744" s="3">
        <v>8427.2497393937265</v>
      </c>
      <c r="AB7744">
        <v>1E-4</v>
      </c>
      <c r="AC7744">
        <v>8</v>
      </c>
      <c r="AD7744" s="5">
        <v>5.0704748621011708</v>
      </c>
      <c r="AE7744" s="5">
        <v>2.1841074750337035</v>
      </c>
      <c r="AF7744">
        <v>0</v>
      </c>
    </row>
    <row r="7745" spans="27:32" x14ac:dyDescent="0.3">
      <c r="AA7745" s="3">
        <v>-1664.44</v>
      </c>
      <c r="AB7745">
        <v>1E-4</v>
      </c>
      <c r="AC7745">
        <v>9</v>
      </c>
      <c r="AD7745" s="5">
        <v>4.9648670856819948</v>
      </c>
      <c r="AE7745" s="5">
        <v>2.271180583380727</v>
      </c>
      <c r="AF7745">
        <v>1</v>
      </c>
    </row>
    <row r="7746" spans="27:32" x14ac:dyDescent="0.3">
      <c r="AA7746" s="3">
        <v>60186.34</v>
      </c>
      <c r="AB7746">
        <v>1E-4</v>
      </c>
      <c r="AC7746">
        <v>6</v>
      </c>
      <c r="AD7746" s="5">
        <v>5.1128466337419072</v>
      </c>
      <c r="AE7746" s="5">
        <v>2.1473326747102388</v>
      </c>
      <c r="AF7746">
        <v>1</v>
      </c>
    </row>
    <row r="7747" spans="27:32" x14ac:dyDescent="0.3">
      <c r="AA7747" s="3">
        <v>-9899.0400000000009</v>
      </c>
      <c r="AB7747">
        <v>1E-4</v>
      </c>
      <c r="AC7747">
        <v>9</v>
      </c>
      <c r="AD7747" s="5">
        <v>4.8838950062982542</v>
      </c>
      <c r="AE7747" s="5">
        <v>2.2182696386845842</v>
      </c>
      <c r="AF7747">
        <v>1</v>
      </c>
    </row>
    <row r="7748" spans="27:32" x14ac:dyDescent="0.3">
      <c r="AA7748" s="3">
        <v>30024.22</v>
      </c>
      <c r="AB7748">
        <v>1E-4</v>
      </c>
      <c r="AC7748">
        <v>8</v>
      </c>
      <c r="AD7748" s="5">
        <v>4.9801611099468506</v>
      </c>
      <c r="AE7748" s="5">
        <v>2.0511737314092477</v>
      </c>
      <c r="AF7748">
        <v>1</v>
      </c>
    </row>
    <row r="7749" spans="27:32" x14ac:dyDescent="0.3">
      <c r="AA7749" s="3">
        <v>37712.230000000003</v>
      </c>
      <c r="AB7749">
        <v>1E-4</v>
      </c>
      <c r="AC7749">
        <v>7</v>
      </c>
      <c r="AD7749" s="5">
        <v>5.0591936408214497</v>
      </c>
      <c r="AE7749" s="5">
        <v>2.2384783238440256</v>
      </c>
      <c r="AF7749">
        <v>1</v>
      </c>
    </row>
    <row r="7750" spans="27:32" x14ac:dyDescent="0.3">
      <c r="AA7750" s="3">
        <v>23158.06</v>
      </c>
      <c r="AB7750">
        <v>1E-4</v>
      </c>
      <c r="AC7750">
        <v>8</v>
      </c>
      <c r="AD7750" s="5">
        <v>4.9272239888870786</v>
      </c>
      <c r="AE7750" s="5">
        <v>2.1740787293030746</v>
      </c>
      <c r="AF7750">
        <v>1</v>
      </c>
    </row>
    <row r="7751" spans="27:32" x14ac:dyDescent="0.3">
      <c r="AA7751" s="3">
        <v>6327.41</v>
      </c>
      <c r="AB7751">
        <v>1E-4</v>
      </c>
      <c r="AC7751">
        <v>8</v>
      </c>
      <c r="AD7751" s="5">
        <v>5.0174553466742751</v>
      </c>
      <c r="AE7751" s="5">
        <v>2.1229460155804647</v>
      </c>
      <c r="AF7751">
        <v>1</v>
      </c>
    </row>
    <row r="7752" spans="27:32" x14ac:dyDescent="0.3">
      <c r="AA7752" s="3">
        <v>13460.72</v>
      </c>
      <c r="AB7752">
        <v>1E-4</v>
      </c>
      <c r="AC7752">
        <v>8</v>
      </c>
      <c r="AD7752" s="5">
        <v>5.0473949533850293</v>
      </c>
      <c r="AE7752" s="5">
        <v>2.1807578282920255</v>
      </c>
      <c r="AF7752">
        <v>1</v>
      </c>
    </row>
    <row r="7753" spans="27:32" x14ac:dyDescent="0.3">
      <c r="AA7753" s="3">
        <v>33893.83</v>
      </c>
      <c r="AB7753">
        <v>1E-4</v>
      </c>
      <c r="AC7753">
        <v>7</v>
      </c>
      <c r="AD7753" s="5">
        <v>4.9681468174159402</v>
      </c>
      <c r="AE7753" s="5">
        <v>2.2294513182120212</v>
      </c>
      <c r="AF7753">
        <v>1</v>
      </c>
    </row>
    <row r="7754" spans="27:32" x14ac:dyDescent="0.3">
      <c r="AA7754" s="3">
        <v>29801.63</v>
      </c>
      <c r="AB7754">
        <v>1E-4</v>
      </c>
      <c r="AC7754">
        <v>8</v>
      </c>
      <c r="AD7754" s="5">
        <v>5.1345427816392428</v>
      </c>
      <c r="AE7754" s="5">
        <v>2.2533625895551701</v>
      </c>
      <c r="AF7754">
        <v>1</v>
      </c>
    </row>
    <row r="7755" spans="27:32" x14ac:dyDescent="0.3">
      <c r="AA7755" s="3">
        <v>17967.28</v>
      </c>
      <c r="AB7755">
        <v>1E-4</v>
      </c>
      <c r="AC7755">
        <v>8</v>
      </c>
      <c r="AD7755" s="5">
        <v>5.0125310123242057</v>
      </c>
      <c r="AE7755" s="5">
        <v>2.1962279534011793</v>
      </c>
      <c r="AF7755">
        <v>1</v>
      </c>
    </row>
    <row r="7756" spans="27:32" x14ac:dyDescent="0.3">
      <c r="AA7756" s="3">
        <v>62837.5</v>
      </c>
      <c r="AB7756">
        <v>1E-4</v>
      </c>
      <c r="AC7756">
        <v>6</v>
      </c>
      <c r="AD7756" s="5">
        <v>5.0885827688923557</v>
      </c>
      <c r="AE7756" s="5">
        <v>2.2210541410236235</v>
      </c>
      <c r="AF7756">
        <v>1</v>
      </c>
    </row>
    <row r="7757" spans="27:32" x14ac:dyDescent="0.3">
      <c r="AA7757" s="3">
        <v>55646.5</v>
      </c>
      <c r="AB7757">
        <v>1E-4</v>
      </c>
      <c r="AC7757">
        <v>6</v>
      </c>
      <c r="AD7757" s="5">
        <v>5.0182561013514224</v>
      </c>
      <c r="AE7757" s="5">
        <v>2.1668967182637795</v>
      </c>
      <c r="AF7757">
        <v>1</v>
      </c>
    </row>
    <row r="7758" spans="27:32" x14ac:dyDescent="0.3">
      <c r="AA7758" s="3">
        <v>15562.7</v>
      </c>
      <c r="AB7758">
        <v>1E-4</v>
      </c>
      <c r="AC7758">
        <v>8</v>
      </c>
      <c r="AD7758" s="5">
        <v>4.9929308354728521</v>
      </c>
      <c r="AE7758" s="5">
        <v>2.1829838019183767</v>
      </c>
      <c r="AF7758">
        <v>1</v>
      </c>
    </row>
    <row r="7759" spans="27:32" x14ac:dyDescent="0.3">
      <c r="AA7759" s="3">
        <v>33603.51</v>
      </c>
      <c r="AB7759">
        <v>1E-4</v>
      </c>
      <c r="AC7759">
        <v>7</v>
      </c>
      <c r="AD7759" s="5">
        <v>4.9216145002886913</v>
      </c>
      <c r="AE7759" s="5">
        <v>2.1704222639148245</v>
      </c>
      <c r="AF7759">
        <v>1</v>
      </c>
    </row>
    <row r="7760" spans="27:32" x14ac:dyDescent="0.3">
      <c r="AA7760" s="3">
        <v>16216.89</v>
      </c>
      <c r="AB7760">
        <v>1E-4</v>
      </c>
      <c r="AC7760">
        <v>8</v>
      </c>
      <c r="AD7760" s="5">
        <v>5.0913262436557485</v>
      </c>
      <c r="AE7760" s="5">
        <v>2.2275002339057157</v>
      </c>
      <c r="AF7760">
        <v>1</v>
      </c>
    </row>
    <row r="7761" spans="27:32" x14ac:dyDescent="0.3">
      <c r="AA7761" s="3">
        <v>25801.91</v>
      </c>
      <c r="AB7761">
        <v>1E-4</v>
      </c>
      <c r="AC7761">
        <v>8</v>
      </c>
      <c r="AD7761" s="5">
        <v>5.1071065191455132</v>
      </c>
      <c r="AE7761" s="5">
        <v>2.1710588007209339</v>
      </c>
      <c r="AF7761">
        <v>1</v>
      </c>
    </row>
    <row r="7762" spans="27:32" x14ac:dyDescent="0.3">
      <c r="AA7762" s="3">
        <v>-3437.94</v>
      </c>
      <c r="AB7762">
        <v>1E-4</v>
      </c>
      <c r="AC7762">
        <v>9</v>
      </c>
      <c r="AD7762" s="5">
        <v>4.9116054223862609</v>
      </c>
      <c r="AE7762" s="5">
        <v>2.3153713432710488</v>
      </c>
      <c r="AF7762">
        <v>1</v>
      </c>
    </row>
    <row r="7763" spans="27:32" x14ac:dyDescent="0.3">
      <c r="AA7763" s="3">
        <v>7781.23</v>
      </c>
      <c r="AB7763">
        <v>1E-4</v>
      </c>
      <c r="AC7763">
        <v>8</v>
      </c>
      <c r="AD7763" s="5">
        <v>5.0016318649988332</v>
      </c>
      <c r="AE7763" s="5">
        <v>2.162967701085015</v>
      </c>
      <c r="AF7763">
        <v>1</v>
      </c>
    </row>
    <row r="7764" spans="27:32" x14ac:dyDescent="0.3">
      <c r="AA7764" s="3">
        <v>-2137.08</v>
      </c>
      <c r="AB7764">
        <v>1E-4</v>
      </c>
      <c r="AC7764">
        <v>9</v>
      </c>
      <c r="AD7764" s="5">
        <v>4.9708269095133373</v>
      </c>
      <c r="AE7764" s="5">
        <v>2.2625385994654539</v>
      </c>
      <c r="AF7764">
        <v>1</v>
      </c>
    </row>
    <row r="7765" spans="27:32" x14ac:dyDescent="0.3">
      <c r="AA7765" s="3">
        <v>36893.379999999997</v>
      </c>
      <c r="AB7765">
        <v>1E-4</v>
      </c>
      <c r="AC7765">
        <v>7</v>
      </c>
      <c r="AD7765" s="5">
        <v>5.2011090090064762</v>
      </c>
      <c r="AE7765" s="5">
        <v>2.1667591423240471</v>
      </c>
      <c r="AF7765">
        <v>1</v>
      </c>
    </row>
    <row r="7766" spans="27:32" x14ac:dyDescent="0.3">
      <c r="AA7766" s="3">
        <v>11919.66</v>
      </c>
      <c r="AB7766">
        <v>1E-4</v>
      </c>
      <c r="AC7766">
        <v>8</v>
      </c>
      <c r="AD7766" s="5">
        <v>5.1500397961909226</v>
      </c>
      <c r="AE7766" s="5">
        <v>2.1635266358187768</v>
      </c>
      <c r="AF7766">
        <v>1</v>
      </c>
    </row>
    <row r="7767" spans="27:32" x14ac:dyDescent="0.3">
      <c r="AA7767" s="3">
        <v>31739.03</v>
      </c>
      <c r="AB7767">
        <v>1E-4</v>
      </c>
      <c r="AC7767">
        <v>7</v>
      </c>
      <c r="AD7767" s="5">
        <v>4.8524415209267442</v>
      </c>
      <c r="AE7767" s="5">
        <v>2.2037831798994163</v>
      </c>
      <c r="AF7767">
        <v>1</v>
      </c>
    </row>
    <row r="7768" spans="27:32" x14ac:dyDescent="0.3">
      <c r="AA7768" s="3">
        <v>11075.02</v>
      </c>
      <c r="AB7768">
        <v>1E-4</v>
      </c>
      <c r="AC7768">
        <v>8</v>
      </c>
      <c r="AD7768" s="5">
        <v>4.9139149556552839</v>
      </c>
      <c r="AE7768" s="5">
        <v>2.1736506038865597</v>
      </c>
      <c r="AF7768">
        <v>1</v>
      </c>
    </row>
    <row r="7769" spans="27:32" x14ac:dyDescent="0.3">
      <c r="AA7769" s="3">
        <v>10229.92</v>
      </c>
      <c r="AB7769">
        <v>1E-4</v>
      </c>
      <c r="AC7769">
        <v>8</v>
      </c>
      <c r="AD7769" s="5">
        <v>4.7809178375148269</v>
      </c>
      <c r="AE7769" s="5">
        <v>2.281226068713337</v>
      </c>
      <c r="AF7769">
        <v>1</v>
      </c>
    </row>
    <row r="7770" spans="27:32" x14ac:dyDescent="0.3">
      <c r="AA7770" s="3">
        <v>43145.32</v>
      </c>
      <c r="AB7770">
        <v>1E-4</v>
      </c>
      <c r="AC7770">
        <v>7</v>
      </c>
      <c r="AD7770" s="5">
        <v>4.9970049835974661</v>
      </c>
      <c r="AE7770" s="5">
        <v>2.1944088013015599</v>
      </c>
      <c r="AF7770">
        <v>1</v>
      </c>
    </row>
    <row r="7771" spans="27:32" x14ac:dyDescent="0.3">
      <c r="AA7771" s="3">
        <v>22967.84</v>
      </c>
      <c r="AB7771">
        <v>1E-4</v>
      </c>
      <c r="AC7771">
        <v>8</v>
      </c>
      <c r="AD7771" s="5">
        <v>4.9906914902880599</v>
      </c>
      <c r="AE7771" s="5">
        <v>2.2047061665826306</v>
      </c>
      <c r="AF7771">
        <v>1</v>
      </c>
    </row>
    <row r="7772" spans="27:32" x14ac:dyDescent="0.3">
      <c r="AA7772" s="3">
        <v>8220.07</v>
      </c>
      <c r="AB7772">
        <v>1E-4</v>
      </c>
      <c r="AC7772">
        <v>8</v>
      </c>
      <c r="AD7772" s="5">
        <v>5.076487828965452</v>
      </c>
      <c r="AE7772" s="5">
        <v>2.2013742569316337</v>
      </c>
      <c r="AF7772">
        <v>1</v>
      </c>
    </row>
    <row r="7773" spans="27:32" x14ac:dyDescent="0.3">
      <c r="AA7773" s="3">
        <v>27870.93</v>
      </c>
      <c r="AB7773">
        <v>1E-4</v>
      </c>
      <c r="AC7773">
        <v>7</v>
      </c>
      <c r="AD7773" s="5">
        <v>5.1064446847155986</v>
      </c>
      <c r="AE7773" s="5">
        <v>2.1814077162109458</v>
      </c>
      <c r="AF7773">
        <v>1</v>
      </c>
    </row>
    <row r="7774" spans="27:32" x14ac:dyDescent="0.3">
      <c r="AA7774" s="3">
        <v>47766.01</v>
      </c>
      <c r="AB7774">
        <v>1E-4</v>
      </c>
      <c r="AC7774">
        <v>7</v>
      </c>
      <c r="AD7774" s="5">
        <v>4.9875341520501157</v>
      </c>
      <c r="AE7774" s="5">
        <v>2.1372926756552442</v>
      </c>
      <c r="AF7774">
        <v>1</v>
      </c>
    </row>
    <row r="7775" spans="27:32" x14ac:dyDescent="0.3">
      <c r="AA7775" s="3">
        <v>16726.07</v>
      </c>
      <c r="AB7775">
        <v>1E-4</v>
      </c>
      <c r="AC7775">
        <v>8</v>
      </c>
      <c r="AD7775" s="5">
        <v>5.034651018760905</v>
      </c>
      <c r="AE7775" s="5">
        <v>2.2643050187679257</v>
      </c>
      <c r="AF7775">
        <v>1</v>
      </c>
    </row>
    <row r="7776" spans="27:32" x14ac:dyDescent="0.3">
      <c r="AA7776" s="3">
        <v>-13081.23</v>
      </c>
      <c r="AB7776">
        <v>1E-4</v>
      </c>
      <c r="AC7776">
        <v>9</v>
      </c>
      <c r="AD7776" s="5">
        <v>4.9019835319069873</v>
      </c>
      <c r="AE7776" s="5">
        <v>2.2542240513934604</v>
      </c>
      <c r="AF7776">
        <v>1</v>
      </c>
    </row>
    <row r="7777" spans="27:32" x14ac:dyDescent="0.3">
      <c r="AA7777" s="3">
        <v>16685.05</v>
      </c>
      <c r="AB7777">
        <v>1E-4</v>
      </c>
      <c r="AC7777">
        <v>8</v>
      </c>
      <c r="AD7777" s="5">
        <v>5.0942659292650569</v>
      </c>
      <c r="AE7777" s="5">
        <v>2.1805888438742898</v>
      </c>
      <c r="AF7777">
        <v>1</v>
      </c>
    </row>
    <row r="7778" spans="27:32" x14ac:dyDescent="0.3">
      <c r="AA7778" s="3">
        <v>3787.67</v>
      </c>
      <c r="AB7778">
        <v>1E-4</v>
      </c>
      <c r="AC7778">
        <v>8</v>
      </c>
      <c r="AD7778" s="5">
        <v>5.0008832876179863</v>
      </c>
      <c r="AE7778" s="5">
        <v>2.171059692317562</v>
      </c>
      <c r="AF7778">
        <v>1</v>
      </c>
    </row>
    <row r="7779" spans="27:32" x14ac:dyDescent="0.3">
      <c r="AA7779" s="3">
        <v>-401.18</v>
      </c>
      <c r="AB7779">
        <v>1E-4</v>
      </c>
      <c r="AC7779">
        <v>9</v>
      </c>
      <c r="AD7779" s="5">
        <v>4.912527545342547</v>
      </c>
      <c r="AE7779" s="5">
        <v>2.2175324314351084</v>
      </c>
      <c r="AF7779">
        <v>1</v>
      </c>
    </row>
    <row r="7780" spans="27:32" x14ac:dyDescent="0.3">
      <c r="AA7780" s="3">
        <v>14051.43</v>
      </c>
      <c r="AB7780">
        <v>1E-4</v>
      </c>
      <c r="AC7780">
        <v>8</v>
      </c>
      <c r="AD7780" s="5">
        <v>5.0090964193105636</v>
      </c>
      <c r="AE7780" s="5">
        <v>2.2456311750961007</v>
      </c>
      <c r="AF7780">
        <v>1</v>
      </c>
    </row>
    <row r="7781" spans="27:32" x14ac:dyDescent="0.3">
      <c r="AA7781" s="3">
        <v>38380.99</v>
      </c>
      <c r="AB7781">
        <v>1E-4</v>
      </c>
      <c r="AC7781">
        <v>7</v>
      </c>
      <c r="AD7781" s="5">
        <v>5.0598682068075096</v>
      </c>
      <c r="AE7781" s="5">
        <v>2.1583846999338139</v>
      </c>
      <c r="AF7781">
        <v>1</v>
      </c>
    </row>
    <row r="7782" spans="27:32" x14ac:dyDescent="0.3">
      <c r="AA7782" s="3">
        <v>15024.71</v>
      </c>
      <c r="AB7782">
        <v>1E-4</v>
      </c>
      <c r="AC7782">
        <v>8</v>
      </c>
      <c r="AD7782" s="5">
        <v>5.0574563043501222</v>
      </c>
      <c r="AE7782" s="5">
        <v>2.1480308566987474</v>
      </c>
      <c r="AF7782">
        <v>1</v>
      </c>
    </row>
    <row r="7783" spans="27:32" x14ac:dyDescent="0.3">
      <c r="AA7783" s="3">
        <v>52424.32</v>
      </c>
      <c r="AB7783">
        <v>1E-4</v>
      </c>
      <c r="AC7783">
        <v>6</v>
      </c>
      <c r="AD7783" s="5">
        <v>5.1956977182553219</v>
      </c>
      <c r="AE7783" s="5">
        <v>2.269957425786977</v>
      </c>
      <c r="AF7783">
        <v>1</v>
      </c>
    </row>
    <row r="7784" spans="27:32" x14ac:dyDescent="0.3">
      <c r="AA7784" s="3">
        <v>10457.549999999999</v>
      </c>
      <c r="AB7784">
        <v>1E-4</v>
      </c>
      <c r="AC7784">
        <v>8</v>
      </c>
      <c r="AD7784" s="5">
        <v>5.0014934481650615</v>
      </c>
      <c r="AE7784" s="5">
        <v>2.2356017759444624</v>
      </c>
      <c r="AF7784">
        <v>1</v>
      </c>
    </row>
    <row r="7785" spans="27:32" x14ac:dyDescent="0.3">
      <c r="AA7785" s="3">
        <v>28896.34</v>
      </c>
      <c r="AB7785">
        <v>1E-4</v>
      </c>
      <c r="AC7785">
        <v>8</v>
      </c>
      <c r="AD7785" s="5">
        <v>5.048008397138096</v>
      </c>
      <c r="AE7785" s="5">
        <v>2.2270851570465071</v>
      </c>
      <c r="AF7785">
        <v>1</v>
      </c>
    </row>
    <row r="7786" spans="27:32" x14ac:dyDescent="0.3">
      <c r="AA7786" s="3">
        <v>29502.29</v>
      </c>
      <c r="AB7786">
        <v>1E-4</v>
      </c>
      <c r="AC7786">
        <v>7</v>
      </c>
      <c r="AD7786" s="5">
        <v>5.0264403657870407</v>
      </c>
      <c r="AE7786" s="5">
        <v>2.1842711009368738</v>
      </c>
      <c r="AF7786">
        <v>1</v>
      </c>
    </row>
    <row r="7787" spans="27:32" x14ac:dyDescent="0.3">
      <c r="AA7787" s="3">
        <v>4171.8900000000003</v>
      </c>
      <c r="AB7787">
        <v>1E-4</v>
      </c>
      <c r="AC7787">
        <v>8</v>
      </c>
      <c r="AD7787" s="5">
        <v>4.8593154399523648</v>
      </c>
      <c r="AE7787" s="5">
        <v>2.1341803457919846</v>
      </c>
      <c r="AF7787">
        <v>1</v>
      </c>
    </row>
    <row r="7788" spans="27:32" x14ac:dyDescent="0.3">
      <c r="AA7788" s="3">
        <v>-9371.4</v>
      </c>
      <c r="AB7788">
        <v>1E-4</v>
      </c>
      <c r="AC7788">
        <v>9</v>
      </c>
      <c r="AD7788" s="5">
        <v>4.8669989222386327</v>
      </c>
      <c r="AE7788" s="5">
        <v>2.1537016061708303</v>
      </c>
      <c r="AF7788">
        <v>1</v>
      </c>
    </row>
    <row r="7789" spans="27:32" x14ac:dyDescent="0.3">
      <c r="AA7789" s="3">
        <v>25878.01</v>
      </c>
      <c r="AB7789">
        <v>1E-4</v>
      </c>
      <c r="AC7789">
        <v>8</v>
      </c>
      <c r="AD7789" s="5">
        <v>5.072267482348467</v>
      </c>
      <c r="AE7789" s="5">
        <v>2.1700384411615183</v>
      </c>
      <c r="AF7789">
        <v>1</v>
      </c>
    </row>
    <row r="7790" spans="27:32" x14ac:dyDescent="0.3">
      <c r="AA7790" s="3">
        <v>1495.58</v>
      </c>
      <c r="AB7790">
        <v>1E-4</v>
      </c>
      <c r="AC7790">
        <v>8</v>
      </c>
      <c r="AD7790" s="5">
        <v>4.9750670495498008</v>
      </c>
      <c r="AE7790" s="5">
        <v>2.2277961459657001</v>
      </c>
      <c r="AF7790">
        <v>1</v>
      </c>
    </row>
    <row r="7791" spans="27:32" x14ac:dyDescent="0.3">
      <c r="AA7791" s="3">
        <v>20589.55</v>
      </c>
      <c r="AB7791">
        <v>1E-4</v>
      </c>
      <c r="AC7791">
        <v>8</v>
      </c>
      <c r="AD7791" s="5">
        <v>5.0204554172350306</v>
      </c>
      <c r="AE7791" s="5">
        <v>2.1921353862755639</v>
      </c>
      <c r="AF7791">
        <v>1</v>
      </c>
    </row>
    <row r="7792" spans="27:32" x14ac:dyDescent="0.3">
      <c r="AA7792" s="3">
        <v>-15058.91</v>
      </c>
      <c r="AB7792">
        <v>1E-4</v>
      </c>
      <c r="AC7792">
        <v>9</v>
      </c>
      <c r="AD7792" s="5">
        <v>4.8973856698895224</v>
      </c>
      <c r="AE7792" s="5">
        <v>2.2977205900335629</v>
      </c>
      <c r="AF7792">
        <v>1</v>
      </c>
    </row>
    <row r="7793" spans="27:32" x14ac:dyDescent="0.3">
      <c r="AA7793" s="3">
        <v>9997.48</v>
      </c>
      <c r="AB7793">
        <v>1E-4</v>
      </c>
      <c r="AC7793">
        <v>8</v>
      </c>
      <c r="AD7793" s="5">
        <v>4.9154910119782604</v>
      </c>
      <c r="AE7793" s="5">
        <v>2.2176226005020689</v>
      </c>
      <c r="AF7793">
        <v>1</v>
      </c>
    </row>
    <row r="7794" spans="27:32" x14ac:dyDescent="0.3">
      <c r="AA7794" s="3">
        <v>-391.37</v>
      </c>
      <c r="AB7794">
        <v>1E-4</v>
      </c>
      <c r="AC7794">
        <v>9</v>
      </c>
      <c r="AD7794" s="5">
        <v>5.0039327311508295</v>
      </c>
      <c r="AE7794" s="5">
        <v>2.1784795611132637</v>
      </c>
      <c r="AF7794">
        <v>1</v>
      </c>
    </row>
    <row r="7795" spans="27:32" x14ac:dyDescent="0.3">
      <c r="AA7795" s="3">
        <v>-7244.04</v>
      </c>
      <c r="AB7795">
        <v>1E-4</v>
      </c>
      <c r="AC7795">
        <v>9</v>
      </c>
      <c r="AD7795" s="5">
        <v>4.9446609447356007</v>
      </c>
      <c r="AE7795" s="5">
        <v>2.1404591606267878</v>
      </c>
      <c r="AF7795">
        <v>1</v>
      </c>
    </row>
    <row r="7796" spans="27:32" x14ac:dyDescent="0.3">
      <c r="AA7796" s="3">
        <v>4018.75</v>
      </c>
      <c r="AB7796">
        <v>1E-4</v>
      </c>
      <c r="AC7796">
        <v>8</v>
      </c>
      <c r="AD7796" s="5">
        <v>4.8092586505747965</v>
      </c>
      <c r="AE7796" s="5">
        <v>2.2745080096483887</v>
      </c>
      <c r="AF7796">
        <v>1</v>
      </c>
    </row>
    <row r="7797" spans="27:32" x14ac:dyDescent="0.3">
      <c r="AA7797" s="3">
        <v>50675.95</v>
      </c>
      <c r="AB7797">
        <v>1E-4</v>
      </c>
      <c r="AC7797">
        <v>6</v>
      </c>
      <c r="AD7797" s="5">
        <v>5.082369117309141</v>
      </c>
      <c r="AE7797" s="5">
        <v>2.2064802721013774</v>
      </c>
      <c r="AF7797">
        <v>1</v>
      </c>
    </row>
    <row r="7798" spans="27:32" x14ac:dyDescent="0.3">
      <c r="AA7798" s="3">
        <v>38375.769999999997</v>
      </c>
      <c r="AB7798">
        <v>1E-4</v>
      </c>
      <c r="AC7798">
        <v>7</v>
      </c>
      <c r="AD7798" s="5">
        <v>5.0702706201398584</v>
      </c>
      <c r="AE7798" s="5">
        <v>2.1435800076303142</v>
      </c>
      <c r="AF7798">
        <v>1</v>
      </c>
    </row>
    <row r="7799" spans="27:32" x14ac:dyDescent="0.3">
      <c r="AA7799" s="3">
        <v>-1667.32</v>
      </c>
      <c r="AB7799">
        <v>1E-4</v>
      </c>
      <c r="AC7799">
        <v>9</v>
      </c>
      <c r="AD7799" s="5">
        <v>4.8142978222252486</v>
      </c>
      <c r="AE7799" s="5">
        <v>2.1977771967988993</v>
      </c>
      <c r="AF7799">
        <v>1</v>
      </c>
    </row>
    <row r="7800" spans="27:32" x14ac:dyDescent="0.3">
      <c r="AA7800" s="3">
        <v>-10636.22</v>
      </c>
      <c r="AB7800">
        <v>1E-4</v>
      </c>
      <c r="AC7800">
        <v>9</v>
      </c>
      <c r="AD7800" s="5">
        <v>4.8845756886214806</v>
      </c>
      <c r="AE7800" s="5">
        <v>2.1728919033299809</v>
      </c>
      <c r="AF7800">
        <v>1</v>
      </c>
    </row>
    <row r="7801" spans="27:32" x14ac:dyDescent="0.3">
      <c r="AA7801" s="3">
        <v>-21313.63</v>
      </c>
      <c r="AB7801">
        <v>1E-4</v>
      </c>
      <c r="AC7801">
        <v>9</v>
      </c>
      <c r="AD7801" s="5">
        <v>5.0724008185233895</v>
      </c>
      <c r="AE7801" s="5">
        <v>2.198182408753234</v>
      </c>
      <c r="AF7801">
        <v>1</v>
      </c>
    </row>
    <row r="7802" spans="27:32" x14ac:dyDescent="0.3">
      <c r="AA7802" s="3">
        <v>8222.44</v>
      </c>
      <c r="AB7802">
        <v>1E-4</v>
      </c>
      <c r="AC7802">
        <v>8</v>
      </c>
      <c r="AD7802" s="5">
        <v>5.2337689381671852</v>
      </c>
      <c r="AE7802" s="5">
        <v>2.244000878217165</v>
      </c>
      <c r="AF7802">
        <v>1</v>
      </c>
    </row>
    <row r="7803" spans="27:32" x14ac:dyDescent="0.3">
      <c r="AA7803" s="3">
        <v>9963.44</v>
      </c>
      <c r="AB7803">
        <v>1E-4</v>
      </c>
      <c r="AC7803">
        <v>8</v>
      </c>
      <c r="AD7803" s="5">
        <v>5.0162259822910835</v>
      </c>
      <c r="AE7803" s="5">
        <v>2.1539817907785177</v>
      </c>
      <c r="AF7803">
        <v>1</v>
      </c>
    </row>
    <row r="7804" spans="27:32" x14ac:dyDescent="0.3">
      <c r="AA7804" s="3">
        <v>8385.42</v>
      </c>
      <c r="AB7804">
        <v>1E-4</v>
      </c>
      <c r="AC7804">
        <v>8</v>
      </c>
      <c r="AD7804" s="5">
        <v>5.1074079352879131</v>
      </c>
      <c r="AE7804" s="5">
        <v>2.2933302387227625</v>
      </c>
      <c r="AF7804">
        <v>1</v>
      </c>
    </row>
    <row r="7805" spans="27:32" x14ac:dyDescent="0.3">
      <c r="AA7805" s="3">
        <v>3308.89</v>
      </c>
      <c r="AB7805">
        <v>1E-4</v>
      </c>
      <c r="AC7805">
        <v>8</v>
      </c>
      <c r="AD7805" s="5">
        <v>4.9752954129643783</v>
      </c>
      <c r="AE7805" s="5">
        <v>2.1762337002110668</v>
      </c>
      <c r="AF7805">
        <v>1</v>
      </c>
    </row>
    <row r="7806" spans="27:32" x14ac:dyDescent="0.3">
      <c r="AA7806" s="3">
        <v>7773.5</v>
      </c>
      <c r="AB7806">
        <v>1E-4</v>
      </c>
      <c r="AC7806">
        <v>8</v>
      </c>
      <c r="AD7806" s="5">
        <v>4.8854210876644917</v>
      </c>
      <c r="AE7806" s="5">
        <v>2.1738036013886437</v>
      </c>
      <c r="AF7806">
        <v>1</v>
      </c>
    </row>
    <row r="7807" spans="27:32" x14ac:dyDescent="0.3">
      <c r="AA7807" s="3">
        <v>-1985.26</v>
      </c>
      <c r="AB7807">
        <v>1E-4</v>
      </c>
      <c r="AC7807">
        <v>9</v>
      </c>
      <c r="AD7807" s="5">
        <v>4.9179818576067174</v>
      </c>
      <c r="AE7807" s="5">
        <v>2.2462635090947849</v>
      </c>
      <c r="AF7807">
        <v>1</v>
      </c>
    </row>
    <row r="7808" spans="27:32" x14ac:dyDescent="0.3">
      <c r="AA7808" s="3">
        <v>16386.2</v>
      </c>
      <c r="AB7808">
        <v>1E-4</v>
      </c>
      <c r="AC7808">
        <v>8</v>
      </c>
      <c r="AD7808" s="5">
        <v>5.0844146047597629</v>
      </c>
      <c r="AE7808" s="5">
        <v>2.2111058456591888</v>
      </c>
      <c r="AF7808">
        <v>1</v>
      </c>
    </row>
    <row r="7809" spans="27:32" x14ac:dyDescent="0.3">
      <c r="AA7809" s="3">
        <v>32510.7</v>
      </c>
      <c r="AB7809">
        <v>1E-4</v>
      </c>
      <c r="AC7809">
        <v>7</v>
      </c>
      <c r="AD7809" s="5">
        <v>5.0058702297193101</v>
      </c>
      <c r="AE7809" s="5">
        <v>2.1537862939642278</v>
      </c>
      <c r="AF7809">
        <v>1</v>
      </c>
    </row>
    <row r="7810" spans="27:32" x14ac:dyDescent="0.3">
      <c r="AA7810" s="3">
        <v>48906.25</v>
      </c>
      <c r="AB7810">
        <v>1E-4</v>
      </c>
      <c r="AC7810">
        <v>6</v>
      </c>
      <c r="AD7810" s="5">
        <v>5.164674136421521</v>
      </c>
      <c r="AE7810" s="5">
        <v>2.1513756671964686</v>
      </c>
      <c r="AF7810">
        <v>1</v>
      </c>
    </row>
    <row r="7811" spans="27:32" x14ac:dyDescent="0.3">
      <c r="AA7811" s="3">
        <v>30797.93</v>
      </c>
      <c r="AB7811">
        <v>1E-4</v>
      </c>
      <c r="AC7811">
        <v>7</v>
      </c>
      <c r="AD7811" s="5">
        <v>4.9445578672642352</v>
      </c>
      <c r="AE7811" s="5">
        <v>2.2651391928670748</v>
      </c>
      <c r="AF7811">
        <v>1</v>
      </c>
    </row>
    <row r="7812" spans="27:32" x14ac:dyDescent="0.3">
      <c r="AA7812" s="3">
        <v>-1883.25</v>
      </c>
      <c r="AB7812">
        <v>1E-4</v>
      </c>
      <c r="AC7812">
        <v>9</v>
      </c>
      <c r="AD7812" s="5">
        <v>4.8307803210647977</v>
      </c>
      <c r="AE7812" s="5">
        <v>2.1942411822302796</v>
      </c>
      <c r="AF7812">
        <v>1</v>
      </c>
    </row>
    <row r="7813" spans="27:32" x14ac:dyDescent="0.3">
      <c r="AA7813" s="3">
        <v>16170.91</v>
      </c>
      <c r="AB7813">
        <v>1E-4</v>
      </c>
      <c r="AC7813">
        <v>8</v>
      </c>
      <c r="AD7813" s="5">
        <v>4.9943405941198717</v>
      </c>
      <c r="AE7813" s="5">
        <v>2.2552485176364439</v>
      </c>
      <c r="AF7813">
        <v>1</v>
      </c>
    </row>
    <row r="7814" spans="27:32" x14ac:dyDescent="0.3">
      <c r="AA7814" s="3">
        <v>34660.71</v>
      </c>
      <c r="AB7814">
        <v>1E-4</v>
      </c>
      <c r="AC7814">
        <v>7</v>
      </c>
      <c r="AD7814" s="5">
        <v>4.9985302498445767</v>
      </c>
      <c r="AE7814" s="5">
        <v>2.2544512943192223</v>
      </c>
      <c r="AF7814">
        <v>1</v>
      </c>
    </row>
    <row r="7815" spans="27:32" x14ac:dyDescent="0.3">
      <c r="AA7815" s="3">
        <v>9339.5</v>
      </c>
      <c r="AB7815">
        <v>1E-4</v>
      </c>
      <c r="AC7815">
        <v>8</v>
      </c>
      <c r="AD7815" s="5">
        <v>5.0429952449784752</v>
      </c>
      <c r="AE7815" s="5">
        <v>2.2994401826894957</v>
      </c>
      <c r="AF7815">
        <v>1</v>
      </c>
    </row>
    <row r="7816" spans="27:32" x14ac:dyDescent="0.3">
      <c r="AA7816" s="3">
        <v>12387.22</v>
      </c>
      <c r="AB7816">
        <v>1E-4</v>
      </c>
      <c r="AC7816">
        <v>8</v>
      </c>
      <c r="AD7816" s="5">
        <v>5.1267095605473001</v>
      </c>
      <c r="AE7816" s="5">
        <v>2.265930133142338</v>
      </c>
      <c r="AF7816">
        <v>1</v>
      </c>
    </row>
    <row r="7817" spans="27:32" x14ac:dyDescent="0.3">
      <c r="AA7817" s="3">
        <v>20056.650000000001</v>
      </c>
      <c r="AB7817">
        <v>1E-4</v>
      </c>
      <c r="AC7817">
        <v>8</v>
      </c>
      <c r="AD7817" s="5">
        <v>4.9016677560677939</v>
      </c>
      <c r="AE7817" s="5">
        <v>2.2143406672260944</v>
      </c>
      <c r="AF7817">
        <v>1</v>
      </c>
    </row>
    <row r="7818" spans="27:32" x14ac:dyDescent="0.3">
      <c r="AA7818" s="3">
        <v>24089.93</v>
      </c>
      <c r="AB7818">
        <v>1E-4</v>
      </c>
      <c r="AC7818">
        <v>8</v>
      </c>
      <c r="AD7818" s="5">
        <v>5.14875200084514</v>
      </c>
      <c r="AE7818" s="5">
        <v>2.3563906381952417</v>
      </c>
      <c r="AF7818">
        <v>1</v>
      </c>
    </row>
    <row r="7819" spans="27:32" x14ac:dyDescent="0.3">
      <c r="AA7819" s="3">
        <v>9695.85</v>
      </c>
      <c r="AB7819">
        <v>1E-4</v>
      </c>
      <c r="AC7819">
        <v>8</v>
      </c>
      <c r="AD7819" s="5">
        <v>5.0092599068332255</v>
      </c>
      <c r="AE7819" s="5">
        <v>2.2340575044086251</v>
      </c>
      <c r="AF7819">
        <v>1</v>
      </c>
    </row>
    <row r="7820" spans="27:32" x14ac:dyDescent="0.3">
      <c r="AA7820" s="3">
        <v>-14665.69</v>
      </c>
      <c r="AB7820">
        <v>1E-4</v>
      </c>
      <c r="AC7820">
        <v>9</v>
      </c>
      <c r="AD7820" s="5">
        <v>4.922284665946191</v>
      </c>
      <c r="AE7820" s="5">
        <v>2.2844871619863349</v>
      </c>
      <c r="AF7820">
        <v>1</v>
      </c>
    </row>
    <row r="7821" spans="27:32" x14ac:dyDescent="0.3">
      <c r="AA7821" s="3">
        <v>46817.46</v>
      </c>
      <c r="AB7821">
        <v>1E-4</v>
      </c>
      <c r="AC7821">
        <v>7</v>
      </c>
      <c r="AD7821" s="5">
        <v>5.125947531715652</v>
      </c>
      <c r="AE7821" s="5">
        <v>2.1523933206140753</v>
      </c>
      <c r="AF7821">
        <v>1</v>
      </c>
    </row>
    <row r="7822" spans="27:32" x14ac:dyDescent="0.3">
      <c r="AA7822" s="3">
        <v>12806.64</v>
      </c>
      <c r="AB7822">
        <v>1E-4</v>
      </c>
      <c r="AC7822">
        <v>8</v>
      </c>
      <c r="AD7822" s="5">
        <v>5.0288112561092744</v>
      </c>
      <c r="AE7822" s="5">
        <v>2.1510814094415664</v>
      </c>
      <c r="AF7822">
        <v>1</v>
      </c>
    </row>
    <row r="7823" spans="27:32" x14ac:dyDescent="0.3">
      <c r="AA7823" s="3">
        <v>15239.7</v>
      </c>
      <c r="AB7823">
        <v>1E-4</v>
      </c>
      <c r="AC7823">
        <v>8</v>
      </c>
      <c r="AD7823" s="5">
        <v>4.9278109425268353</v>
      </c>
      <c r="AE7823" s="5">
        <v>2.2184801248092381</v>
      </c>
      <c r="AF7823">
        <v>1</v>
      </c>
    </row>
    <row r="7824" spans="27:32" x14ac:dyDescent="0.3">
      <c r="AA7824" s="3">
        <v>17555.060000000001</v>
      </c>
      <c r="AB7824">
        <v>1E-4</v>
      </c>
      <c r="AC7824">
        <v>8</v>
      </c>
      <c r="AD7824" s="5">
        <v>4.8709951956752793</v>
      </c>
      <c r="AE7824" s="5">
        <v>2.2521069878173861</v>
      </c>
      <c r="AF7824">
        <v>1</v>
      </c>
    </row>
    <row r="7825" spans="27:32" x14ac:dyDescent="0.3">
      <c r="AA7825" s="3">
        <v>31802.71</v>
      </c>
      <c r="AB7825">
        <v>1E-4</v>
      </c>
      <c r="AC7825">
        <v>7</v>
      </c>
      <c r="AD7825" s="5">
        <v>5.0693737962572207</v>
      </c>
      <c r="AE7825" s="5">
        <v>2.1307809620815261</v>
      </c>
      <c r="AF7825">
        <v>1</v>
      </c>
    </row>
    <row r="7826" spans="27:32" x14ac:dyDescent="0.3">
      <c r="AA7826" s="3">
        <v>12492.9</v>
      </c>
      <c r="AB7826">
        <v>1E-4</v>
      </c>
      <c r="AC7826">
        <v>8</v>
      </c>
      <c r="AD7826" s="5">
        <v>5.0024796271685394</v>
      </c>
      <c r="AE7826" s="5">
        <v>2.1939809253964646</v>
      </c>
      <c r="AF7826">
        <v>1</v>
      </c>
    </row>
    <row r="7827" spans="27:32" x14ac:dyDescent="0.3">
      <c r="AA7827" s="3">
        <v>15514.21</v>
      </c>
      <c r="AB7827">
        <v>1E-4</v>
      </c>
      <c r="AC7827">
        <v>8</v>
      </c>
      <c r="AD7827" s="5">
        <v>5.0169880824379725</v>
      </c>
      <c r="AE7827" s="5">
        <v>2.2584991218335677</v>
      </c>
      <c r="AF7827">
        <v>1</v>
      </c>
    </row>
    <row r="7828" spans="27:32" x14ac:dyDescent="0.3">
      <c r="AA7828" s="3">
        <v>15754.78</v>
      </c>
      <c r="AB7828">
        <v>1E-4</v>
      </c>
      <c r="AC7828">
        <v>8</v>
      </c>
      <c r="AD7828" s="5">
        <v>5.0319729396007231</v>
      </c>
      <c r="AE7828" s="5">
        <v>2.1871654957115179</v>
      </c>
      <c r="AF7828">
        <v>1</v>
      </c>
    </row>
    <row r="7829" spans="27:32" x14ac:dyDescent="0.3">
      <c r="AA7829" s="3">
        <v>6559.37</v>
      </c>
      <c r="AB7829">
        <v>1E-4</v>
      </c>
      <c r="AC7829">
        <v>8</v>
      </c>
      <c r="AD7829" s="5">
        <v>4.9288458602089351</v>
      </c>
      <c r="AE7829" s="5">
        <v>2.0775263476903527</v>
      </c>
      <c r="AF7829">
        <v>1</v>
      </c>
    </row>
    <row r="7830" spans="27:32" x14ac:dyDescent="0.3">
      <c r="AA7830" s="3">
        <v>47085.26</v>
      </c>
      <c r="AB7830">
        <v>1E-4</v>
      </c>
      <c r="AC7830">
        <v>7</v>
      </c>
      <c r="AD7830" s="5">
        <v>5.0525176594467913</v>
      </c>
      <c r="AE7830" s="5">
        <v>2.125568951748388</v>
      </c>
      <c r="AF7830">
        <v>1</v>
      </c>
    </row>
    <row r="7831" spans="27:32" x14ac:dyDescent="0.3">
      <c r="AA7831" s="3">
        <v>63913.78</v>
      </c>
      <c r="AB7831">
        <v>1E-4</v>
      </c>
      <c r="AC7831">
        <v>6</v>
      </c>
      <c r="AD7831" s="5">
        <v>5.1498346304423253</v>
      </c>
      <c r="AE7831" s="5">
        <v>2.157451597889521</v>
      </c>
      <c r="AF7831">
        <v>1</v>
      </c>
    </row>
    <row r="7832" spans="27:32" x14ac:dyDescent="0.3">
      <c r="AA7832" s="3">
        <v>23949.16</v>
      </c>
      <c r="AB7832">
        <v>1E-4</v>
      </c>
      <c r="AC7832">
        <v>8</v>
      </c>
      <c r="AD7832" s="5">
        <v>5.2308922227014305</v>
      </c>
      <c r="AE7832" s="5">
        <v>2.2234000171753592</v>
      </c>
      <c r="AF7832">
        <v>1</v>
      </c>
    </row>
    <row r="7833" spans="27:32" x14ac:dyDescent="0.3">
      <c r="AA7833" s="3">
        <v>14893.87</v>
      </c>
      <c r="AB7833">
        <v>1E-4</v>
      </c>
      <c r="AC7833">
        <v>8</v>
      </c>
      <c r="AD7833" s="5">
        <v>4.9059665880446302</v>
      </c>
      <c r="AE7833" s="5">
        <v>2.2130978297320723</v>
      </c>
      <c r="AF7833">
        <v>1</v>
      </c>
    </row>
    <row r="7834" spans="27:32" x14ac:dyDescent="0.3">
      <c r="AA7834" s="3">
        <v>967.85</v>
      </c>
      <c r="AB7834">
        <v>1E-4</v>
      </c>
      <c r="AC7834">
        <v>8</v>
      </c>
      <c r="AD7834" s="5">
        <v>4.9505242610600426</v>
      </c>
      <c r="AE7834" s="5">
        <v>2.1930959090638877</v>
      </c>
      <c r="AF7834">
        <v>1</v>
      </c>
    </row>
    <row r="7835" spans="27:32" x14ac:dyDescent="0.3">
      <c r="AA7835" s="3">
        <v>17445.16</v>
      </c>
      <c r="AB7835">
        <v>1E-4</v>
      </c>
      <c r="AC7835">
        <v>8</v>
      </c>
      <c r="AD7835" s="5">
        <v>5.0424404265290192</v>
      </c>
      <c r="AE7835" s="5">
        <v>2.2129897363859228</v>
      </c>
      <c r="AF7835">
        <v>1</v>
      </c>
    </row>
    <row r="7836" spans="27:32" x14ac:dyDescent="0.3">
      <c r="AA7836" s="3">
        <v>29385.21</v>
      </c>
      <c r="AB7836">
        <v>1E-4</v>
      </c>
      <c r="AC7836">
        <v>8</v>
      </c>
      <c r="AD7836" s="5">
        <v>4.9612454725955279</v>
      </c>
      <c r="AE7836" s="5">
        <v>2.1941689440712362</v>
      </c>
      <c r="AF7836">
        <v>1</v>
      </c>
    </row>
    <row r="7837" spans="27:32" x14ac:dyDescent="0.3">
      <c r="AA7837" s="3">
        <v>4490.25</v>
      </c>
      <c r="AB7837">
        <v>1E-4</v>
      </c>
      <c r="AC7837">
        <v>8</v>
      </c>
      <c r="AD7837" s="5">
        <v>4.9708714511310275</v>
      </c>
      <c r="AE7837" s="5">
        <v>2.2253786349249434</v>
      </c>
      <c r="AF7837">
        <v>1</v>
      </c>
    </row>
    <row r="7838" spans="27:32" x14ac:dyDescent="0.3">
      <c r="AA7838" s="3">
        <v>-10027.02</v>
      </c>
      <c r="AB7838">
        <v>1E-4</v>
      </c>
      <c r="AC7838">
        <v>9</v>
      </c>
      <c r="AD7838" s="5">
        <v>4.9656703542572016</v>
      </c>
      <c r="AE7838" s="5">
        <v>2.1260062774766917</v>
      </c>
      <c r="AF7838">
        <v>1</v>
      </c>
    </row>
    <row r="7839" spans="27:32" x14ac:dyDescent="0.3">
      <c r="AA7839" s="3">
        <v>23095.759999999998</v>
      </c>
      <c r="AB7839">
        <v>1E-4</v>
      </c>
      <c r="AC7839">
        <v>8</v>
      </c>
      <c r="AD7839" s="5">
        <v>5.0299238547228891</v>
      </c>
      <c r="AE7839" s="5">
        <v>2.1947266057651986</v>
      </c>
      <c r="AF7839">
        <v>1</v>
      </c>
    </row>
    <row r="7840" spans="27:32" x14ac:dyDescent="0.3">
      <c r="AA7840" s="3">
        <v>10160.82</v>
      </c>
      <c r="AB7840">
        <v>1E-4</v>
      </c>
      <c r="AC7840">
        <v>8</v>
      </c>
      <c r="AD7840" s="5">
        <v>5.1361166202001067</v>
      </c>
      <c r="AE7840" s="5">
        <v>2.2058562692769135</v>
      </c>
      <c r="AF7840">
        <v>1</v>
      </c>
    </row>
    <row r="7841" spans="27:32" x14ac:dyDescent="0.3">
      <c r="AA7841" s="3">
        <v>9923.75</v>
      </c>
      <c r="AB7841">
        <v>1E-4</v>
      </c>
      <c r="AC7841">
        <v>8</v>
      </c>
      <c r="AD7841" s="5">
        <v>5.0293959419749212</v>
      </c>
      <c r="AE7841" s="5">
        <v>2.2489591089225587</v>
      </c>
      <c r="AF7841">
        <v>1</v>
      </c>
    </row>
    <row r="7842" spans="27:32" x14ac:dyDescent="0.3">
      <c r="AA7842" s="3">
        <v>19713.21</v>
      </c>
      <c r="AB7842">
        <v>1E-4</v>
      </c>
      <c r="AC7842">
        <v>8</v>
      </c>
      <c r="AD7842" s="5">
        <v>5.0133366607059129</v>
      </c>
      <c r="AE7842" s="5">
        <v>2.2067869408295691</v>
      </c>
      <c r="AF7842">
        <v>1</v>
      </c>
    </row>
    <row r="7843" spans="27:32" x14ac:dyDescent="0.3">
      <c r="AA7843" s="3">
        <v>16551.63</v>
      </c>
      <c r="AB7843">
        <v>1E-4</v>
      </c>
      <c r="AC7843">
        <v>8</v>
      </c>
      <c r="AD7843" s="5">
        <v>4.94954434791316</v>
      </c>
      <c r="AE7843" s="5">
        <v>2.130487900474014</v>
      </c>
      <c r="AF7843">
        <v>1</v>
      </c>
    </row>
    <row r="7844" spans="27:32" x14ac:dyDescent="0.3">
      <c r="AA7844" s="3">
        <v>28133.43</v>
      </c>
      <c r="AB7844">
        <v>1E-4</v>
      </c>
      <c r="AC7844">
        <v>8</v>
      </c>
      <c r="AD7844" s="5">
        <v>4.8487303926764902</v>
      </c>
      <c r="AE7844" s="5">
        <v>2.1492244112218941</v>
      </c>
      <c r="AF7844">
        <v>1</v>
      </c>
    </row>
    <row r="7845" spans="27:32" x14ac:dyDescent="0.3">
      <c r="AA7845" s="3">
        <v>14491.68</v>
      </c>
      <c r="AB7845">
        <v>1E-4</v>
      </c>
      <c r="AC7845">
        <v>8</v>
      </c>
      <c r="AD7845" s="5">
        <v>5.0185114532258259</v>
      </c>
      <c r="AE7845" s="5">
        <v>2.1768891507396648</v>
      </c>
      <c r="AF7845">
        <v>1</v>
      </c>
    </row>
    <row r="7846" spans="27:32" x14ac:dyDescent="0.3">
      <c r="AA7846" s="3">
        <v>27496.880000000001</v>
      </c>
      <c r="AB7846">
        <v>1E-4</v>
      </c>
      <c r="AC7846">
        <v>8</v>
      </c>
      <c r="AD7846" s="5">
        <v>5.0884623077872781</v>
      </c>
      <c r="AE7846" s="5">
        <v>2.198307674304004</v>
      </c>
      <c r="AF7846">
        <v>1</v>
      </c>
    </row>
    <row r="7847" spans="27:32" x14ac:dyDescent="0.3">
      <c r="AA7847" s="3">
        <v>14597.36</v>
      </c>
      <c r="AB7847">
        <v>1E-4</v>
      </c>
      <c r="AC7847">
        <v>8</v>
      </c>
      <c r="AD7847" s="5">
        <v>4.8962023467256666</v>
      </c>
      <c r="AE7847" s="5">
        <v>2.1987938287289159</v>
      </c>
      <c r="AF7847">
        <v>1</v>
      </c>
    </row>
    <row r="7848" spans="27:32" x14ac:dyDescent="0.3">
      <c r="AA7848" s="3">
        <v>10479.540000000001</v>
      </c>
      <c r="AB7848">
        <v>1E-4</v>
      </c>
      <c r="AC7848">
        <v>8</v>
      </c>
      <c r="AD7848" s="5">
        <v>4.9790633731349949</v>
      </c>
      <c r="AE7848" s="5">
        <v>2.2046627079717505</v>
      </c>
      <c r="AF7848">
        <v>1</v>
      </c>
    </row>
    <row r="7849" spans="27:32" x14ac:dyDescent="0.3">
      <c r="AA7849" s="3">
        <v>25053.61</v>
      </c>
      <c r="AB7849">
        <v>1E-4</v>
      </c>
      <c r="AC7849">
        <v>8</v>
      </c>
      <c r="AD7849" s="5">
        <v>5.0624473486308856</v>
      </c>
      <c r="AE7849" s="5">
        <v>2.1870012062231186</v>
      </c>
      <c r="AF7849">
        <v>1</v>
      </c>
    </row>
    <row r="7850" spans="27:32" x14ac:dyDescent="0.3">
      <c r="AA7850" s="3">
        <v>7902.28</v>
      </c>
      <c r="AB7850">
        <v>1E-4</v>
      </c>
      <c r="AC7850">
        <v>8</v>
      </c>
      <c r="AD7850" s="5">
        <v>5.1445304303506285</v>
      </c>
      <c r="AE7850" s="5">
        <v>2.2094082030678668</v>
      </c>
      <c r="AF7850">
        <v>1</v>
      </c>
    </row>
    <row r="7851" spans="27:32" x14ac:dyDescent="0.3">
      <c r="AA7851" s="3">
        <v>-960.88</v>
      </c>
      <c r="AB7851">
        <v>1E-4</v>
      </c>
      <c r="AC7851">
        <v>9</v>
      </c>
      <c r="AD7851" s="5">
        <v>4.9754126662045755</v>
      </c>
      <c r="AE7851" s="5">
        <v>2.2313265964945277</v>
      </c>
      <c r="AF7851">
        <v>1</v>
      </c>
    </row>
    <row r="7852" spans="27:32" x14ac:dyDescent="0.3">
      <c r="AA7852" s="3">
        <v>-15146.27</v>
      </c>
      <c r="AB7852">
        <v>1E-4</v>
      </c>
      <c r="AC7852">
        <v>9</v>
      </c>
      <c r="AD7852" s="5">
        <v>4.95611908844191</v>
      </c>
      <c r="AE7852" s="5">
        <v>2.2546058956228103</v>
      </c>
      <c r="AF7852">
        <v>1</v>
      </c>
    </row>
    <row r="7853" spans="27:32" x14ac:dyDescent="0.3">
      <c r="AA7853" s="3">
        <v>16465.14</v>
      </c>
      <c r="AB7853">
        <v>1E-4</v>
      </c>
      <c r="AC7853">
        <v>8</v>
      </c>
      <c r="AD7853" s="5">
        <v>4.9454284707190501</v>
      </c>
      <c r="AE7853" s="5">
        <v>2.1519257799384919</v>
      </c>
      <c r="AF7853">
        <v>1</v>
      </c>
    </row>
    <row r="7854" spans="27:32" x14ac:dyDescent="0.3">
      <c r="AA7854" s="3">
        <v>22739.15</v>
      </c>
      <c r="AB7854">
        <v>1E-4</v>
      </c>
      <c r="AC7854">
        <v>8</v>
      </c>
      <c r="AD7854" s="5">
        <v>5.1673200648527473</v>
      </c>
      <c r="AE7854" s="5">
        <v>2.1956902343842963</v>
      </c>
      <c r="AF7854">
        <v>1</v>
      </c>
    </row>
    <row r="7855" spans="27:32" x14ac:dyDescent="0.3">
      <c r="AA7855" s="3">
        <v>3131.55</v>
      </c>
      <c r="AB7855">
        <v>1E-4</v>
      </c>
      <c r="AC7855">
        <v>8</v>
      </c>
      <c r="AD7855" s="5">
        <v>4.935578076371657</v>
      </c>
      <c r="AE7855" s="5">
        <v>2.2279289136208429</v>
      </c>
      <c r="AF7855">
        <v>1</v>
      </c>
    </row>
    <row r="7856" spans="27:32" x14ac:dyDescent="0.3">
      <c r="AA7856" s="3">
        <v>23294.23</v>
      </c>
      <c r="AB7856">
        <v>1E-4</v>
      </c>
      <c r="AC7856">
        <v>8</v>
      </c>
      <c r="AD7856" s="5">
        <v>5.0921917379620423</v>
      </c>
      <c r="AE7856" s="5">
        <v>2.1655638936833763</v>
      </c>
      <c r="AF7856">
        <v>1</v>
      </c>
    </row>
    <row r="7857" spans="27:32" x14ac:dyDescent="0.3">
      <c r="AA7857" s="3">
        <v>88.3</v>
      </c>
      <c r="AB7857">
        <v>1E-4</v>
      </c>
      <c r="AC7857">
        <v>8</v>
      </c>
      <c r="AD7857" s="5">
        <v>4.8037948451251218</v>
      </c>
      <c r="AE7857" s="5">
        <v>2.2245881629330868</v>
      </c>
      <c r="AF7857">
        <v>1</v>
      </c>
    </row>
    <row r="7858" spans="27:32" x14ac:dyDescent="0.3">
      <c r="AA7858" s="3">
        <v>6967</v>
      </c>
      <c r="AB7858">
        <v>1E-4</v>
      </c>
      <c r="AC7858">
        <v>8</v>
      </c>
      <c r="AD7858" s="5">
        <v>4.9076581520311588</v>
      </c>
      <c r="AE7858" s="5">
        <v>2.0926503405081083</v>
      </c>
      <c r="AF7858">
        <v>1</v>
      </c>
    </row>
    <row r="7859" spans="27:32" x14ac:dyDescent="0.3">
      <c r="AA7859" s="3">
        <v>35140.03</v>
      </c>
      <c r="AB7859">
        <v>1E-4</v>
      </c>
      <c r="AC7859">
        <v>7</v>
      </c>
      <c r="AD7859" s="5">
        <v>5.0580450346053087</v>
      </c>
      <c r="AE7859" s="5">
        <v>2.1681114178684311</v>
      </c>
      <c r="AF7859">
        <v>1</v>
      </c>
    </row>
    <row r="7860" spans="27:32" x14ac:dyDescent="0.3">
      <c r="AA7860" s="3">
        <v>36797.839999999997</v>
      </c>
      <c r="AB7860">
        <v>1E-4</v>
      </c>
      <c r="AC7860">
        <v>7</v>
      </c>
      <c r="AD7860" s="5">
        <v>5.0631438452741273</v>
      </c>
      <c r="AE7860" s="5">
        <v>2.1529088530894276</v>
      </c>
      <c r="AF7860">
        <v>1</v>
      </c>
    </row>
    <row r="7861" spans="27:32" x14ac:dyDescent="0.3">
      <c r="AA7861" s="3">
        <v>39064.06</v>
      </c>
      <c r="AB7861">
        <v>1E-4</v>
      </c>
      <c r="AC7861">
        <v>7</v>
      </c>
      <c r="AD7861" s="5">
        <v>5.029769001694266</v>
      </c>
      <c r="AE7861" s="5">
        <v>2.1689670658885221</v>
      </c>
      <c r="AF7861">
        <v>1</v>
      </c>
    </row>
    <row r="7862" spans="27:32" x14ac:dyDescent="0.3">
      <c r="AA7862" s="3">
        <v>18534.849999999999</v>
      </c>
      <c r="AB7862">
        <v>1E-4</v>
      </c>
      <c r="AC7862">
        <v>8</v>
      </c>
      <c r="AD7862" s="5">
        <v>5.0350597564527462</v>
      </c>
      <c r="AE7862" s="5">
        <v>2.2283920469545961</v>
      </c>
      <c r="AF7862">
        <v>1</v>
      </c>
    </row>
    <row r="7863" spans="27:32" x14ac:dyDescent="0.3">
      <c r="AA7863" s="3">
        <v>11483.71</v>
      </c>
      <c r="AB7863">
        <v>1E-4</v>
      </c>
      <c r="AC7863">
        <v>8</v>
      </c>
      <c r="AD7863" s="5">
        <v>4.9062006027810172</v>
      </c>
      <c r="AE7863" s="5">
        <v>2.1964009478943565</v>
      </c>
      <c r="AF7863">
        <v>1</v>
      </c>
    </row>
    <row r="7864" spans="27:32" x14ac:dyDescent="0.3">
      <c r="AA7864" s="3">
        <v>14168</v>
      </c>
      <c r="AB7864">
        <v>1E-4</v>
      </c>
      <c r="AC7864">
        <v>8</v>
      </c>
      <c r="AD7864" s="5">
        <v>5.2005737472616422</v>
      </c>
      <c r="AE7864" s="5">
        <v>2.256102818342228</v>
      </c>
      <c r="AF7864">
        <v>1</v>
      </c>
    </row>
    <row r="7865" spans="27:32" x14ac:dyDescent="0.3">
      <c r="AA7865" s="3">
        <v>-35277.667394878008</v>
      </c>
      <c r="AB7865">
        <v>1E-4</v>
      </c>
      <c r="AC7865">
        <v>9</v>
      </c>
      <c r="AD7865" s="5">
        <v>4.9288081938956978</v>
      </c>
      <c r="AE7865" s="5">
        <v>2.1477248974197169</v>
      </c>
      <c r="AF7865">
        <v>0</v>
      </c>
    </row>
    <row r="7866" spans="27:32" x14ac:dyDescent="0.3">
      <c r="AA7866" s="3">
        <v>14519</v>
      </c>
      <c r="AB7866">
        <v>1E-4</v>
      </c>
      <c r="AC7866">
        <v>8</v>
      </c>
      <c r="AD7866" s="5">
        <v>4.9275268087955162</v>
      </c>
      <c r="AE7866" s="5">
        <v>2.2434558113049277</v>
      </c>
      <c r="AF7866">
        <v>1</v>
      </c>
    </row>
    <row r="7867" spans="27:32" x14ac:dyDescent="0.3">
      <c r="AA7867" s="3">
        <v>24303.02</v>
      </c>
      <c r="AB7867">
        <v>1E-4</v>
      </c>
      <c r="AC7867">
        <v>7</v>
      </c>
      <c r="AD7867" s="5">
        <v>5.0622818015434801</v>
      </c>
      <c r="AE7867" s="5">
        <v>2.1712574044312669</v>
      </c>
      <c r="AF7867">
        <v>1</v>
      </c>
    </row>
    <row r="7868" spans="27:32" x14ac:dyDescent="0.3">
      <c r="AA7868" s="3">
        <v>1264.9000000000001</v>
      </c>
      <c r="AB7868">
        <v>1E-4</v>
      </c>
      <c r="AC7868">
        <v>8</v>
      </c>
      <c r="AD7868" s="5">
        <v>4.815581758825382</v>
      </c>
      <c r="AE7868" s="5">
        <v>2.1471327604879984</v>
      </c>
      <c r="AF7868">
        <v>1</v>
      </c>
    </row>
    <row r="7869" spans="27:32" x14ac:dyDescent="0.3">
      <c r="AA7869" s="3">
        <v>-20767.560000000001</v>
      </c>
      <c r="AB7869">
        <v>1E-4</v>
      </c>
      <c r="AC7869">
        <v>9</v>
      </c>
      <c r="AD7869" s="5">
        <v>4.9285832100304701</v>
      </c>
      <c r="AE7869" s="5">
        <v>2.2648513874666216</v>
      </c>
      <c r="AF7869">
        <v>1</v>
      </c>
    </row>
    <row r="7870" spans="27:32" x14ac:dyDescent="0.3">
      <c r="AA7870" s="3">
        <v>-2177.15</v>
      </c>
      <c r="AB7870">
        <v>1E-4</v>
      </c>
      <c r="AC7870">
        <v>9</v>
      </c>
      <c r="AD7870" s="5">
        <v>4.9664995724271854</v>
      </c>
      <c r="AE7870" s="5">
        <v>2.196925493031745</v>
      </c>
      <c r="AF7870">
        <v>1</v>
      </c>
    </row>
    <row r="7871" spans="27:32" x14ac:dyDescent="0.3">
      <c r="AA7871" s="3">
        <v>1511.44</v>
      </c>
      <c r="AB7871">
        <v>1E-4</v>
      </c>
      <c r="AC7871">
        <v>8</v>
      </c>
      <c r="AD7871" s="5">
        <v>4.9801416364939666</v>
      </c>
      <c r="AE7871" s="5">
        <v>2.2719967319833523</v>
      </c>
      <c r="AF7871">
        <v>1</v>
      </c>
    </row>
    <row r="7872" spans="27:32" x14ac:dyDescent="0.3">
      <c r="AA7872" s="3">
        <v>18048.349999999999</v>
      </c>
      <c r="AB7872">
        <v>1E-4</v>
      </c>
      <c r="AC7872">
        <v>8</v>
      </c>
      <c r="AD7872" s="5">
        <v>5.0744438584221552</v>
      </c>
      <c r="AE7872" s="5">
        <v>2.2034934883518402</v>
      </c>
      <c r="AF7872">
        <v>1</v>
      </c>
    </row>
    <row r="7873" spans="27:32" x14ac:dyDescent="0.3">
      <c r="AA7873" s="3">
        <v>15393.28</v>
      </c>
      <c r="AB7873">
        <v>1E-4</v>
      </c>
      <c r="AC7873">
        <v>8</v>
      </c>
      <c r="AD7873" s="5">
        <v>4.8630438206721189</v>
      </c>
      <c r="AE7873" s="5">
        <v>2.2801502494972601</v>
      </c>
      <c r="AF7873">
        <v>1</v>
      </c>
    </row>
    <row r="7874" spans="27:32" x14ac:dyDescent="0.3">
      <c r="AA7874" s="3">
        <v>13048.54</v>
      </c>
      <c r="AB7874">
        <v>1E-4</v>
      </c>
      <c r="AC7874">
        <v>8</v>
      </c>
      <c r="AD7874" s="5">
        <v>4.9605353498755873</v>
      </c>
      <c r="AE7874" s="5">
        <v>2.2454499528646057</v>
      </c>
      <c r="AF7874">
        <v>1</v>
      </c>
    </row>
    <row r="7875" spans="27:32" x14ac:dyDescent="0.3">
      <c r="AA7875" s="3">
        <v>22653.68</v>
      </c>
      <c r="AB7875">
        <v>1E-4</v>
      </c>
      <c r="AC7875">
        <v>8</v>
      </c>
      <c r="AD7875" s="5">
        <v>5.0254280037197878</v>
      </c>
      <c r="AE7875" s="5">
        <v>2.2212690509272437</v>
      </c>
      <c r="AF7875">
        <v>1</v>
      </c>
    </row>
    <row r="7876" spans="27:32" x14ac:dyDescent="0.3">
      <c r="AA7876" s="3">
        <v>-44530.622470924332</v>
      </c>
      <c r="AB7876">
        <v>1E-4</v>
      </c>
      <c r="AC7876">
        <v>9</v>
      </c>
      <c r="AD7876" s="5">
        <v>4.9280824377155259</v>
      </c>
      <c r="AE7876" s="5">
        <v>2.3360320472801246</v>
      </c>
      <c r="AF7876">
        <v>0</v>
      </c>
    </row>
    <row r="7877" spans="27:32" x14ac:dyDescent="0.3">
      <c r="AA7877" s="3">
        <v>12113.59</v>
      </c>
      <c r="AB7877">
        <v>1E-4</v>
      </c>
      <c r="AC7877">
        <v>8</v>
      </c>
      <c r="AD7877" s="5">
        <v>4.9686062737390451</v>
      </c>
      <c r="AE7877" s="5">
        <v>2.2718721918310267</v>
      </c>
      <c r="AF7877">
        <v>1</v>
      </c>
    </row>
    <row r="7878" spans="27:32" x14ac:dyDescent="0.3">
      <c r="AA7878" s="3">
        <v>3004.77</v>
      </c>
      <c r="AB7878">
        <v>1E-4</v>
      </c>
      <c r="AC7878">
        <v>8</v>
      </c>
      <c r="AD7878" s="5">
        <v>4.9629598163403479</v>
      </c>
      <c r="AE7878" s="5">
        <v>2.2180548831313596</v>
      </c>
      <c r="AF7878">
        <v>1</v>
      </c>
    </row>
    <row r="7879" spans="27:32" x14ac:dyDescent="0.3">
      <c r="AA7879" s="3">
        <v>40682.559999999998</v>
      </c>
      <c r="AB7879">
        <v>1E-4</v>
      </c>
      <c r="AC7879">
        <v>7</v>
      </c>
      <c r="AD7879" s="5">
        <v>5.1308588596938458</v>
      </c>
      <c r="AE7879" s="5">
        <v>2.2163718291429944</v>
      </c>
      <c r="AF7879">
        <v>1</v>
      </c>
    </row>
    <row r="7880" spans="27:32" x14ac:dyDescent="0.3">
      <c r="AA7880" s="3">
        <v>7643.44</v>
      </c>
      <c r="AB7880">
        <v>1E-4</v>
      </c>
      <c r="AC7880">
        <v>8</v>
      </c>
      <c r="AD7880" s="5">
        <v>4.9792779000448011</v>
      </c>
      <c r="AE7880" s="5">
        <v>2.2197507584381144</v>
      </c>
      <c r="AF7880">
        <v>1</v>
      </c>
    </row>
    <row r="7881" spans="27:32" x14ac:dyDescent="0.3">
      <c r="AA7881" s="3">
        <v>10190.030000000001</v>
      </c>
      <c r="AB7881">
        <v>1E-4</v>
      </c>
      <c r="AC7881">
        <v>8</v>
      </c>
      <c r="AD7881" s="5">
        <v>4.9253260289521927</v>
      </c>
      <c r="AE7881" s="5">
        <v>2.1365491699301788</v>
      </c>
      <c r="AF7881">
        <v>1</v>
      </c>
    </row>
    <row r="7882" spans="27:32" x14ac:dyDescent="0.3">
      <c r="AA7882" s="3">
        <v>21038.13</v>
      </c>
      <c r="AB7882">
        <v>1E-4</v>
      </c>
      <c r="AC7882">
        <v>8</v>
      </c>
      <c r="AD7882" s="5">
        <v>5.2528566077286758</v>
      </c>
      <c r="AE7882" s="5">
        <v>2.2747361381681142</v>
      </c>
      <c r="AF7882">
        <v>1</v>
      </c>
    </row>
    <row r="7883" spans="27:32" x14ac:dyDescent="0.3">
      <c r="AA7883" s="3">
        <v>22666.95</v>
      </c>
      <c r="AB7883">
        <v>1E-4</v>
      </c>
      <c r="AC7883">
        <v>8</v>
      </c>
      <c r="AD7883" s="5">
        <v>5.0136456199176163</v>
      </c>
      <c r="AE7883" s="5">
        <v>2.0850492398382094</v>
      </c>
      <c r="AF7883">
        <v>1</v>
      </c>
    </row>
    <row r="7884" spans="27:32" x14ac:dyDescent="0.3">
      <c r="AA7884" s="3">
        <v>10734.02</v>
      </c>
      <c r="AB7884">
        <v>1E-4</v>
      </c>
      <c r="AC7884">
        <v>8</v>
      </c>
      <c r="AD7884" s="5">
        <v>5.0088269111439088</v>
      </c>
      <c r="AE7884" s="5">
        <v>2.239624989285804</v>
      </c>
      <c r="AF7884">
        <v>1</v>
      </c>
    </row>
    <row r="7885" spans="27:32" x14ac:dyDescent="0.3">
      <c r="AA7885" s="3">
        <v>-5186.5649407015699</v>
      </c>
      <c r="AB7885">
        <v>1E-4</v>
      </c>
      <c r="AC7885">
        <v>8</v>
      </c>
      <c r="AD7885" s="5">
        <v>5.03027344824919</v>
      </c>
      <c r="AE7885" s="5">
        <v>2.1810537865122437</v>
      </c>
      <c r="AF7885">
        <v>0</v>
      </c>
    </row>
    <row r="7886" spans="27:32" x14ac:dyDescent="0.3">
      <c r="AA7886" s="3">
        <v>36403.46</v>
      </c>
      <c r="AB7886">
        <v>1E-4</v>
      </c>
      <c r="AC7886">
        <v>7</v>
      </c>
      <c r="AD7886" s="5">
        <v>5.1298471059163013</v>
      </c>
      <c r="AE7886" s="5">
        <v>2.1640643229322931</v>
      </c>
      <c r="AF7886">
        <v>1</v>
      </c>
    </row>
    <row r="7887" spans="27:32" x14ac:dyDescent="0.3">
      <c r="AA7887" s="3">
        <v>6592.03</v>
      </c>
      <c r="AB7887">
        <v>1E-4</v>
      </c>
      <c r="AC7887">
        <v>8</v>
      </c>
      <c r="AD7887" s="5">
        <v>4.9796561535024342</v>
      </c>
      <c r="AE7887" s="5">
        <v>2.2867776089913043</v>
      </c>
      <c r="AF7887">
        <v>1</v>
      </c>
    </row>
    <row r="7888" spans="27:32" x14ac:dyDescent="0.3">
      <c r="AA7888" s="3">
        <v>11364.99</v>
      </c>
      <c r="AB7888">
        <v>1E-4</v>
      </c>
      <c r="AC7888">
        <v>8</v>
      </c>
      <c r="AD7888" s="5">
        <v>4.9427952908500652</v>
      </c>
      <c r="AE7888" s="5">
        <v>2.1463776258810641</v>
      </c>
      <c r="AF7888">
        <v>1</v>
      </c>
    </row>
    <row r="7889" spans="27:32" x14ac:dyDescent="0.3">
      <c r="AA7889" s="3">
        <v>16948.02</v>
      </c>
      <c r="AB7889">
        <v>1E-4</v>
      </c>
      <c r="AC7889">
        <v>8</v>
      </c>
      <c r="AD7889" s="5">
        <v>4.8890169407973545</v>
      </c>
      <c r="AE7889" s="5">
        <v>2.1892784868019453</v>
      </c>
      <c r="AF7889">
        <v>1</v>
      </c>
    </row>
    <row r="7890" spans="27:32" x14ac:dyDescent="0.3">
      <c r="AA7890" s="3">
        <v>-105.62</v>
      </c>
      <c r="AB7890">
        <v>1E-4</v>
      </c>
      <c r="AC7890">
        <v>9</v>
      </c>
      <c r="AD7890" s="5">
        <v>4.9748241189003677</v>
      </c>
      <c r="AE7890" s="5">
        <v>2.1144068079759886</v>
      </c>
      <c r="AF7890">
        <v>1</v>
      </c>
    </row>
    <row r="7891" spans="27:32" x14ac:dyDescent="0.3">
      <c r="AA7891" s="3">
        <v>9499.81</v>
      </c>
      <c r="AB7891">
        <v>1E-4</v>
      </c>
      <c r="AC7891">
        <v>8</v>
      </c>
      <c r="AD7891" s="5">
        <v>4.9682727458440503</v>
      </c>
      <c r="AE7891" s="5">
        <v>2.1620100958056354</v>
      </c>
      <c r="AF7891">
        <v>1</v>
      </c>
    </row>
    <row r="7892" spans="27:32" x14ac:dyDescent="0.3">
      <c r="AA7892" s="3">
        <v>41289.03</v>
      </c>
      <c r="AB7892">
        <v>1E-4</v>
      </c>
      <c r="AC7892">
        <v>7</v>
      </c>
      <c r="AD7892" s="5">
        <v>5.114103201926727</v>
      </c>
      <c r="AE7892" s="5">
        <v>2.1780362140116543</v>
      </c>
      <c r="AF7892">
        <v>1</v>
      </c>
    </row>
    <row r="7893" spans="27:32" x14ac:dyDescent="0.3">
      <c r="AA7893" s="3">
        <v>24013.46</v>
      </c>
      <c r="AB7893">
        <v>1E-4</v>
      </c>
      <c r="AC7893">
        <v>8</v>
      </c>
      <c r="AD7893" s="5">
        <v>5.1372251757294771</v>
      </c>
      <c r="AE7893" s="5">
        <v>2.1868984493736705</v>
      </c>
      <c r="AF7893">
        <v>1</v>
      </c>
    </row>
    <row r="7894" spans="27:32" x14ac:dyDescent="0.3">
      <c r="AA7894" s="3">
        <v>-7042.21</v>
      </c>
      <c r="AB7894">
        <v>1E-4</v>
      </c>
      <c r="AC7894">
        <v>9</v>
      </c>
      <c r="AD7894" s="5">
        <v>5.0234209682539879</v>
      </c>
      <c r="AE7894" s="5">
        <v>2.2256141309442281</v>
      </c>
      <c r="AF7894">
        <v>1</v>
      </c>
    </row>
    <row r="7895" spans="27:32" x14ac:dyDescent="0.3">
      <c r="AA7895" s="3">
        <v>14946.23</v>
      </c>
      <c r="AB7895">
        <v>1E-4</v>
      </c>
      <c r="AC7895">
        <v>8</v>
      </c>
      <c r="AD7895" s="5">
        <v>4.9237266688079426</v>
      </c>
      <c r="AE7895" s="5">
        <v>2.209315680296561</v>
      </c>
      <c r="AF7895">
        <v>1</v>
      </c>
    </row>
    <row r="7896" spans="27:32" x14ac:dyDescent="0.3">
      <c r="AA7896" s="3">
        <v>1859.1</v>
      </c>
      <c r="AB7896">
        <v>1E-4</v>
      </c>
      <c r="AC7896">
        <v>8</v>
      </c>
      <c r="AD7896" s="5">
        <v>4.9627154435058474</v>
      </c>
      <c r="AE7896" s="5">
        <v>2.1787764482479397</v>
      </c>
      <c r="AF7896">
        <v>1</v>
      </c>
    </row>
    <row r="7897" spans="27:32" x14ac:dyDescent="0.3">
      <c r="AA7897" s="3">
        <v>24497.63</v>
      </c>
      <c r="AB7897">
        <v>1E-4</v>
      </c>
      <c r="AC7897">
        <v>8</v>
      </c>
      <c r="AD7897" s="5">
        <v>5.1350158917778206</v>
      </c>
      <c r="AE7897" s="5">
        <v>2.1242931045610249</v>
      </c>
      <c r="AF7897">
        <v>1</v>
      </c>
    </row>
    <row r="7898" spans="27:32" x14ac:dyDescent="0.3">
      <c r="AA7898" s="3">
        <v>17812.86</v>
      </c>
      <c r="AB7898">
        <v>1E-4</v>
      </c>
      <c r="AC7898">
        <v>8</v>
      </c>
      <c r="AD7898" s="5">
        <v>5.0511647116457885</v>
      </c>
      <c r="AE7898" s="5">
        <v>2.227717986746713</v>
      </c>
      <c r="AF7898">
        <v>1</v>
      </c>
    </row>
    <row r="7899" spans="27:32" x14ac:dyDescent="0.3">
      <c r="AA7899" s="3">
        <v>17812.86</v>
      </c>
      <c r="AB7899">
        <v>1E-4</v>
      </c>
      <c r="AC7899">
        <v>8</v>
      </c>
      <c r="AD7899" s="5">
        <v>4.9502747435952337</v>
      </c>
      <c r="AE7899" s="5">
        <v>2.2692223365719082</v>
      </c>
      <c r="AF7899">
        <v>1</v>
      </c>
    </row>
    <row r="7900" spans="27:32" x14ac:dyDescent="0.3">
      <c r="AA7900" s="3">
        <v>6050.06</v>
      </c>
      <c r="AB7900">
        <v>1E-4</v>
      </c>
      <c r="AC7900">
        <v>8</v>
      </c>
      <c r="AD7900" s="5">
        <v>5.1462057933166543</v>
      </c>
      <c r="AE7900" s="5">
        <v>2.2082618279444461</v>
      </c>
      <c r="AF7900">
        <v>1</v>
      </c>
    </row>
    <row r="7901" spans="27:32" x14ac:dyDescent="0.3">
      <c r="AA7901" s="3">
        <v>37238.76</v>
      </c>
      <c r="AB7901">
        <v>1E-4</v>
      </c>
      <c r="AC7901">
        <v>7</v>
      </c>
      <c r="AD7901" s="5">
        <v>5.1259577143066677</v>
      </c>
      <c r="AE7901" s="5">
        <v>2.1960547908463872</v>
      </c>
      <c r="AF7901">
        <v>1</v>
      </c>
    </row>
    <row r="7902" spans="27:32" x14ac:dyDescent="0.3">
      <c r="AA7902" s="3">
        <v>48265.84</v>
      </c>
      <c r="AB7902">
        <v>1E-4</v>
      </c>
      <c r="AC7902">
        <v>7</v>
      </c>
      <c r="AD7902" s="5">
        <v>5.0038364813586176</v>
      </c>
      <c r="AE7902" s="5">
        <v>2.1761680959621161</v>
      </c>
      <c r="AF7902">
        <v>1</v>
      </c>
    </row>
    <row r="7903" spans="27:32" x14ac:dyDescent="0.3">
      <c r="AA7903" s="3">
        <v>11472.69</v>
      </c>
      <c r="AB7903">
        <v>1E-4</v>
      </c>
      <c r="AC7903">
        <v>8</v>
      </c>
      <c r="AD7903" s="5">
        <v>5.0375908715872617</v>
      </c>
      <c r="AE7903" s="5">
        <v>2.1495805357440716</v>
      </c>
      <c r="AF7903">
        <v>1</v>
      </c>
    </row>
    <row r="7904" spans="27:32" x14ac:dyDescent="0.3">
      <c r="AA7904" s="3">
        <v>6551.53</v>
      </c>
      <c r="AB7904">
        <v>1E-4</v>
      </c>
      <c r="AC7904">
        <v>8</v>
      </c>
      <c r="AD7904" s="5">
        <v>4.8811091971188016</v>
      </c>
      <c r="AE7904" s="5">
        <v>2.1894673081481084</v>
      </c>
      <c r="AF7904">
        <v>1</v>
      </c>
    </row>
    <row r="7905" spans="27:32" x14ac:dyDescent="0.3">
      <c r="AA7905" s="3">
        <v>3422.46</v>
      </c>
      <c r="AB7905">
        <v>1E-4</v>
      </c>
      <c r="AC7905">
        <v>8</v>
      </c>
      <c r="AD7905" s="5">
        <v>4.9360240327328704</v>
      </c>
      <c r="AE7905" s="5">
        <v>2.1316104033059893</v>
      </c>
      <c r="AF7905">
        <v>1</v>
      </c>
    </row>
    <row r="7906" spans="27:32" x14ac:dyDescent="0.3">
      <c r="AA7906" s="3">
        <v>11824.12</v>
      </c>
      <c r="AB7906">
        <v>1E-4</v>
      </c>
      <c r="AC7906">
        <v>8</v>
      </c>
      <c r="AD7906" s="5">
        <v>5.0801082248436007</v>
      </c>
      <c r="AE7906" s="5">
        <v>2.2278582881491951</v>
      </c>
      <c r="AF7906">
        <v>1</v>
      </c>
    </row>
    <row r="7907" spans="27:32" x14ac:dyDescent="0.3">
      <c r="AA7907" s="3">
        <v>17335.97</v>
      </c>
      <c r="AB7907">
        <v>1E-4</v>
      </c>
      <c r="AC7907">
        <v>8</v>
      </c>
      <c r="AD7907" s="5">
        <v>5.141669074028008</v>
      </c>
      <c r="AE7907" s="5">
        <v>2.1552294961088032</v>
      </c>
      <c r="AF7907">
        <v>1</v>
      </c>
    </row>
    <row r="7908" spans="27:32" x14ac:dyDescent="0.3">
      <c r="AA7908" s="3">
        <v>49634.37</v>
      </c>
      <c r="AB7908">
        <v>1E-4</v>
      </c>
      <c r="AC7908">
        <v>7</v>
      </c>
      <c r="AD7908" s="5">
        <v>5.1130417258292535</v>
      </c>
      <c r="AE7908" s="5">
        <v>2.2307481346805975</v>
      </c>
      <c r="AF7908">
        <v>1</v>
      </c>
    </row>
    <row r="7909" spans="27:32" x14ac:dyDescent="0.3">
      <c r="AA7909" s="3">
        <v>6288.69</v>
      </c>
      <c r="AB7909">
        <v>1E-4</v>
      </c>
      <c r="AC7909">
        <v>8</v>
      </c>
      <c r="AD7909" s="5">
        <v>5.1028603459011235</v>
      </c>
      <c r="AE7909" s="5">
        <v>2.1750019521602129</v>
      </c>
      <c r="AF7909">
        <v>1</v>
      </c>
    </row>
    <row r="7910" spans="27:32" x14ac:dyDescent="0.3">
      <c r="AA7910" s="3">
        <v>36200.720000000001</v>
      </c>
      <c r="AB7910">
        <v>1E-4</v>
      </c>
      <c r="AC7910">
        <v>7</v>
      </c>
      <c r="AD7910" s="5">
        <v>5.0272452312809923</v>
      </c>
      <c r="AE7910" s="5">
        <v>2.1824867152139404</v>
      </c>
      <c r="AF7910">
        <v>1</v>
      </c>
    </row>
    <row r="7911" spans="27:32" x14ac:dyDescent="0.3">
      <c r="AA7911" s="3">
        <v>7800.07</v>
      </c>
      <c r="AB7911">
        <v>1E-4</v>
      </c>
      <c r="AC7911">
        <v>8</v>
      </c>
      <c r="AD7911" s="5">
        <v>4.8154071732109562</v>
      </c>
      <c r="AE7911" s="5">
        <v>2.2574059850193851</v>
      </c>
      <c r="AF7911">
        <v>1</v>
      </c>
    </row>
    <row r="7912" spans="27:32" x14ac:dyDescent="0.3">
      <c r="AA7912" s="3">
        <v>-12674.15</v>
      </c>
      <c r="AB7912">
        <v>1E-4</v>
      </c>
      <c r="AC7912">
        <v>9</v>
      </c>
      <c r="AD7912" s="5">
        <v>4.9122820406440049</v>
      </c>
      <c r="AE7912" s="5">
        <v>2.1816758501253428</v>
      </c>
      <c r="AF7912">
        <v>1</v>
      </c>
    </row>
    <row r="7913" spans="27:32" x14ac:dyDescent="0.3">
      <c r="AA7913" s="3">
        <v>51637.04</v>
      </c>
      <c r="AB7913">
        <v>1E-4</v>
      </c>
      <c r="AC7913">
        <v>6</v>
      </c>
      <c r="AD7913" s="5">
        <v>5.1759203073813369</v>
      </c>
      <c r="AE7913" s="5">
        <v>2.1925843809238348</v>
      </c>
      <c r="AF7913">
        <v>1</v>
      </c>
    </row>
    <row r="7914" spans="27:32" x14ac:dyDescent="0.3">
      <c r="AA7914" s="3">
        <v>14854.98</v>
      </c>
      <c r="AB7914">
        <v>1E-4</v>
      </c>
      <c r="AC7914">
        <v>8</v>
      </c>
      <c r="AD7914" s="5">
        <v>4.8429913067906902</v>
      </c>
      <c r="AE7914" s="5">
        <v>2.2711981181473786</v>
      </c>
      <c r="AF7914">
        <v>1</v>
      </c>
    </row>
    <row r="7915" spans="27:32" x14ac:dyDescent="0.3">
      <c r="AA7915" s="3">
        <v>-38720.990447999255</v>
      </c>
      <c r="AB7915">
        <v>1E-4</v>
      </c>
      <c r="AC7915">
        <v>9</v>
      </c>
      <c r="AD7915" s="5">
        <v>4.963824435405237</v>
      </c>
      <c r="AE7915" s="5">
        <v>2.2185653870835824</v>
      </c>
      <c r="AF7915">
        <v>0</v>
      </c>
    </row>
    <row r="7916" spans="27:32" x14ac:dyDescent="0.3">
      <c r="AA7916" s="3">
        <v>7529.05</v>
      </c>
      <c r="AB7916">
        <v>1E-4</v>
      </c>
      <c r="AC7916">
        <v>8</v>
      </c>
      <c r="AD7916" s="5">
        <v>4.9811927534809284</v>
      </c>
      <c r="AE7916" s="5">
        <v>2.2034991754385596</v>
      </c>
      <c r="AF7916">
        <v>1</v>
      </c>
    </row>
    <row r="7917" spans="27:32" x14ac:dyDescent="0.3">
      <c r="AA7917" s="3">
        <v>-6838.05</v>
      </c>
      <c r="AB7917">
        <v>1E-4</v>
      </c>
      <c r="AC7917">
        <v>9</v>
      </c>
      <c r="AD7917" s="5">
        <v>5.053265237038234</v>
      </c>
      <c r="AE7917" s="5">
        <v>2.2119358754503819</v>
      </c>
      <c r="AF7917">
        <v>1</v>
      </c>
    </row>
    <row r="7918" spans="27:32" x14ac:dyDescent="0.3">
      <c r="AA7918" s="3">
        <v>14931.05</v>
      </c>
      <c r="AB7918">
        <v>1E-4</v>
      </c>
      <c r="AC7918">
        <v>8</v>
      </c>
      <c r="AD7918" s="5">
        <v>4.8904754624613247</v>
      </c>
      <c r="AE7918" s="5">
        <v>2.2520645078975354</v>
      </c>
      <c r="AF7918">
        <v>1</v>
      </c>
    </row>
    <row r="7919" spans="27:32" x14ac:dyDescent="0.3">
      <c r="AA7919" s="3">
        <v>11118.2</v>
      </c>
      <c r="AB7919">
        <v>1E-4</v>
      </c>
      <c r="AC7919">
        <v>8</v>
      </c>
      <c r="AD7919" s="5">
        <v>5.0855584198958166</v>
      </c>
      <c r="AE7919" s="5">
        <v>2.1672201465195147</v>
      </c>
      <c r="AF7919">
        <v>1</v>
      </c>
    </row>
    <row r="7920" spans="27:32" x14ac:dyDescent="0.3">
      <c r="AA7920" s="3">
        <v>9875.11</v>
      </c>
      <c r="AB7920">
        <v>1E-4</v>
      </c>
      <c r="AC7920">
        <v>8</v>
      </c>
      <c r="AD7920" s="5">
        <v>4.8853365939174589</v>
      </c>
      <c r="AE7920" s="5">
        <v>2.1777153251935144</v>
      </c>
      <c r="AF7920">
        <v>1</v>
      </c>
    </row>
    <row r="7921" spans="27:32" x14ac:dyDescent="0.3">
      <c r="AA7921" s="3">
        <v>48727.43</v>
      </c>
      <c r="AB7921">
        <v>1E-4</v>
      </c>
      <c r="AC7921">
        <v>7</v>
      </c>
      <c r="AD7921" s="5">
        <v>5.1830204481247071</v>
      </c>
      <c r="AE7921" s="5">
        <v>2.204225887107615</v>
      </c>
      <c r="AF7921">
        <v>1</v>
      </c>
    </row>
    <row r="7922" spans="27:32" x14ac:dyDescent="0.3">
      <c r="AA7922" s="3">
        <v>22318.13</v>
      </c>
      <c r="AB7922">
        <v>1E-4</v>
      </c>
      <c r="AC7922">
        <v>8</v>
      </c>
      <c r="AD7922" s="5">
        <v>5.0743468579804025</v>
      </c>
      <c r="AE7922" s="5">
        <v>2.1817217138053726</v>
      </c>
      <c r="AF7922">
        <v>1</v>
      </c>
    </row>
    <row r="7923" spans="27:32" x14ac:dyDescent="0.3">
      <c r="AA7923" s="3">
        <v>41587.61</v>
      </c>
      <c r="AB7923">
        <v>1E-4</v>
      </c>
      <c r="AC7923">
        <v>7</v>
      </c>
      <c r="AD7923" s="5">
        <v>5.0062910964234737</v>
      </c>
      <c r="AE7923" s="5">
        <v>2.3089218326615666</v>
      </c>
      <c r="AF7923">
        <v>1</v>
      </c>
    </row>
    <row r="7924" spans="27:32" x14ac:dyDescent="0.3">
      <c r="AA7924" s="3">
        <v>15745.35</v>
      </c>
      <c r="AB7924">
        <v>1E-4</v>
      </c>
      <c r="AC7924">
        <v>8</v>
      </c>
      <c r="AD7924" s="5">
        <v>5.0591743146222949</v>
      </c>
      <c r="AE7924" s="5">
        <v>2.1836700895979</v>
      </c>
      <c r="AF7924">
        <v>1</v>
      </c>
    </row>
    <row r="7925" spans="27:32" x14ac:dyDescent="0.3">
      <c r="AA7925" s="3">
        <v>915.26</v>
      </c>
      <c r="AB7925">
        <v>1E-4</v>
      </c>
      <c r="AC7925">
        <v>8</v>
      </c>
      <c r="AD7925" s="5">
        <v>4.8186208430415034</v>
      </c>
      <c r="AE7925" s="5">
        <v>2.0185228041207623</v>
      </c>
      <c r="AF7925">
        <v>1</v>
      </c>
    </row>
    <row r="7926" spans="27:32" x14ac:dyDescent="0.3">
      <c r="AA7926" s="3">
        <v>5115.3999999999996</v>
      </c>
      <c r="AB7926">
        <v>1E-4</v>
      </c>
      <c r="AC7926">
        <v>8</v>
      </c>
      <c r="AD7926" s="5">
        <v>4.8380574073002789</v>
      </c>
      <c r="AE7926" s="5">
        <v>2.1778506529140533</v>
      </c>
      <c r="AF7926">
        <v>1</v>
      </c>
    </row>
    <row r="7927" spans="27:32" x14ac:dyDescent="0.3">
      <c r="AA7927" s="3">
        <v>31060.82</v>
      </c>
      <c r="AB7927">
        <v>1E-4</v>
      </c>
      <c r="AC7927">
        <v>7</v>
      </c>
      <c r="AD7927" s="5">
        <v>4.8787929849634715</v>
      </c>
      <c r="AE7927" s="5">
        <v>2.1049991832631676</v>
      </c>
      <c r="AF7927">
        <v>1</v>
      </c>
    </row>
    <row r="7928" spans="27:32" x14ac:dyDescent="0.3">
      <c r="AA7928" s="3">
        <v>-423.07</v>
      </c>
      <c r="AB7928">
        <v>1E-4</v>
      </c>
      <c r="AC7928">
        <v>9</v>
      </c>
      <c r="AD7928" s="5">
        <v>4.9381472068167609</v>
      </c>
      <c r="AE7928" s="5">
        <v>2.2823063052209731</v>
      </c>
      <c r="AF7928">
        <v>1</v>
      </c>
    </row>
    <row r="7929" spans="27:32" x14ac:dyDescent="0.3">
      <c r="AA7929" s="3">
        <v>22990.43</v>
      </c>
      <c r="AB7929">
        <v>1E-4</v>
      </c>
      <c r="AC7929">
        <v>8</v>
      </c>
      <c r="AD7929" s="5">
        <v>5.0746654966465661</v>
      </c>
      <c r="AE7929" s="5">
        <v>2.1721153425590973</v>
      </c>
      <c r="AF7929">
        <v>1</v>
      </c>
    </row>
    <row r="7930" spans="27:32" x14ac:dyDescent="0.3">
      <c r="AA7930" s="3">
        <v>13159.45</v>
      </c>
      <c r="AB7930">
        <v>1E-4</v>
      </c>
      <c r="AC7930">
        <v>8</v>
      </c>
      <c r="AD7930" s="5">
        <v>5.01908752355315</v>
      </c>
      <c r="AE7930" s="5">
        <v>2.2292693303361073</v>
      </c>
      <c r="AF7930">
        <v>1</v>
      </c>
    </row>
    <row r="7931" spans="27:32" x14ac:dyDescent="0.3">
      <c r="AA7931" s="3">
        <v>9814.93</v>
      </c>
      <c r="AB7931">
        <v>1E-4</v>
      </c>
      <c r="AC7931">
        <v>8</v>
      </c>
      <c r="AD7931" s="5">
        <v>4.8620797265942057</v>
      </c>
      <c r="AE7931" s="5">
        <v>2.1950133458318808</v>
      </c>
      <c r="AF7931">
        <v>1</v>
      </c>
    </row>
    <row r="7932" spans="27:32" x14ac:dyDescent="0.3">
      <c r="AA7932" s="3">
        <v>-1638.93</v>
      </c>
      <c r="AB7932">
        <v>1E-4</v>
      </c>
      <c r="AC7932">
        <v>9</v>
      </c>
      <c r="AD7932" s="5">
        <v>4.9109770463361482</v>
      </c>
      <c r="AE7932" s="5">
        <v>2.2233723048855039</v>
      </c>
      <c r="AF7932">
        <v>1</v>
      </c>
    </row>
    <row r="7933" spans="27:32" x14ac:dyDescent="0.3">
      <c r="AA7933" s="3">
        <v>7001.74</v>
      </c>
      <c r="AB7933">
        <v>1E-4</v>
      </c>
      <c r="AC7933">
        <v>8</v>
      </c>
      <c r="AD7933" s="5">
        <v>4.9832868159880537</v>
      </c>
      <c r="AE7933" s="5">
        <v>2.2158075698748991</v>
      </c>
      <c r="AF7933">
        <v>1</v>
      </c>
    </row>
    <row r="7934" spans="27:32" x14ac:dyDescent="0.3">
      <c r="AA7934" s="3">
        <v>24237.38</v>
      </c>
      <c r="AB7934">
        <v>1E-4</v>
      </c>
      <c r="AC7934">
        <v>8</v>
      </c>
      <c r="AD7934" s="5">
        <v>4.9098664782623382</v>
      </c>
      <c r="AE7934" s="5">
        <v>2.1910572058847362</v>
      </c>
      <c r="AF7934">
        <v>1</v>
      </c>
    </row>
    <row r="7935" spans="27:32" x14ac:dyDescent="0.3">
      <c r="AA7935" s="3">
        <v>7753.11</v>
      </c>
      <c r="AB7935">
        <v>1E-4</v>
      </c>
      <c r="AC7935">
        <v>8</v>
      </c>
      <c r="AD7935" s="5">
        <v>4.8811156544581964</v>
      </c>
      <c r="AE7935" s="5">
        <v>2.2049803830799526</v>
      </c>
      <c r="AF7935">
        <v>1</v>
      </c>
    </row>
    <row r="7936" spans="27:32" x14ac:dyDescent="0.3">
      <c r="AA7936" s="3">
        <v>14274.83</v>
      </c>
      <c r="AB7936">
        <v>1E-4</v>
      </c>
      <c r="AC7936">
        <v>8</v>
      </c>
      <c r="AD7936" s="5">
        <v>5.0719128922955994</v>
      </c>
      <c r="AE7936" s="5">
        <v>2.1775909704801286</v>
      </c>
      <c r="AF7936">
        <v>1</v>
      </c>
    </row>
    <row r="7937" spans="27:32" x14ac:dyDescent="0.3">
      <c r="AA7937" s="3">
        <v>17287.099999999999</v>
      </c>
      <c r="AB7937">
        <v>1E-4</v>
      </c>
      <c r="AC7937">
        <v>8</v>
      </c>
      <c r="AD7937" s="5">
        <v>5.0351397534619808</v>
      </c>
      <c r="AE7937" s="5">
        <v>2.1055779195189404</v>
      </c>
      <c r="AF7937">
        <v>1</v>
      </c>
    </row>
    <row r="7938" spans="27:32" x14ac:dyDescent="0.3">
      <c r="AA7938" s="3">
        <v>-23822.57</v>
      </c>
      <c r="AB7938">
        <v>1E-4</v>
      </c>
      <c r="AC7938">
        <v>9</v>
      </c>
      <c r="AD7938" s="5">
        <v>5.0652420722566953</v>
      </c>
      <c r="AE7938" s="5">
        <v>2.2027176786045897</v>
      </c>
      <c r="AF7938">
        <v>1</v>
      </c>
    </row>
    <row r="7939" spans="27:32" x14ac:dyDescent="0.3">
      <c r="AA7939" s="3">
        <v>12965.57</v>
      </c>
      <c r="AB7939">
        <v>1E-4</v>
      </c>
      <c r="AC7939">
        <v>8</v>
      </c>
      <c r="AD7939" s="5">
        <v>4.9858402659054475</v>
      </c>
      <c r="AE7939" s="5">
        <v>2.1725762401011117</v>
      </c>
      <c r="AF7939">
        <v>1</v>
      </c>
    </row>
    <row r="7940" spans="27:32" x14ac:dyDescent="0.3">
      <c r="AA7940" s="3">
        <v>21985.64</v>
      </c>
      <c r="AB7940">
        <v>1E-4</v>
      </c>
      <c r="AC7940">
        <v>8</v>
      </c>
      <c r="AD7940" s="5">
        <v>5.1575860282190629</v>
      </c>
      <c r="AE7940" s="5">
        <v>2.1331562540285578</v>
      </c>
      <c r="AF7940">
        <v>1</v>
      </c>
    </row>
    <row r="7941" spans="27:32" x14ac:dyDescent="0.3">
      <c r="AA7941" s="3">
        <v>22820.7</v>
      </c>
      <c r="AB7941">
        <v>1E-4</v>
      </c>
      <c r="AC7941">
        <v>8</v>
      </c>
      <c r="AD7941" s="5">
        <v>4.9293803749234932</v>
      </c>
      <c r="AE7941" s="5">
        <v>2.2533343018062073</v>
      </c>
      <c r="AF7941">
        <v>1</v>
      </c>
    </row>
    <row r="7942" spans="27:32" x14ac:dyDescent="0.3">
      <c r="AA7942" s="3">
        <v>25659.5</v>
      </c>
      <c r="AB7942">
        <v>1E-4</v>
      </c>
      <c r="AC7942">
        <v>8</v>
      </c>
      <c r="AD7942" s="5">
        <v>5.0633864956483778</v>
      </c>
      <c r="AE7942" s="5">
        <v>2.1522198492882905</v>
      </c>
      <c r="AF7942">
        <v>1</v>
      </c>
    </row>
    <row r="7943" spans="27:32" x14ac:dyDescent="0.3">
      <c r="AA7943" s="3">
        <v>18677.830000000002</v>
      </c>
      <c r="AB7943">
        <v>1E-4</v>
      </c>
      <c r="AC7943">
        <v>8</v>
      </c>
      <c r="AD7943" s="5">
        <v>4.8842704121534695</v>
      </c>
      <c r="AE7943" s="5">
        <v>2.2140522583819289</v>
      </c>
      <c r="AF7943">
        <v>1</v>
      </c>
    </row>
    <row r="7944" spans="27:32" x14ac:dyDescent="0.3">
      <c r="AA7944" s="3">
        <v>-2967.11</v>
      </c>
      <c r="AB7944">
        <v>1E-4</v>
      </c>
      <c r="AC7944">
        <v>9</v>
      </c>
      <c r="AD7944" s="5">
        <v>4.9037431520650498</v>
      </c>
      <c r="AE7944" s="5">
        <v>2.1330394546772333</v>
      </c>
      <c r="AF7944">
        <v>1</v>
      </c>
    </row>
    <row r="7945" spans="27:32" x14ac:dyDescent="0.3">
      <c r="AA7945" s="3">
        <v>11183.88</v>
      </c>
      <c r="AB7945">
        <v>1E-4</v>
      </c>
      <c r="AC7945">
        <v>8</v>
      </c>
      <c r="AD7945" s="5">
        <v>5.1933417231925691</v>
      </c>
      <c r="AE7945" s="5">
        <v>2.2278453657014112</v>
      </c>
      <c r="AF7945">
        <v>1</v>
      </c>
    </row>
    <row r="7946" spans="27:32" x14ac:dyDescent="0.3">
      <c r="AA7946" s="3">
        <v>4846.2299999999996</v>
      </c>
      <c r="AB7946">
        <v>1E-4</v>
      </c>
      <c r="AC7946">
        <v>8</v>
      </c>
      <c r="AD7946" s="5">
        <v>5.0502179119337764</v>
      </c>
      <c r="AE7946" s="5">
        <v>2.1704390235004971</v>
      </c>
      <c r="AF7946">
        <v>1</v>
      </c>
    </row>
    <row r="7947" spans="27:32" x14ac:dyDescent="0.3">
      <c r="AA7947" s="3">
        <v>-7544.5</v>
      </c>
      <c r="AB7947">
        <v>1E-4</v>
      </c>
      <c r="AC7947">
        <v>9</v>
      </c>
      <c r="AD7947" s="5">
        <v>4.8301372815974837</v>
      </c>
      <c r="AE7947" s="5">
        <v>2.1895904017163033</v>
      </c>
      <c r="AF7947">
        <v>1</v>
      </c>
    </row>
    <row r="7948" spans="27:32" x14ac:dyDescent="0.3">
      <c r="AA7948" s="3">
        <v>37089.980000000003</v>
      </c>
      <c r="AB7948">
        <v>1E-4</v>
      </c>
      <c r="AC7948">
        <v>7</v>
      </c>
      <c r="AD7948" s="5">
        <v>5.0062701424223164</v>
      </c>
      <c r="AE7948" s="5">
        <v>2.242149436162642</v>
      </c>
      <c r="AF7948">
        <v>1</v>
      </c>
    </row>
    <row r="7949" spans="27:32" x14ac:dyDescent="0.3">
      <c r="AA7949" s="3">
        <v>13730.53</v>
      </c>
      <c r="AB7949">
        <v>1E-4</v>
      </c>
      <c r="AC7949">
        <v>8</v>
      </c>
      <c r="AD7949" s="5">
        <v>5.1116739014391497</v>
      </c>
      <c r="AE7949" s="5">
        <v>2.1456343592906149</v>
      </c>
      <c r="AF7949">
        <v>1</v>
      </c>
    </row>
    <row r="7950" spans="27:32" x14ac:dyDescent="0.3">
      <c r="AA7950" s="3">
        <v>48899.64</v>
      </c>
      <c r="AB7950">
        <v>1E-4</v>
      </c>
      <c r="AC7950">
        <v>6</v>
      </c>
      <c r="AD7950" s="5">
        <v>4.9153367329649367</v>
      </c>
      <c r="AE7950" s="5">
        <v>2.1734785490753525</v>
      </c>
      <c r="AF7950">
        <v>1</v>
      </c>
    </row>
    <row r="7951" spans="27:32" x14ac:dyDescent="0.3">
      <c r="AA7951" s="3">
        <v>-10625.87</v>
      </c>
      <c r="AB7951">
        <v>1E-4</v>
      </c>
      <c r="AC7951">
        <v>9</v>
      </c>
      <c r="AD7951" s="5">
        <v>4.7190860115806466</v>
      </c>
      <c r="AE7951" s="5">
        <v>2.2133964019246921</v>
      </c>
      <c r="AF7951">
        <v>1</v>
      </c>
    </row>
    <row r="7952" spans="27:32" x14ac:dyDescent="0.3">
      <c r="AA7952" s="3">
        <v>-23319.859906269172</v>
      </c>
      <c r="AB7952">
        <v>1E-4</v>
      </c>
      <c r="AC7952">
        <v>9</v>
      </c>
      <c r="AD7952" s="5">
        <v>4.9137079547935656</v>
      </c>
      <c r="AE7952" s="5">
        <v>2.2223742744821693</v>
      </c>
      <c r="AF7952">
        <v>0</v>
      </c>
    </row>
    <row r="7953" spans="27:32" x14ac:dyDescent="0.3">
      <c r="AA7953" s="3">
        <v>39090.81</v>
      </c>
      <c r="AB7953">
        <v>1E-4</v>
      </c>
      <c r="AC7953">
        <v>7</v>
      </c>
      <c r="AD7953" s="5">
        <v>5.0296787449187459</v>
      </c>
      <c r="AE7953" s="5">
        <v>2.085058144692578</v>
      </c>
      <c r="AF7953">
        <v>1</v>
      </c>
    </row>
    <row r="7954" spans="27:32" x14ac:dyDescent="0.3">
      <c r="AA7954" s="3">
        <v>28232.03</v>
      </c>
      <c r="AB7954">
        <v>1E-4</v>
      </c>
      <c r="AC7954">
        <v>8</v>
      </c>
      <c r="AD7954" s="5">
        <v>5.0591824792768385</v>
      </c>
      <c r="AE7954" s="5">
        <v>2.2447828744303213</v>
      </c>
      <c r="AF7954">
        <v>1</v>
      </c>
    </row>
    <row r="7955" spans="27:32" x14ac:dyDescent="0.3">
      <c r="AA7955" s="3">
        <v>10689.86</v>
      </c>
      <c r="AB7955">
        <v>1E-4</v>
      </c>
      <c r="AC7955">
        <v>8</v>
      </c>
      <c r="AD7955" s="5">
        <v>4.9523491702310967</v>
      </c>
      <c r="AE7955" s="5">
        <v>2.2078030543514124</v>
      </c>
      <c r="AF7955">
        <v>1</v>
      </c>
    </row>
    <row r="7956" spans="27:32" x14ac:dyDescent="0.3">
      <c r="AA7956" s="3">
        <v>42949.11</v>
      </c>
      <c r="AB7956">
        <v>1E-4</v>
      </c>
      <c r="AC7956">
        <v>7</v>
      </c>
      <c r="AD7956" s="5">
        <v>5.1640527406346335</v>
      </c>
      <c r="AE7956" s="5">
        <v>2.2683350291099038</v>
      </c>
      <c r="AF7956">
        <v>1</v>
      </c>
    </row>
    <row r="7957" spans="27:32" x14ac:dyDescent="0.3">
      <c r="AA7957" s="3">
        <v>42584.4</v>
      </c>
      <c r="AB7957">
        <v>1E-4</v>
      </c>
      <c r="AC7957">
        <v>7</v>
      </c>
      <c r="AD7957" s="5">
        <v>5.1758619474779257</v>
      </c>
      <c r="AE7957" s="5">
        <v>2.1435626659506331</v>
      </c>
      <c r="AF7957">
        <v>1</v>
      </c>
    </row>
    <row r="7958" spans="27:32" x14ac:dyDescent="0.3">
      <c r="AA7958" s="3">
        <v>-3802.05</v>
      </c>
      <c r="AB7958">
        <v>1E-4</v>
      </c>
      <c r="AC7958">
        <v>9</v>
      </c>
      <c r="AD7958" s="5">
        <v>4.8804218947392606</v>
      </c>
      <c r="AE7958" s="5">
        <v>2.1035917720879471</v>
      </c>
      <c r="AF7958">
        <v>1</v>
      </c>
    </row>
    <row r="7959" spans="27:32" x14ac:dyDescent="0.3">
      <c r="AA7959" s="3">
        <v>16556.89</v>
      </c>
      <c r="AB7959">
        <v>1E-4</v>
      </c>
      <c r="AC7959">
        <v>8</v>
      </c>
      <c r="AD7959" s="5">
        <v>5.0876844530658119</v>
      </c>
      <c r="AE7959" s="5">
        <v>2.2030701689384173</v>
      </c>
      <c r="AF7959">
        <v>1</v>
      </c>
    </row>
    <row r="7960" spans="27:32" x14ac:dyDescent="0.3">
      <c r="AA7960" s="3">
        <v>1366.84</v>
      </c>
      <c r="AB7960">
        <v>1E-4</v>
      </c>
      <c r="AC7960">
        <v>8</v>
      </c>
      <c r="AD7960" s="5">
        <v>4.9386251712074269</v>
      </c>
      <c r="AE7960" s="5">
        <v>2.1822065510699602</v>
      </c>
      <c r="AF7960">
        <v>1</v>
      </c>
    </row>
    <row r="7961" spans="27:32" x14ac:dyDescent="0.3">
      <c r="AA7961" s="3">
        <v>11268.3</v>
      </c>
      <c r="AB7961">
        <v>1E-4</v>
      </c>
      <c r="AC7961">
        <v>8</v>
      </c>
      <c r="AD7961" s="5">
        <v>5.0916319615287611</v>
      </c>
      <c r="AE7961" s="5">
        <v>2.2393966846469162</v>
      </c>
      <c r="AF7961">
        <v>1</v>
      </c>
    </row>
    <row r="7962" spans="27:32" x14ac:dyDescent="0.3">
      <c r="AA7962" s="3">
        <v>33585.19</v>
      </c>
      <c r="AB7962">
        <v>1E-4</v>
      </c>
      <c r="AC7962">
        <v>7</v>
      </c>
      <c r="AD7962" s="5">
        <v>4.8689630747774659</v>
      </c>
      <c r="AE7962" s="5">
        <v>2.2278393555622453</v>
      </c>
      <c r="AF7962">
        <v>1</v>
      </c>
    </row>
    <row r="7963" spans="27:32" x14ac:dyDescent="0.3">
      <c r="AA7963" s="3">
        <v>6489.92</v>
      </c>
      <c r="AB7963">
        <v>1E-4</v>
      </c>
      <c r="AC7963">
        <v>8</v>
      </c>
      <c r="AD7963" s="5">
        <v>4.8816943165090159</v>
      </c>
      <c r="AE7963" s="5">
        <v>2.1758256112436021</v>
      </c>
      <c r="AF7963">
        <v>1</v>
      </c>
    </row>
    <row r="7964" spans="27:32" x14ac:dyDescent="0.3">
      <c r="AA7964" s="3">
        <v>11223.13</v>
      </c>
      <c r="AB7964">
        <v>1E-4</v>
      </c>
      <c r="AC7964">
        <v>8</v>
      </c>
      <c r="AD7964" s="5">
        <v>4.7980221940368146</v>
      </c>
      <c r="AE7964" s="5">
        <v>2.2386776049785855</v>
      </c>
      <c r="AF7964">
        <v>1</v>
      </c>
    </row>
    <row r="7965" spans="27:32" x14ac:dyDescent="0.3">
      <c r="AA7965" s="3">
        <v>11037.93</v>
      </c>
      <c r="AB7965">
        <v>1E-4</v>
      </c>
      <c r="AC7965">
        <v>8</v>
      </c>
      <c r="AD7965" s="5">
        <v>4.9495518737644773</v>
      </c>
      <c r="AE7965" s="5">
        <v>2.259282951464713</v>
      </c>
      <c r="AF7965">
        <v>1</v>
      </c>
    </row>
    <row r="7966" spans="27:32" x14ac:dyDescent="0.3">
      <c r="AA7966" s="3">
        <v>13579.73</v>
      </c>
      <c r="AB7966">
        <v>1E-4</v>
      </c>
      <c r="AC7966">
        <v>8</v>
      </c>
      <c r="AD7966" s="5">
        <v>4.9056499907093345</v>
      </c>
      <c r="AE7966" s="5">
        <v>2.2286673190301283</v>
      </c>
      <c r="AF7966">
        <v>1</v>
      </c>
    </row>
    <row r="7967" spans="27:32" x14ac:dyDescent="0.3">
      <c r="AA7967" s="3">
        <v>-22752.043989600625</v>
      </c>
      <c r="AB7967">
        <v>1E-4</v>
      </c>
      <c r="AC7967">
        <v>9</v>
      </c>
      <c r="AD7967" s="5">
        <v>4.9143483398861818</v>
      </c>
      <c r="AE7967" s="5">
        <v>2.2351208071367723</v>
      </c>
      <c r="AF7967">
        <v>0</v>
      </c>
    </row>
    <row r="7968" spans="27:32" x14ac:dyDescent="0.3">
      <c r="AA7968" s="3">
        <v>13963.95</v>
      </c>
      <c r="AB7968">
        <v>1E-4</v>
      </c>
      <c r="AC7968">
        <v>8</v>
      </c>
      <c r="AD7968" s="5">
        <v>5.0793553537239022</v>
      </c>
      <c r="AE7968" s="5">
        <v>2.2322596582571022</v>
      </c>
      <c r="AF7968">
        <v>1</v>
      </c>
    </row>
    <row r="7969" spans="27:32" x14ac:dyDescent="0.3">
      <c r="AA7969" s="3">
        <v>14098.66</v>
      </c>
      <c r="AB7969">
        <v>1E-4</v>
      </c>
      <c r="AC7969">
        <v>8</v>
      </c>
      <c r="AD7969" s="5">
        <v>4.9718784330364194</v>
      </c>
      <c r="AE7969" s="5">
        <v>2.2347981925255933</v>
      </c>
      <c r="AF7969">
        <v>1</v>
      </c>
    </row>
    <row r="7970" spans="27:32" x14ac:dyDescent="0.3">
      <c r="AA7970" s="3">
        <v>21971.37</v>
      </c>
      <c r="AB7970">
        <v>1E-4</v>
      </c>
      <c r="AC7970">
        <v>8</v>
      </c>
      <c r="AD7970" s="5">
        <v>4.8533253679845787</v>
      </c>
      <c r="AE7970" s="5">
        <v>2.1837956946412325</v>
      </c>
      <c r="AF7970">
        <v>1</v>
      </c>
    </row>
    <row r="7971" spans="27:32" x14ac:dyDescent="0.3">
      <c r="AA7971" s="3">
        <v>39936.76</v>
      </c>
      <c r="AB7971">
        <v>1E-4</v>
      </c>
      <c r="AC7971">
        <v>7</v>
      </c>
      <c r="AD7971" s="5">
        <v>5.070361686370342</v>
      </c>
      <c r="AE7971" s="5">
        <v>2.237318290529799</v>
      </c>
      <c r="AF7971">
        <v>1</v>
      </c>
    </row>
    <row r="7972" spans="27:32" x14ac:dyDescent="0.3">
      <c r="AA7972" s="3">
        <v>34585.699999999997</v>
      </c>
      <c r="AB7972">
        <v>1E-4</v>
      </c>
      <c r="AC7972">
        <v>7</v>
      </c>
      <c r="AD7972" s="5">
        <v>5.0243429011784446</v>
      </c>
      <c r="AE7972" s="5">
        <v>2.2094301761306303</v>
      </c>
      <c r="AF7972">
        <v>1</v>
      </c>
    </row>
    <row r="7973" spans="27:32" x14ac:dyDescent="0.3">
      <c r="AA7973" s="3">
        <v>16531.63</v>
      </c>
      <c r="AB7973">
        <v>1E-4</v>
      </c>
      <c r="AC7973">
        <v>8</v>
      </c>
      <c r="AD7973" s="5">
        <v>5.0702955982631828</v>
      </c>
      <c r="AE7973" s="5">
        <v>2.1574168440131118</v>
      </c>
      <c r="AF7973">
        <v>1</v>
      </c>
    </row>
    <row r="7974" spans="27:32" x14ac:dyDescent="0.3">
      <c r="AA7974" s="3">
        <v>30566.86</v>
      </c>
      <c r="AB7974">
        <v>1E-4</v>
      </c>
      <c r="AC7974">
        <v>8</v>
      </c>
      <c r="AD7974" s="5">
        <v>4.9922870758089708</v>
      </c>
      <c r="AE7974" s="5">
        <v>2.1805514259474417</v>
      </c>
      <c r="AF7974">
        <v>1</v>
      </c>
    </row>
    <row r="7975" spans="27:32" x14ac:dyDescent="0.3">
      <c r="AA7975" s="3">
        <v>10725.33</v>
      </c>
      <c r="AB7975">
        <v>1E-4</v>
      </c>
      <c r="AC7975">
        <v>8</v>
      </c>
      <c r="AD7975" s="5">
        <v>5.0224728616576719</v>
      </c>
      <c r="AE7975" s="5">
        <v>2.187207105590173</v>
      </c>
      <c r="AF7975">
        <v>1</v>
      </c>
    </row>
    <row r="7976" spans="27:32" x14ac:dyDescent="0.3">
      <c r="AA7976" s="3">
        <v>27861.78</v>
      </c>
      <c r="AB7976">
        <v>1E-4</v>
      </c>
      <c r="AC7976">
        <v>8</v>
      </c>
      <c r="AD7976" s="5">
        <v>5.0420581236293582</v>
      </c>
      <c r="AE7976" s="5">
        <v>2.2252933272798585</v>
      </c>
      <c r="AF7976">
        <v>1</v>
      </c>
    </row>
    <row r="7977" spans="27:32" x14ac:dyDescent="0.3">
      <c r="AA7977" s="3">
        <v>15704.98</v>
      </c>
      <c r="AB7977">
        <v>1E-4</v>
      </c>
      <c r="AC7977">
        <v>8</v>
      </c>
      <c r="AD7977" s="5">
        <v>4.8955978576359582</v>
      </c>
      <c r="AE7977" s="5">
        <v>2.1988865492681975</v>
      </c>
      <c r="AF7977">
        <v>1</v>
      </c>
    </row>
    <row r="7978" spans="27:32" x14ac:dyDescent="0.3">
      <c r="AA7978" s="3">
        <v>28084.5</v>
      </c>
      <c r="AB7978">
        <v>1E-4</v>
      </c>
      <c r="AC7978">
        <v>7</v>
      </c>
      <c r="AD7978" s="5">
        <v>5.0047631219702104</v>
      </c>
      <c r="AE7978" s="5">
        <v>2.1968507868390286</v>
      </c>
      <c r="AF7978">
        <v>1</v>
      </c>
    </row>
    <row r="7979" spans="27:32" x14ac:dyDescent="0.3">
      <c r="AA7979" s="3">
        <v>20049.27</v>
      </c>
      <c r="AB7979">
        <v>1E-4</v>
      </c>
      <c r="AC7979">
        <v>8</v>
      </c>
      <c r="AD7979" s="5">
        <v>4.9531964136350775</v>
      </c>
      <c r="AE7979" s="5">
        <v>2.1364126692960093</v>
      </c>
      <c r="AF7979">
        <v>1</v>
      </c>
    </row>
    <row r="7980" spans="27:32" x14ac:dyDescent="0.3">
      <c r="AA7980" s="3">
        <v>19581.13</v>
      </c>
      <c r="AB7980">
        <v>1E-4</v>
      </c>
      <c r="AC7980">
        <v>8</v>
      </c>
      <c r="AD7980" s="5">
        <v>4.9810971624414329</v>
      </c>
      <c r="AE7980" s="5">
        <v>2.191429970193747</v>
      </c>
      <c r="AF7980">
        <v>1</v>
      </c>
    </row>
    <row r="7981" spans="27:32" x14ac:dyDescent="0.3">
      <c r="AA7981" s="3">
        <v>23674.74</v>
      </c>
      <c r="AB7981">
        <v>1E-4</v>
      </c>
      <c r="AC7981">
        <v>8</v>
      </c>
      <c r="AD7981" s="5">
        <v>4.8516636485139246</v>
      </c>
      <c r="AE7981" s="5">
        <v>2.0729867466239944</v>
      </c>
      <c r="AF7981">
        <v>1</v>
      </c>
    </row>
    <row r="7982" spans="27:32" x14ac:dyDescent="0.3">
      <c r="AA7982" s="3">
        <v>14146.39</v>
      </c>
      <c r="AB7982">
        <v>1E-4</v>
      </c>
      <c r="AC7982">
        <v>8</v>
      </c>
      <c r="AD7982" s="5">
        <v>4.9121595660316215</v>
      </c>
      <c r="AE7982" s="5">
        <v>2.20334799706613</v>
      </c>
      <c r="AF7982">
        <v>1</v>
      </c>
    </row>
    <row r="7983" spans="27:32" x14ac:dyDescent="0.3">
      <c r="AA7983" s="3">
        <v>32430.14</v>
      </c>
      <c r="AB7983">
        <v>1E-4</v>
      </c>
      <c r="AC7983">
        <v>7</v>
      </c>
      <c r="AD7983" s="5">
        <v>5.0947977717857595</v>
      </c>
      <c r="AE7983" s="5">
        <v>2.1539732944328818</v>
      </c>
      <c r="AF7983">
        <v>1</v>
      </c>
    </row>
    <row r="7984" spans="27:32" x14ac:dyDescent="0.3">
      <c r="AA7984" s="3">
        <v>-8037.88</v>
      </c>
      <c r="AB7984">
        <v>1E-4</v>
      </c>
      <c r="AC7984">
        <v>9</v>
      </c>
      <c r="AD7984" s="5">
        <v>4.7977571047935941</v>
      </c>
      <c r="AE7984" s="5">
        <v>2.2876659165742796</v>
      </c>
      <c r="AF7984">
        <v>1</v>
      </c>
    </row>
    <row r="7985" spans="27:32" x14ac:dyDescent="0.3">
      <c r="AA7985" s="3">
        <v>-2864.89</v>
      </c>
      <c r="AB7985">
        <v>1E-4</v>
      </c>
      <c r="AC7985">
        <v>9</v>
      </c>
      <c r="AD7985" s="5">
        <v>4.9385772935691907</v>
      </c>
      <c r="AE7985" s="5">
        <v>2.1484927566997221</v>
      </c>
      <c r="AF7985">
        <v>1</v>
      </c>
    </row>
    <row r="7986" spans="27:32" x14ac:dyDescent="0.3">
      <c r="AA7986" s="3">
        <v>-10711.98</v>
      </c>
      <c r="AB7986">
        <v>1E-4</v>
      </c>
      <c r="AC7986">
        <v>9</v>
      </c>
      <c r="AD7986" s="5">
        <v>4.9178437538761681</v>
      </c>
      <c r="AE7986" s="5">
        <v>2.2048713869303112</v>
      </c>
      <c r="AF7986">
        <v>1</v>
      </c>
    </row>
    <row r="7987" spans="27:32" x14ac:dyDescent="0.3">
      <c r="AA7987" s="3">
        <v>3508.62</v>
      </c>
      <c r="AB7987">
        <v>1E-4</v>
      </c>
      <c r="AC7987">
        <v>8</v>
      </c>
      <c r="AD7987" s="5">
        <v>5.0847827249760167</v>
      </c>
      <c r="AE7987" s="5">
        <v>2.2776411846992262</v>
      </c>
      <c r="AF7987">
        <v>1</v>
      </c>
    </row>
    <row r="7988" spans="27:32" x14ac:dyDescent="0.3">
      <c r="AA7988" s="3">
        <v>33315.730000000003</v>
      </c>
      <c r="AB7988">
        <v>1E-4</v>
      </c>
      <c r="AC7988">
        <v>7</v>
      </c>
      <c r="AD7988" s="5">
        <v>5.0929776808205878</v>
      </c>
      <c r="AE7988" s="5">
        <v>2.1156305316121573</v>
      </c>
      <c r="AF7988">
        <v>1</v>
      </c>
    </row>
    <row r="7989" spans="27:32" x14ac:dyDescent="0.3">
      <c r="AA7989" s="3">
        <v>25948.54</v>
      </c>
      <c r="AB7989">
        <v>1E-4</v>
      </c>
      <c r="AC7989">
        <v>8</v>
      </c>
      <c r="AD7989" s="5">
        <v>4.844479449776145</v>
      </c>
      <c r="AE7989" s="5">
        <v>2.1961976526583356</v>
      </c>
      <c r="AF7989">
        <v>1</v>
      </c>
    </row>
    <row r="7990" spans="27:32" x14ac:dyDescent="0.3">
      <c r="AA7990" s="3">
        <v>-4715.1099999999997</v>
      </c>
      <c r="AB7990">
        <v>1E-4</v>
      </c>
      <c r="AC7990">
        <v>9</v>
      </c>
      <c r="AD7990" s="5">
        <v>5.0520759550413858</v>
      </c>
      <c r="AE7990" s="5">
        <v>2.2186581353535302</v>
      </c>
      <c r="AF7990">
        <v>1</v>
      </c>
    </row>
    <row r="7991" spans="27:32" x14ac:dyDescent="0.3">
      <c r="AA7991" s="3">
        <v>175.82</v>
      </c>
      <c r="AB7991">
        <v>1E-4</v>
      </c>
      <c r="AC7991">
        <v>8</v>
      </c>
      <c r="AD7991" s="5">
        <v>4.9042102937838665</v>
      </c>
      <c r="AE7991" s="5">
        <v>2.2364040756771524</v>
      </c>
      <c r="AF7991">
        <v>1</v>
      </c>
    </row>
    <row r="7992" spans="27:32" x14ac:dyDescent="0.3">
      <c r="AA7992" s="3">
        <v>34535.699999999997</v>
      </c>
      <c r="AB7992">
        <v>1E-4</v>
      </c>
      <c r="AC7992">
        <v>7</v>
      </c>
      <c r="AD7992" s="5">
        <v>5.1484554906080264</v>
      </c>
      <c r="AE7992" s="5">
        <v>2.1899053175351288</v>
      </c>
      <c r="AF7992">
        <v>1</v>
      </c>
    </row>
    <row r="7993" spans="27:32" x14ac:dyDescent="0.3">
      <c r="AA7993" s="3">
        <v>31774.51</v>
      </c>
      <c r="AB7993">
        <v>1E-4</v>
      </c>
      <c r="AC7993">
        <v>7</v>
      </c>
      <c r="AD7993" s="5">
        <v>5.0765666261665219</v>
      </c>
      <c r="AE7993" s="5">
        <v>2.2102430417735679</v>
      </c>
      <c r="AF7993">
        <v>1</v>
      </c>
    </row>
    <row r="7994" spans="27:32" x14ac:dyDescent="0.3">
      <c r="AA7994" s="3">
        <v>897.22</v>
      </c>
      <c r="AB7994">
        <v>1E-4</v>
      </c>
      <c r="AC7994">
        <v>8</v>
      </c>
      <c r="AD7994" s="5">
        <v>5.0975204363670592</v>
      </c>
      <c r="AE7994" s="5">
        <v>2.1644328854739903</v>
      </c>
      <c r="AF7994">
        <v>1</v>
      </c>
    </row>
    <row r="7995" spans="27:32" x14ac:dyDescent="0.3">
      <c r="AA7995" s="3">
        <v>31291.24</v>
      </c>
      <c r="AB7995">
        <v>1E-4</v>
      </c>
      <c r="AC7995">
        <v>7</v>
      </c>
      <c r="AD7995" s="5">
        <v>5.102309616153212</v>
      </c>
      <c r="AE7995" s="5">
        <v>2.1396225875199653</v>
      </c>
      <c r="AF7995">
        <v>1</v>
      </c>
    </row>
    <row r="7996" spans="27:32" x14ac:dyDescent="0.3">
      <c r="AA7996" s="3">
        <v>23816.05</v>
      </c>
      <c r="AB7996">
        <v>1E-4</v>
      </c>
      <c r="AC7996">
        <v>8</v>
      </c>
      <c r="AD7996" s="5">
        <v>5.0795384142778204</v>
      </c>
      <c r="AE7996" s="5">
        <v>2.1390184676716526</v>
      </c>
      <c r="AF7996">
        <v>1</v>
      </c>
    </row>
    <row r="7997" spans="27:32" x14ac:dyDescent="0.3">
      <c r="AA7997" s="3">
        <v>1070.4000000000001</v>
      </c>
      <c r="AB7997">
        <v>1E-4</v>
      </c>
      <c r="AC7997">
        <v>8</v>
      </c>
      <c r="AD7997" s="5">
        <v>5.0047017412799972</v>
      </c>
      <c r="AE7997" s="5">
        <v>2.1146786697116764</v>
      </c>
      <c r="AF7997">
        <v>1</v>
      </c>
    </row>
    <row r="7998" spans="27:32" x14ac:dyDescent="0.3">
      <c r="AA7998" s="3">
        <v>45734.59</v>
      </c>
      <c r="AB7998">
        <v>1E-4</v>
      </c>
      <c r="AC7998">
        <v>7</v>
      </c>
      <c r="AD7998" s="5">
        <v>5.0490190614613004</v>
      </c>
      <c r="AE7998" s="5">
        <v>2.1659099721851942</v>
      </c>
      <c r="AF7998">
        <v>1</v>
      </c>
    </row>
    <row r="7999" spans="27:32" x14ac:dyDescent="0.3">
      <c r="AA7999" s="3">
        <v>44693.94</v>
      </c>
      <c r="AB7999">
        <v>1E-4</v>
      </c>
      <c r="AC7999">
        <v>7</v>
      </c>
      <c r="AD7999" s="5">
        <v>5.1461220826495593</v>
      </c>
      <c r="AE7999" s="5">
        <v>2.1198473374412323</v>
      </c>
      <c r="AF7999">
        <v>1</v>
      </c>
    </row>
    <row r="8000" spans="27:32" x14ac:dyDescent="0.3">
      <c r="AA8000" s="3">
        <v>53001.16</v>
      </c>
      <c r="AB8000">
        <v>1E-4</v>
      </c>
      <c r="AC8000">
        <v>6</v>
      </c>
      <c r="AD8000" s="5">
        <v>4.9604614176130317</v>
      </c>
      <c r="AE8000" s="5">
        <v>2.2206885936791858</v>
      </c>
      <c r="AF8000">
        <v>1</v>
      </c>
    </row>
    <row r="8001" spans="27:32" x14ac:dyDescent="0.3">
      <c r="AA8001" s="3">
        <v>-1768.11</v>
      </c>
      <c r="AB8001">
        <v>1E-4</v>
      </c>
      <c r="AC8001">
        <v>9</v>
      </c>
      <c r="AD8001" s="5">
        <v>5.0816844681343012</v>
      </c>
      <c r="AE8001" s="5">
        <v>2.1899764101459103</v>
      </c>
      <c r="AF8001">
        <v>1</v>
      </c>
    </row>
    <row r="8002" spans="27:32" x14ac:dyDescent="0.3">
      <c r="AA8002" s="3">
        <v>3854.8</v>
      </c>
      <c r="AB8002">
        <v>1E-4</v>
      </c>
      <c r="AC8002">
        <v>8</v>
      </c>
      <c r="AD8002" s="5">
        <v>5.0320779265274336</v>
      </c>
      <c r="AE8002" s="5">
        <v>2.2473947266293637</v>
      </c>
      <c r="AF8002">
        <v>1</v>
      </c>
    </row>
    <row r="8003" spans="27:32" x14ac:dyDescent="0.3">
      <c r="AA8003" s="3">
        <v>14552.24</v>
      </c>
      <c r="AB8003">
        <v>1E-4</v>
      </c>
      <c r="AC8003">
        <v>8</v>
      </c>
      <c r="AD8003" s="5">
        <v>5.0410575862173168</v>
      </c>
      <c r="AE8003" s="5">
        <v>2.1988119865821796</v>
      </c>
      <c r="AF8003">
        <v>1</v>
      </c>
    </row>
    <row r="8004" spans="27:32" x14ac:dyDescent="0.3">
      <c r="AA8004" s="3">
        <v>71815.48</v>
      </c>
      <c r="AB8004">
        <v>1E-4</v>
      </c>
      <c r="AC8004">
        <v>5</v>
      </c>
      <c r="AD8004" s="5">
        <v>5.0666251709354446</v>
      </c>
      <c r="AE8004" s="5">
        <v>2.1195093284303383</v>
      </c>
      <c r="AF8004">
        <v>1</v>
      </c>
    </row>
    <row r="8005" spans="27:32" x14ac:dyDescent="0.3">
      <c r="AA8005" s="3">
        <v>53923.03</v>
      </c>
      <c r="AB8005">
        <v>1E-4</v>
      </c>
      <c r="AC8005">
        <v>6</v>
      </c>
      <c r="AD8005" s="5">
        <v>5.1269911444581293</v>
      </c>
      <c r="AE8005" s="5">
        <v>2.1479829870334282</v>
      </c>
      <c r="AF8005">
        <v>1</v>
      </c>
    </row>
    <row r="8006" spans="27:32" x14ac:dyDescent="0.3">
      <c r="AA8006" s="3">
        <v>32667.65</v>
      </c>
      <c r="AB8006">
        <v>1E-4</v>
      </c>
      <c r="AC8006">
        <v>7</v>
      </c>
      <c r="AD8006" s="5">
        <v>5.0627443818676898</v>
      </c>
      <c r="AE8006" s="5">
        <v>2.2852268470231696</v>
      </c>
      <c r="AF8006">
        <v>1</v>
      </c>
    </row>
    <row r="8007" spans="27:32" x14ac:dyDescent="0.3">
      <c r="AA8007" s="3">
        <v>14835.74</v>
      </c>
      <c r="AB8007">
        <v>1E-4</v>
      </c>
      <c r="AC8007">
        <v>8</v>
      </c>
      <c r="AD8007" s="5">
        <v>5.0310879583041324</v>
      </c>
      <c r="AE8007" s="5">
        <v>2.1872859599885195</v>
      </c>
      <c r="AF8007">
        <v>1</v>
      </c>
    </row>
    <row r="8008" spans="27:32" x14ac:dyDescent="0.3">
      <c r="AA8008" s="3">
        <v>10928.01</v>
      </c>
      <c r="AB8008">
        <v>1E-4</v>
      </c>
      <c r="AC8008">
        <v>8</v>
      </c>
      <c r="AD8008" s="5">
        <v>5.0575526678315263</v>
      </c>
      <c r="AE8008" s="5">
        <v>2.2660790814346754</v>
      </c>
      <c r="AF8008">
        <v>1</v>
      </c>
    </row>
    <row r="8009" spans="27:32" x14ac:dyDescent="0.3">
      <c r="AA8009" s="3">
        <v>-13677.013499982464</v>
      </c>
      <c r="AB8009">
        <v>1E-4</v>
      </c>
      <c r="AC8009">
        <v>8</v>
      </c>
      <c r="AD8009" s="5">
        <v>5.0474128150307411</v>
      </c>
      <c r="AE8009" s="5">
        <v>2.2319797335069835</v>
      </c>
      <c r="AF8009">
        <v>0</v>
      </c>
    </row>
    <row r="8010" spans="27:32" x14ac:dyDescent="0.3">
      <c r="AA8010" s="3">
        <v>38307.58</v>
      </c>
      <c r="AB8010">
        <v>1E-4</v>
      </c>
      <c r="AC8010">
        <v>7</v>
      </c>
      <c r="AD8010" s="5">
        <v>5.1835435372536205</v>
      </c>
      <c r="AE8010" s="5">
        <v>2.1155343158493087</v>
      </c>
      <c r="AF8010">
        <v>1</v>
      </c>
    </row>
    <row r="8011" spans="27:32" x14ac:dyDescent="0.3">
      <c r="AA8011" s="3">
        <v>5533.29</v>
      </c>
      <c r="AB8011">
        <v>1E-4</v>
      </c>
      <c r="AC8011">
        <v>8</v>
      </c>
      <c r="AD8011" s="5">
        <v>4.9101006167830032</v>
      </c>
      <c r="AE8011" s="5">
        <v>2.1450959031284231</v>
      </c>
      <c r="AF8011">
        <v>1</v>
      </c>
    </row>
    <row r="8012" spans="27:32" x14ac:dyDescent="0.3">
      <c r="AA8012" s="3">
        <v>-5714.87</v>
      </c>
      <c r="AB8012">
        <v>1E-4</v>
      </c>
      <c r="AC8012">
        <v>9</v>
      </c>
      <c r="AD8012" s="5">
        <v>4.9196596211740076</v>
      </c>
      <c r="AE8012" s="5">
        <v>2.1883980959802805</v>
      </c>
      <c r="AF8012">
        <v>1</v>
      </c>
    </row>
    <row r="8013" spans="27:32" x14ac:dyDescent="0.3">
      <c r="AA8013" s="3">
        <v>25805.61</v>
      </c>
      <c r="AB8013">
        <v>1E-4</v>
      </c>
      <c r="AC8013">
        <v>8</v>
      </c>
      <c r="AD8013" s="5">
        <v>4.9944575207694921</v>
      </c>
      <c r="AE8013" s="5">
        <v>2.1867606903178465</v>
      </c>
      <c r="AF8013">
        <v>1</v>
      </c>
    </row>
    <row r="8014" spans="27:32" x14ac:dyDescent="0.3">
      <c r="AA8014" s="3">
        <v>38050.19</v>
      </c>
      <c r="AB8014">
        <v>1E-4</v>
      </c>
      <c r="AC8014">
        <v>7</v>
      </c>
      <c r="AD8014" s="5">
        <v>5.2560319538086961</v>
      </c>
      <c r="AE8014" s="5">
        <v>2.2427657872749629</v>
      </c>
      <c r="AF8014">
        <v>1</v>
      </c>
    </row>
    <row r="8015" spans="27:32" x14ac:dyDescent="0.3">
      <c r="AA8015" s="3">
        <v>-615.41999999999996</v>
      </c>
      <c r="AB8015">
        <v>1E-4</v>
      </c>
      <c r="AC8015">
        <v>9</v>
      </c>
      <c r="AD8015" s="5">
        <v>4.7426322792029145</v>
      </c>
      <c r="AE8015" s="5">
        <v>2.1529863625414052</v>
      </c>
      <c r="AF8015">
        <v>1</v>
      </c>
    </row>
    <row r="8016" spans="27:32" x14ac:dyDescent="0.3">
      <c r="AA8016" s="3">
        <v>24561.66</v>
      </c>
      <c r="AB8016">
        <v>1E-4</v>
      </c>
      <c r="AC8016">
        <v>8</v>
      </c>
      <c r="AD8016" s="5">
        <v>4.9759976995062898</v>
      </c>
      <c r="AE8016" s="5">
        <v>2.168056899011765</v>
      </c>
      <c r="AF8016">
        <v>1</v>
      </c>
    </row>
    <row r="8017" spans="27:32" x14ac:dyDescent="0.3">
      <c r="AA8017" s="3">
        <v>2914.79</v>
      </c>
      <c r="AB8017">
        <v>1E-4</v>
      </c>
      <c r="AC8017">
        <v>8</v>
      </c>
      <c r="AD8017" s="5">
        <v>4.9050990790759412</v>
      </c>
      <c r="AE8017" s="5">
        <v>2.1748301450126633</v>
      </c>
      <c r="AF8017">
        <v>1</v>
      </c>
    </row>
    <row r="8018" spans="27:32" x14ac:dyDescent="0.3">
      <c r="AA8018" s="3">
        <v>-10371.94</v>
      </c>
      <c r="AB8018">
        <v>1E-4</v>
      </c>
      <c r="AC8018">
        <v>9</v>
      </c>
      <c r="AD8018" s="5">
        <v>5.0062428465257245</v>
      </c>
      <c r="AE8018" s="5">
        <v>2.2413341141023659</v>
      </c>
      <c r="AF8018">
        <v>1</v>
      </c>
    </row>
    <row r="8019" spans="27:32" x14ac:dyDescent="0.3">
      <c r="AA8019" s="3">
        <v>18677.5</v>
      </c>
      <c r="AB8019">
        <v>1E-4</v>
      </c>
      <c r="AC8019">
        <v>8</v>
      </c>
      <c r="AD8019" s="5">
        <v>5.0379061188005894</v>
      </c>
      <c r="AE8019" s="5">
        <v>2.2807447789753978</v>
      </c>
      <c r="AF8019">
        <v>1</v>
      </c>
    </row>
    <row r="8020" spans="27:32" x14ac:dyDescent="0.3">
      <c r="AA8020" s="3">
        <v>21683.79</v>
      </c>
      <c r="AB8020">
        <v>1E-4</v>
      </c>
      <c r="AC8020">
        <v>8</v>
      </c>
      <c r="AD8020" s="5">
        <v>4.9764382957187703</v>
      </c>
      <c r="AE8020" s="5">
        <v>2.1668229352165205</v>
      </c>
      <c r="AF8020">
        <v>1</v>
      </c>
    </row>
    <row r="8021" spans="27:32" x14ac:dyDescent="0.3">
      <c r="AA8021" s="3">
        <v>30698.7</v>
      </c>
      <c r="AB8021">
        <v>1E-4</v>
      </c>
      <c r="AC8021">
        <v>7</v>
      </c>
      <c r="AD8021" s="5">
        <v>4.8969971058591728</v>
      </c>
      <c r="AE8021" s="5">
        <v>2.1767412633671226</v>
      </c>
      <c r="AF8021">
        <v>1</v>
      </c>
    </row>
    <row r="8022" spans="27:32" x14ac:dyDescent="0.3">
      <c r="AA8022" s="3">
        <v>5386.96</v>
      </c>
      <c r="AB8022">
        <v>1E-4</v>
      </c>
      <c r="AC8022">
        <v>8</v>
      </c>
      <c r="AD8022" s="5">
        <v>5.0424044983487741</v>
      </c>
      <c r="AE8022" s="5">
        <v>2.2846319088852138</v>
      </c>
      <c r="AF8022">
        <v>1</v>
      </c>
    </row>
    <row r="8023" spans="27:32" x14ac:dyDescent="0.3">
      <c r="AA8023" s="3">
        <v>-17493.07</v>
      </c>
      <c r="AB8023">
        <v>1E-4</v>
      </c>
      <c r="AC8023">
        <v>9</v>
      </c>
      <c r="AD8023" s="5">
        <v>4.8470041362724476</v>
      </c>
      <c r="AE8023" s="5">
        <v>2.2174360269883659</v>
      </c>
      <c r="AF8023">
        <v>1</v>
      </c>
    </row>
    <row r="8024" spans="27:32" x14ac:dyDescent="0.3">
      <c r="AA8024" s="3">
        <v>-11766.27</v>
      </c>
      <c r="AB8024">
        <v>1E-4</v>
      </c>
      <c r="AC8024">
        <v>9</v>
      </c>
      <c r="AD8024" s="5">
        <v>4.7578102535040809</v>
      </c>
      <c r="AE8024" s="5">
        <v>2.2341326006275648</v>
      </c>
      <c r="AF8024">
        <v>1</v>
      </c>
    </row>
    <row r="8025" spans="27:32" x14ac:dyDescent="0.3">
      <c r="AA8025" s="3">
        <v>41074.81</v>
      </c>
      <c r="AB8025">
        <v>1E-4</v>
      </c>
      <c r="AC8025">
        <v>7</v>
      </c>
      <c r="AD8025" s="5">
        <v>5.0414594394613115</v>
      </c>
      <c r="AE8025" s="5">
        <v>2.1447168792107001</v>
      </c>
      <c r="AF8025">
        <v>1</v>
      </c>
    </row>
    <row r="8026" spans="27:32" x14ac:dyDescent="0.3">
      <c r="AA8026" s="3">
        <v>-22211.85</v>
      </c>
      <c r="AB8026">
        <v>1E-4</v>
      </c>
      <c r="AC8026">
        <v>9</v>
      </c>
      <c r="AD8026" s="5">
        <v>5.1593150106080108</v>
      </c>
      <c r="AE8026" s="5">
        <v>2.2075881197826348</v>
      </c>
      <c r="AF8026">
        <v>1</v>
      </c>
    </row>
    <row r="8027" spans="27:32" x14ac:dyDescent="0.3">
      <c r="AA8027" s="3">
        <v>1011.69</v>
      </c>
      <c r="AB8027">
        <v>1E-4</v>
      </c>
      <c r="AC8027">
        <v>8</v>
      </c>
      <c r="AD8027" s="5">
        <v>5.0509540168103202</v>
      </c>
      <c r="AE8027" s="5">
        <v>2.2711428676575438</v>
      </c>
      <c r="AF8027">
        <v>1</v>
      </c>
    </row>
    <row r="8028" spans="27:32" x14ac:dyDescent="0.3">
      <c r="AA8028" s="3">
        <v>10202.67</v>
      </c>
      <c r="AB8028">
        <v>1E-4</v>
      </c>
      <c r="AC8028">
        <v>8</v>
      </c>
      <c r="AD8028" s="5">
        <v>4.9711097925250423</v>
      </c>
      <c r="AE8028" s="5">
        <v>2.063254019215663</v>
      </c>
      <c r="AF8028">
        <v>1</v>
      </c>
    </row>
    <row r="8029" spans="27:32" x14ac:dyDescent="0.3">
      <c r="AA8029" s="3">
        <v>4057.23</v>
      </c>
      <c r="AB8029">
        <v>1E-4</v>
      </c>
      <c r="AC8029">
        <v>8</v>
      </c>
      <c r="AD8029" s="5">
        <v>4.9579446848788704</v>
      </c>
      <c r="AE8029" s="5">
        <v>2.2418566815077017</v>
      </c>
      <c r="AF8029">
        <v>1</v>
      </c>
    </row>
    <row r="8030" spans="27:32" x14ac:dyDescent="0.3">
      <c r="AA8030" s="3">
        <v>31756.03</v>
      </c>
      <c r="AB8030">
        <v>1E-4</v>
      </c>
      <c r="AC8030">
        <v>7</v>
      </c>
      <c r="AD8030" s="5">
        <v>5.0552606666437532</v>
      </c>
      <c r="AE8030" s="5">
        <v>2.2056155119525767</v>
      </c>
      <c r="AF8030">
        <v>1</v>
      </c>
    </row>
    <row r="8031" spans="27:32" x14ac:dyDescent="0.3">
      <c r="AA8031" s="3">
        <v>34397.58</v>
      </c>
      <c r="AB8031">
        <v>1E-4</v>
      </c>
      <c r="AC8031">
        <v>7</v>
      </c>
      <c r="AD8031" s="5">
        <v>5.0849602439285189</v>
      </c>
      <c r="AE8031" s="5">
        <v>2.1636829163691473</v>
      </c>
      <c r="AF8031">
        <v>1</v>
      </c>
    </row>
    <row r="8032" spans="27:32" x14ac:dyDescent="0.3">
      <c r="AA8032" s="3">
        <v>39247.440000000002</v>
      </c>
      <c r="AB8032">
        <v>1E-4</v>
      </c>
      <c r="AC8032">
        <v>7</v>
      </c>
      <c r="AD8032" s="5">
        <v>5.0427616644801283</v>
      </c>
      <c r="AE8032" s="5">
        <v>2.2135260621827566</v>
      </c>
      <c r="AF8032">
        <v>1</v>
      </c>
    </row>
    <row r="8033" spans="27:32" x14ac:dyDescent="0.3">
      <c r="AA8033" s="3">
        <v>-27674.29</v>
      </c>
      <c r="AB8033">
        <v>1E-4</v>
      </c>
      <c r="AC8033">
        <v>9</v>
      </c>
      <c r="AD8033" s="5">
        <v>4.7524256422375597</v>
      </c>
      <c r="AE8033" s="5">
        <v>2.2297126459225565</v>
      </c>
      <c r="AF8033">
        <v>1</v>
      </c>
    </row>
    <row r="8034" spans="27:32" x14ac:dyDescent="0.3">
      <c r="AA8034" s="3">
        <v>11145.36</v>
      </c>
      <c r="AB8034">
        <v>1E-4</v>
      </c>
      <c r="AC8034">
        <v>8</v>
      </c>
      <c r="AD8034" s="5">
        <v>4.8068399983859242</v>
      </c>
      <c r="AE8034" s="5">
        <v>2.2644015285245769</v>
      </c>
      <c r="AF8034">
        <v>1</v>
      </c>
    </row>
    <row r="8035" spans="27:32" x14ac:dyDescent="0.3">
      <c r="AA8035" s="3">
        <v>20603.77</v>
      </c>
      <c r="AB8035">
        <v>1E-4</v>
      </c>
      <c r="AC8035">
        <v>8</v>
      </c>
      <c r="AD8035" s="5">
        <v>5.0263640305221164</v>
      </c>
      <c r="AE8035" s="5">
        <v>2.1778774462099739</v>
      </c>
      <c r="AF8035">
        <v>1</v>
      </c>
    </row>
    <row r="8036" spans="27:32" x14ac:dyDescent="0.3">
      <c r="AA8036" s="3">
        <v>-21191.189355520066</v>
      </c>
      <c r="AB8036">
        <v>1E-4</v>
      </c>
      <c r="AC8036">
        <v>9</v>
      </c>
      <c r="AD8036" s="5">
        <v>5.0143560542824108</v>
      </c>
      <c r="AE8036" s="5">
        <v>2.1978268892033412</v>
      </c>
      <c r="AF8036">
        <v>0</v>
      </c>
    </row>
    <row r="8037" spans="27:32" x14ac:dyDescent="0.3">
      <c r="AA8037" s="3">
        <v>40077.83</v>
      </c>
      <c r="AB8037">
        <v>1E-4</v>
      </c>
      <c r="AC8037">
        <v>7</v>
      </c>
      <c r="AD8037" s="5">
        <v>5.2200918102489577</v>
      </c>
      <c r="AE8037" s="5">
        <v>2.1873056840757159</v>
      </c>
      <c r="AF8037">
        <v>1</v>
      </c>
    </row>
    <row r="8038" spans="27:32" x14ac:dyDescent="0.3">
      <c r="AA8038" s="3">
        <v>35067.26</v>
      </c>
      <c r="AB8038">
        <v>1E-4</v>
      </c>
      <c r="AC8038">
        <v>7</v>
      </c>
      <c r="AD8038" s="5">
        <v>5.1008267513569301</v>
      </c>
      <c r="AE8038" s="5">
        <v>2.2456242906159676</v>
      </c>
      <c r="AF8038">
        <v>1</v>
      </c>
    </row>
    <row r="8039" spans="27:32" x14ac:dyDescent="0.3">
      <c r="AA8039" s="3">
        <v>-1608.04</v>
      </c>
      <c r="AB8039">
        <v>1E-4</v>
      </c>
      <c r="AC8039">
        <v>9</v>
      </c>
      <c r="AD8039" s="5">
        <v>4.9123720145275058</v>
      </c>
      <c r="AE8039" s="5">
        <v>2.1736542787377031</v>
      </c>
      <c r="AF8039">
        <v>1</v>
      </c>
    </row>
    <row r="8040" spans="27:32" x14ac:dyDescent="0.3">
      <c r="AA8040" s="3">
        <v>3622.74</v>
      </c>
      <c r="AB8040">
        <v>1E-4</v>
      </c>
      <c r="AC8040">
        <v>8</v>
      </c>
      <c r="AD8040" s="5">
        <v>4.9608296040689179</v>
      </c>
      <c r="AE8040" s="5">
        <v>2.2088510557520085</v>
      </c>
      <c r="AF8040">
        <v>1</v>
      </c>
    </row>
    <row r="8041" spans="27:32" x14ac:dyDescent="0.3">
      <c r="AA8041" s="3">
        <v>34580.35</v>
      </c>
      <c r="AB8041">
        <v>1E-4</v>
      </c>
      <c r="AC8041">
        <v>7</v>
      </c>
      <c r="AD8041" s="5">
        <v>5.044226215165466</v>
      </c>
      <c r="AE8041" s="5">
        <v>2.1755372120361414</v>
      </c>
      <c r="AF8041">
        <v>1</v>
      </c>
    </row>
    <row r="8042" spans="27:32" x14ac:dyDescent="0.3">
      <c r="AA8042" s="3">
        <v>41558.33</v>
      </c>
      <c r="AB8042">
        <v>1E-4</v>
      </c>
      <c r="AC8042">
        <v>7</v>
      </c>
      <c r="AD8042" s="5">
        <v>4.9828798285352702</v>
      </c>
      <c r="AE8042" s="5">
        <v>2.1702743256835575</v>
      </c>
      <c r="AF8042">
        <v>1</v>
      </c>
    </row>
    <row r="8043" spans="27:32" x14ac:dyDescent="0.3">
      <c r="AA8043" s="3">
        <v>-32874.160908018268</v>
      </c>
      <c r="AB8043">
        <v>1E-4</v>
      </c>
      <c r="AC8043">
        <v>9</v>
      </c>
      <c r="AD8043" s="5">
        <v>4.9695238060279063</v>
      </c>
      <c r="AE8043" s="5">
        <v>2.2272313000659425</v>
      </c>
      <c r="AF8043">
        <v>0</v>
      </c>
    </row>
    <row r="8044" spans="27:32" x14ac:dyDescent="0.3">
      <c r="AA8044" s="3">
        <v>7862.53</v>
      </c>
      <c r="AB8044">
        <v>1E-4</v>
      </c>
      <c r="AC8044">
        <v>8</v>
      </c>
      <c r="AD8044" s="5">
        <v>5.0047819622378533</v>
      </c>
      <c r="AE8044" s="5">
        <v>2.1075428408756403</v>
      </c>
      <c r="AF8044">
        <v>1</v>
      </c>
    </row>
    <row r="8045" spans="27:32" x14ac:dyDescent="0.3">
      <c r="AA8045" s="3">
        <v>12578.86</v>
      </c>
      <c r="AB8045">
        <v>1E-4</v>
      </c>
      <c r="AC8045">
        <v>8</v>
      </c>
      <c r="AD8045" s="5">
        <v>5.0994504656965498</v>
      </c>
      <c r="AE8045" s="5">
        <v>2.2290917912658932</v>
      </c>
      <c r="AF8045">
        <v>1</v>
      </c>
    </row>
    <row r="8046" spans="27:32" x14ac:dyDescent="0.3">
      <c r="AA8046" s="3">
        <v>40972.32</v>
      </c>
      <c r="AB8046">
        <v>1E-4</v>
      </c>
      <c r="AC8046">
        <v>7</v>
      </c>
      <c r="AD8046" s="5">
        <v>4.9811432647366418</v>
      </c>
      <c r="AE8046" s="5">
        <v>2.2681619981537571</v>
      </c>
      <c r="AF8046">
        <v>1</v>
      </c>
    </row>
    <row r="8047" spans="27:32" x14ac:dyDescent="0.3">
      <c r="AA8047" s="3">
        <v>-6348.39</v>
      </c>
      <c r="AB8047">
        <v>1E-4</v>
      </c>
      <c r="AC8047">
        <v>9</v>
      </c>
      <c r="AD8047" s="5">
        <v>4.8696492896804813</v>
      </c>
      <c r="AE8047" s="5">
        <v>2.21545395700729</v>
      </c>
      <c r="AF8047">
        <v>1</v>
      </c>
    </row>
    <row r="8048" spans="27:32" x14ac:dyDescent="0.3">
      <c r="AA8048" s="3">
        <v>9116.89</v>
      </c>
      <c r="AB8048">
        <v>1E-4</v>
      </c>
      <c r="AC8048">
        <v>8</v>
      </c>
      <c r="AD8048" s="5">
        <v>4.9610755897921859</v>
      </c>
      <c r="AE8048" s="5">
        <v>2.2231982856121846</v>
      </c>
      <c r="AF8048">
        <v>1</v>
      </c>
    </row>
    <row r="8049" spans="27:32" x14ac:dyDescent="0.3">
      <c r="AA8049" s="3">
        <v>6134.1</v>
      </c>
      <c r="AB8049">
        <v>1E-4</v>
      </c>
      <c r="AC8049">
        <v>8</v>
      </c>
      <c r="AD8049" s="5">
        <v>5.0687323378086484</v>
      </c>
      <c r="AE8049" s="5">
        <v>2.1304423020322893</v>
      </c>
      <c r="AF8049">
        <v>1</v>
      </c>
    </row>
    <row r="8050" spans="27:32" x14ac:dyDescent="0.3">
      <c r="AA8050" s="3">
        <v>15970.62</v>
      </c>
      <c r="AB8050">
        <v>1E-4</v>
      </c>
      <c r="AC8050">
        <v>8</v>
      </c>
      <c r="AD8050" s="5">
        <v>4.8387980911651569</v>
      </c>
      <c r="AE8050" s="5">
        <v>2.1906749852347178</v>
      </c>
      <c r="AF8050">
        <v>1</v>
      </c>
    </row>
    <row r="8051" spans="27:32" x14ac:dyDescent="0.3">
      <c r="AA8051" s="3">
        <v>35268.58</v>
      </c>
      <c r="AB8051">
        <v>1E-4</v>
      </c>
      <c r="AC8051">
        <v>7</v>
      </c>
      <c r="AD8051" s="5">
        <v>5.058340050516466</v>
      </c>
      <c r="AE8051" s="5">
        <v>2.1877977568600251</v>
      </c>
      <c r="AF8051">
        <v>1</v>
      </c>
    </row>
    <row r="8052" spans="27:32" x14ac:dyDescent="0.3">
      <c r="AA8052" s="3">
        <v>20567.830000000002</v>
      </c>
      <c r="AB8052">
        <v>1E-4</v>
      </c>
      <c r="AC8052">
        <v>8</v>
      </c>
      <c r="AD8052" s="5">
        <v>4.975110271811336</v>
      </c>
      <c r="AE8052" s="5">
        <v>2.2605055219624193</v>
      </c>
      <c r="AF8052">
        <v>1</v>
      </c>
    </row>
    <row r="8053" spans="27:32" x14ac:dyDescent="0.3">
      <c r="AA8053" s="3">
        <v>33576.129999999997</v>
      </c>
      <c r="AB8053">
        <v>1E-4</v>
      </c>
      <c r="AC8053">
        <v>7</v>
      </c>
      <c r="AD8053" s="5">
        <v>5.0384882684731371</v>
      </c>
      <c r="AE8053" s="5">
        <v>2.1059376158936107</v>
      </c>
      <c r="AF8053">
        <v>1</v>
      </c>
    </row>
    <row r="8054" spans="27:32" x14ac:dyDescent="0.3">
      <c r="AA8054" s="3">
        <v>-9205.0400000000009</v>
      </c>
      <c r="AB8054">
        <v>1E-4</v>
      </c>
      <c r="AC8054">
        <v>9</v>
      </c>
      <c r="AD8054" s="5">
        <v>4.9829640296240276</v>
      </c>
      <c r="AE8054" s="5">
        <v>2.2146622757056416</v>
      </c>
      <c r="AF8054">
        <v>1</v>
      </c>
    </row>
    <row r="8055" spans="27:32" x14ac:dyDescent="0.3">
      <c r="AA8055" s="3">
        <v>37045.74</v>
      </c>
      <c r="AB8055">
        <v>1E-4</v>
      </c>
      <c r="AC8055">
        <v>7</v>
      </c>
      <c r="AD8055" s="5">
        <v>5.2244067386862447</v>
      </c>
      <c r="AE8055" s="5">
        <v>2.186837486057216</v>
      </c>
      <c r="AF8055">
        <v>1</v>
      </c>
    </row>
    <row r="8056" spans="27:32" x14ac:dyDescent="0.3">
      <c r="AA8056" s="3">
        <v>6005.08</v>
      </c>
      <c r="AB8056">
        <v>1E-4</v>
      </c>
      <c r="AC8056">
        <v>8</v>
      </c>
      <c r="AD8056" s="5">
        <v>4.8524201566706058</v>
      </c>
      <c r="AE8056" s="5">
        <v>2.1891560365820917</v>
      </c>
      <c r="AF8056">
        <v>1</v>
      </c>
    </row>
    <row r="8057" spans="27:32" x14ac:dyDescent="0.3">
      <c r="AA8057" s="3">
        <v>14742.76</v>
      </c>
      <c r="AB8057">
        <v>1E-4</v>
      </c>
      <c r="AC8057">
        <v>8</v>
      </c>
      <c r="AD8057" s="5">
        <v>5.0212682303753668</v>
      </c>
      <c r="AE8057" s="5">
        <v>2.2348411938040975</v>
      </c>
      <c r="AF8057">
        <v>1</v>
      </c>
    </row>
    <row r="8058" spans="27:32" x14ac:dyDescent="0.3">
      <c r="AA8058" s="3">
        <v>13791.55</v>
      </c>
      <c r="AB8058">
        <v>1E-4</v>
      </c>
      <c r="AC8058">
        <v>8</v>
      </c>
      <c r="AD8058" s="5">
        <v>5.1719994420699438</v>
      </c>
      <c r="AE8058" s="5">
        <v>2.1962747281468258</v>
      </c>
      <c r="AF8058">
        <v>1</v>
      </c>
    </row>
    <row r="8059" spans="27:32" x14ac:dyDescent="0.3">
      <c r="AA8059" s="3">
        <v>17498.009999999998</v>
      </c>
      <c r="AB8059">
        <v>1E-4</v>
      </c>
      <c r="AC8059">
        <v>8</v>
      </c>
      <c r="AD8059" s="5">
        <v>4.9522672952732254</v>
      </c>
      <c r="AE8059" s="5">
        <v>2.1926300449763194</v>
      </c>
      <c r="AF8059">
        <v>1</v>
      </c>
    </row>
    <row r="8060" spans="27:32" x14ac:dyDescent="0.3">
      <c r="AA8060" s="3">
        <v>19868.05</v>
      </c>
      <c r="AB8060">
        <v>1E-4</v>
      </c>
      <c r="AC8060">
        <v>8</v>
      </c>
      <c r="AD8060" s="5">
        <v>4.8375067351500407</v>
      </c>
      <c r="AE8060" s="5">
        <v>2.2404322744068326</v>
      </c>
      <c r="AF8060">
        <v>1</v>
      </c>
    </row>
    <row r="8061" spans="27:32" x14ac:dyDescent="0.3">
      <c r="AA8061" s="3">
        <v>39014.54</v>
      </c>
      <c r="AB8061">
        <v>1E-4</v>
      </c>
      <c r="AC8061">
        <v>7</v>
      </c>
      <c r="AD8061" s="5">
        <v>5.1888844146032485</v>
      </c>
      <c r="AE8061" s="5">
        <v>2.1721611530629028</v>
      </c>
      <c r="AF8061">
        <v>1</v>
      </c>
    </row>
    <row r="8062" spans="27:32" x14ac:dyDescent="0.3">
      <c r="AA8062" s="3">
        <v>23149.03</v>
      </c>
      <c r="AB8062">
        <v>1E-4</v>
      </c>
      <c r="AC8062">
        <v>8</v>
      </c>
      <c r="AD8062" s="5">
        <v>5.0496910524837615</v>
      </c>
      <c r="AE8062" s="5">
        <v>2.2550105745370108</v>
      </c>
      <c r="AF8062">
        <v>1</v>
      </c>
    </row>
    <row r="8063" spans="27:32" x14ac:dyDescent="0.3">
      <c r="AA8063" s="3">
        <v>24025.9</v>
      </c>
      <c r="AB8063">
        <v>1E-4</v>
      </c>
      <c r="AC8063">
        <v>8</v>
      </c>
      <c r="AD8063" s="5">
        <v>5.0414858803366007</v>
      </c>
      <c r="AE8063" s="5">
        <v>2.2661629301992243</v>
      </c>
      <c r="AF8063">
        <v>1</v>
      </c>
    </row>
    <row r="8064" spans="27:32" x14ac:dyDescent="0.3">
      <c r="AA8064" s="3">
        <v>3177.25</v>
      </c>
      <c r="AB8064">
        <v>1E-4</v>
      </c>
      <c r="AC8064">
        <v>8</v>
      </c>
      <c r="AD8064" s="5">
        <v>4.837515856586089</v>
      </c>
      <c r="AE8064" s="5">
        <v>2.1346520239898594</v>
      </c>
      <c r="AF8064">
        <v>1</v>
      </c>
    </row>
    <row r="8065" spans="27:32" x14ac:dyDescent="0.3">
      <c r="AA8065" s="3">
        <v>-30732.075729505035</v>
      </c>
      <c r="AB8065">
        <v>1E-4</v>
      </c>
      <c r="AC8065">
        <v>9</v>
      </c>
      <c r="AD8065" s="5">
        <v>4.7723464725584908</v>
      </c>
      <c r="AE8065" s="5">
        <v>2.2230018304513104</v>
      </c>
      <c r="AF8065">
        <v>0</v>
      </c>
    </row>
    <row r="8066" spans="27:32" x14ac:dyDescent="0.3">
      <c r="AA8066" s="3">
        <v>21976.45</v>
      </c>
      <c r="AB8066">
        <v>1E-4</v>
      </c>
      <c r="AC8066">
        <v>8</v>
      </c>
      <c r="AD8066" s="5">
        <v>5.0259230121141458</v>
      </c>
      <c r="AE8066" s="5">
        <v>2.273739702483673</v>
      </c>
      <c r="AF8066">
        <v>1</v>
      </c>
    </row>
    <row r="8067" spans="27:32" x14ac:dyDescent="0.3">
      <c r="AA8067" s="3">
        <v>38241.32</v>
      </c>
      <c r="AB8067">
        <v>1E-4</v>
      </c>
      <c r="AC8067">
        <v>7</v>
      </c>
      <c r="AD8067" s="5">
        <v>5.0622666357872239</v>
      </c>
      <c r="AE8067" s="5">
        <v>2.2014119869563542</v>
      </c>
      <c r="AF8067">
        <v>1</v>
      </c>
    </row>
    <row r="8068" spans="27:32" x14ac:dyDescent="0.3">
      <c r="AA8068" s="3">
        <v>45605.3</v>
      </c>
      <c r="AB8068">
        <v>1E-4</v>
      </c>
      <c r="AC8068">
        <v>7</v>
      </c>
      <c r="AD8068" s="5">
        <v>4.9682680767496992</v>
      </c>
      <c r="AE8068" s="5">
        <v>2.1180518674428988</v>
      </c>
      <c r="AF8068">
        <v>1</v>
      </c>
    </row>
    <row r="8069" spans="27:32" x14ac:dyDescent="0.3">
      <c r="AA8069" s="3">
        <v>-522.15</v>
      </c>
      <c r="AB8069">
        <v>1E-4</v>
      </c>
      <c r="AC8069">
        <v>9</v>
      </c>
      <c r="AD8069" s="5">
        <v>5.1046880137817183</v>
      </c>
      <c r="AE8069" s="5">
        <v>2.1698907070117732</v>
      </c>
      <c r="AF8069">
        <v>1</v>
      </c>
    </row>
    <row r="8070" spans="27:32" x14ac:dyDescent="0.3">
      <c r="AA8070" s="3">
        <v>22260.57</v>
      </c>
      <c r="AB8070">
        <v>1E-4</v>
      </c>
      <c r="AC8070">
        <v>8</v>
      </c>
      <c r="AD8070" s="5">
        <v>5.0380073382901749</v>
      </c>
      <c r="AE8070" s="5">
        <v>2.1836163478910224</v>
      </c>
      <c r="AF8070">
        <v>1</v>
      </c>
    </row>
    <row r="8071" spans="27:32" x14ac:dyDescent="0.3">
      <c r="AA8071" s="3">
        <v>-1869.97</v>
      </c>
      <c r="AB8071">
        <v>1E-4</v>
      </c>
      <c r="AC8071">
        <v>9</v>
      </c>
      <c r="AD8071" s="5">
        <v>4.9510194016755946</v>
      </c>
      <c r="AE8071" s="5">
        <v>2.1649445597769574</v>
      </c>
      <c r="AF8071">
        <v>1</v>
      </c>
    </row>
    <row r="8072" spans="27:32" x14ac:dyDescent="0.3">
      <c r="AA8072" s="3">
        <v>4508.62</v>
      </c>
      <c r="AB8072">
        <v>1E-4</v>
      </c>
      <c r="AC8072">
        <v>8</v>
      </c>
      <c r="AD8072" s="5">
        <v>4.9962645997835926</v>
      </c>
      <c r="AE8072" s="5">
        <v>2.2053957884714075</v>
      </c>
      <c r="AF8072">
        <v>1</v>
      </c>
    </row>
    <row r="8073" spans="27:32" x14ac:dyDescent="0.3">
      <c r="AA8073" s="3">
        <v>30512.12</v>
      </c>
      <c r="AB8073">
        <v>1E-4</v>
      </c>
      <c r="AC8073">
        <v>7</v>
      </c>
      <c r="AD8073" s="5">
        <v>4.9877245440488558</v>
      </c>
      <c r="AE8073" s="5">
        <v>2.1541196909981921</v>
      </c>
      <c r="AF8073">
        <v>1</v>
      </c>
    </row>
    <row r="8074" spans="27:32" x14ac:dyDescent="0.3">
      <c r="AA8074" s="3">
        <v>27520.89</v>
      </c>
      <c r="AB8074">
        <v>1E-4</v>
      </c>
      <c r="AC8074">
        <v>7</v>
      </c>
      <c r="AD8074" s="5">
        <v>5.0354622887275955</v>
      </c>
      <c r="AE8074" s="5">
        <v>2.198261620230054</v>
      </c>
      <c r="AF8074">
        <v>1</v>
      </c>
    </row>
    <row r="8075" spans="27:32" x14ac:dyDescent="0.3">
      <c r="AA8075" s="3">
        <v>25929.16</v>
      </c>
      <c r="AB8075">
        <v>1E-4</v>
      </c>
      <c r="AC8075">
        <v>8</v>
      </c>
      <c r="AD8075" s="5">
        <v>5.0056390380519655</v>
      </c>
      <c r="AE8075" s="5">
        <v>2.1247597674062528</v>
      </c>
      <c r="AF8075">
        <v>1</v>
      </c>
    </row>
    <row r="8076" spans="27:32" x14ac:dyDescent="0.3">
      <c r="AA8076" s="3">
        <v>-5986.65</v>
      </c>
      <c r="AB8076">
        <v>1E-4</v>
      </c>
      <c r="AC8076">
        <v>9</v>
      </c>
      <c r="AD8076" s="5">
        <v>4.8993215632967342</v>
      </c>
      <c r="AE8076" s="5">
        <v>2.1789216768151762</v>
      </c>
      <c r="AF8076">
        <v>1</v>
      </c>
    </row>
    <row r="8077" spans="27:32" x14ac:dyDescent="0.3">
      <c r="AA8077" s="3">
        <v>16546.32</v>
      </c>
      <c r="AB8077">
        <v>1E-4</v>
      </c>
      <c r="AC8077">
        <v>8</v>
      </c>
      <c r="AD8077" s="5">
        <v>5.0603924207230495</v>
      </c>
      <c r="AE8077" s="5">
        <v>2.2006160647810007</v>
      </c>
      <c r="AF8077">
        <v>1</v>
      </c>
    </row>
    <row r="8078" spans="27:32" x14ac:dyDescent="0.3">
      <c r="AA8078" s="3">
        <v>-6329.02</v>
      </c>
      <c r="AB8078">
        <v>1E-4</v>
      </c>
      <c r="AC8078">
        <v>9</v>
      </c>
      <c r="AD8078" s="5">
        <v>4.9832973141489028</v>
      </c>
      <c r="AE8078" s="5">
        <v>2.2543273283631891</v>
      </c>
      <c r="AF8078">
        <v>1</v>
      </c>
    </row>
    <row r="8079" spans="27:32" x14ac:dyDescent="0.3">
      <c r="AA8079" s="3">
        <v>-2468.14</v>
      </c>
      <c r="AB8079">
        <v>1E-4</v>
      </c>
      <c r="AC8079">
        <v>9</v>
      </c>
      <c r="AD8079" s="5">
        <v>4.8782022233099251</v>
      </c>
      <c r="AE8079" s="5">
        <v>2.1703011576658975</v>
      </c>
      <c r="AF8079">
        <v>1</v>
      </c>
    </row>
    <row r="8080" spans="27:32" x14ac:dyDescent="0.3">
      <c r="AA8080" s="3">
        <v>26329.360000000001</v>
      </c>
      <c r="AB8080">
        <v>1E-4</v>
      </c>
      <c r="AC8080">
        <v>8</v>
      </c>
      <c r="AD8080" s="5">
        <v>5.0401882789001444</v>
      </c>
      <c r="AE8080" s="5">
        <v>2.2078676473874963</v>
      </c>
      <c r="AF8080">
        <v>1</v>
      </c>
    </row>
    <row r="8081" spans="27:32" x14ac:dyDescent="0.3">
      <c r="AA8081" s="3">
        <v>36971.43</v>
      </c>
      <c r="AB8081">
        <v>1E-4</v>
      </c>
      <c r="AC8081">
        <v>7</v>
      </c>
      <c r="AD8081" s="5">
        <v>5.0683971908732257</v>
      </c>
      <c r="AE8081" s="5">
        <v>2.2809660459358265</v>
      </c>
      <c r="AF8081">
        <v>1</v>
      </c>
    </row>
    <row r="8082" spans="27:32" x14ac:dyDescent="0.3">
      <c r="AA8082" s="3">
        <v>11814.11</v>
      </c>
      <c r="AB8082">
        <v>1E-4</v>
      </c>
      <c r="AC8082">
        <v>8</v>
      </c>
      <c r="AD8082" s="5">
        <v>5.1885556063968234</v>
      </c>
      <c r="AE8082" s="5">
        <v>2.1785264374454694</v>
      </c>
      <c r="AF8082">
        <v>1</v>
      </c>
    </row>
    <row r="8083" spans="27:32" x14ac:dyDescent="0.3">
      <c r="AA8083" s="3">
        <v>7181.6</v>
      </c>
      <c r="AB8083">
        <v>1E-4</v>
      </c>
      <c r="AC8083">
        <v>8</v>
      </c>
      <c r="AD8083" s="5">
        <v>5.135472633422836</v>
      </c>
      <c r="AE8083" s="5">
        <v>2.2483951952310779</v>
      </c>
      <c r="AF8083">
        <v>1</v>
      </c>
    </row>
    <row r="8084" spans="27:32" x14ac:dyDescent="0.3">
      <c r="AA8084" s="3">
        <v>10622.02</v>
      </c>
      <c r="AB8084">
        <v>1E-4</v>
      </c>
      <c r="AC8084">
        <v>8</v>
      </c>
      <c r="AD8084" s="5">
        <v>4.9890713594620211</v>
      </c>
      <c r="AE8084" s="5">
        <v>2.1539049548067917</v>
      </c>
      <c r="AF8084">
        <v>1</v>
      </c>
    </row>
    <row r="8085" spans="27:32" x14ac:dyDescent="0.3">
      <c r="AA8085" s="3">
        <v>13854.92</v>
      </c>
      <c r="AB8085">
        <v>1E-4</v>
      </c>
      <c r="AC8085">
        <v>8</v>
      </c>
      <c r="AD8085" s="5">
        <v>4.9669590012496538</v>
      </c>
      <c r="AE8085" s="5">
        <v>2.1736642474489192</v>
      </c>
      <c r="AF8085">
        <v>1</v>
      </c>
    </row>
    <row r="8086" spans="27:32" x14ac:dyDescent="0.3">
      <c r="AA8086" s="3">
        <v>28705.35</v>
      </c>
      <c r="AB8086">
        <v>1E-4</v>
      </c>
      <c r="AC8086">
        <v>8</v>
      </c>
      <c r="AD8086" s="5">
        <v>5.0047632802857125</v>
      </c>
      <c r="AE8086" s="5">
        <v>2.211348520025691</v>
      </c>
      <c r="AF8086">
        <v>1</v>
      </c>
    </row>
    <row r="8087" spans="27:32" x14ac:dyDescent="0.3">
      <c r="AA8087" s="3">
        <v>-13017.28</v>
      </c>
      <c r="AB8087">
        <v>1E-4</v>
      </c>
      <c r="AC8087">
        <v>9</v>
      </c>
      <c r="AD8087" s="5">
        <v>4.9080800301158733</v>
      </c>
      <c r="AE8087" s="5">
        <v>2.254961604958289</v>
      </c>
      <c r="AF8087">
        <v>1</v>
      </c>
    </row>
    <row r="8088" spans="27:32" x14ac:dyDescent="0.3">
      <c r="AA8088" s="3">
        <v>10204.98</v>
      </c>
      <c r="AB8088">
        <v>1E-4</v>
      </c>
      <c r="AC8088">
        <v>8</v>
      </c>
      <c r="AD8088" s="5">
        <v>5.0325882967092506</v>
      </c>
      <c r="AE8088" s="5">
        <v>2.2783045063463767</v>
      </c>
      <c r="AF8088">
        <v>1</v>
      </c>
    </row>
    <row r="8089" spans="27:32" x14ac:dyDescent="0.3">
      <c r="AA8089" s="3">
        <v>-13219.76</v>
      </c>
      <c r="AB8089">
        <v>1E-4</v>
      </c>
      <c r="AC8089">
        <v>9</v>
      </c>
      <c r="AD8089" s="5">
        <v>4.9943756279385276</v>
      </c>
      <c r="AE8089" s="5">
        <v>2.2547422784398683</v>
      </c>
      <c r="AF8089">
        <v>1</v>
      </c>
    </row>
    <row r="8090" spans="27:32" x14ac:dyDescent="0.3">
      <c r="AA8090" s="3">
        <v>33359.9</v>
      </c>
      <c r="AB8090">
        <v>1E-4</v>
      </c>
      <c r="AC8090">
        <v>7</v>
      </c>
      <c r="AD8090" s="5">
        <v>5.1482089661998129</v>
      </c>
      <c r="AE8090" s="5">
        <v>2.13934280725617</v>
      </c>
      <c r="AF8090">
        <v>1</v>
      </c>
    </row>
    <row r="8091" spans="27:32" x14ac:dyDescent="0.3">
      <c r="AA8091" s="3">
        <v>-11094.17</v>
      </c>
      <c r="AB8091">
        <v>1E-4</v>
      </c>
      <c r="AC8091">
        <v>9</v>
      </c>
      <c r="AD8091" s="5">
        <v>4.9727160131168091</v>
      </c>
      <c r="AE8091" s="5">
        <v>2.19297929064841</v>
      </c>
      <c r="AF8091">
        <v>1</v>
      </c>
    </row>
    <row r="8092" spans="27:32" x14ac:dyDescent="0.3">
      <c r="AA8092" s="3">
        <v>14316.76</v>
      </c>
      <c r="AB8092">
        <v>1E-4</v>
      </c>
      <c r="AC8092">
        <v>8</v>
      </c>
      <c r="AD8092" s="5">
        <v>5.0908345810619666</v>
      </c>
      <c r="AE8092" s="5">
        <v>2.1481940149741185</v>
      </c>
      <c r="AF8092">
        <v>1</v>
      </c>
    </row>
    <row r="8093" spans="27:32" x14ac:dyDescent="0.3">
      <c r="AA8093" s="3">
        <v>29469.68</v>
      </c>
      <c r="AB8093">
        <v>1E-4</v>
      </c>
      <c r="AC8093">
        <v>8</v>
      </c>
      <c r="AD8093" s="5">
        <v>5.0606877464750326</v>
      </c>
      <c r="AE8093" s="5">
        <v>2.2357417741422725</v>
      </c>
      <c r="AF8093">
        <v>1</v>
      </c>
    </row>
    <row r="8094" spans="27:32" x14ac:dyDescent="0.3">
      <c r="AA8094" s="3">
        <v>13328.26</v>
      </c>
      <c r="AB8094">
        <v>1E-4</v>
      </c>
      <c r="AC8094">
        <v>8</v>
      </c>
      <c r="AD8094" s="5">
        <v>5.0299595345331412</v>
      </c>
      <c r="AE8094" s="5">
        <v>2.2335677326608585</v>
      </c>
      <c r="AF8094">
        <v>1</v>
      </c>
    </row>
    <row r="8095" spans="27:32" x14ac:dyDescent="0.3">
      <c r="AA8095" s="3">
        <v>48537.31</v>
      </c>
      <c r="AB8095">
        <v>1E-4</v>
      </c>
      <c r="AC8095">
        <v>7</v>
      </c>
      <c r="AD8095" s="5">
        <v>5.0834367652498473</v>
      </c>
      <c r="AE8095" s="5">
        <v>2.1595301596064673</v>
      </c>
      <c r="AF8095">
        <v>1</v>
      </c>
    </row>
    <row r="8096" spans="27:32" x14ac:dyDescent="0.3">
      <c r="AA8096" s="3">
        <v>-23341.66652651902</v>
      </c>
      <c r="AB8096">
        <v>1E-4</v>
      </c>
      <c r="AC8096">
        <v>9</v>
      </c>
      <c r="AD8096" s="5">
        <v>5.013877376611668</v>
      </c>
      <c r="AE8096" s="5">
        <v>2.2153246961267166</v>
      </c>
      <c r="AF8096">
        <v>0</v>
      </c>
    </row>
    <row r="8097" spans="27:32" x14ac:dyDescent="0.3">
      <c r="AA8097" s="3">
        <v>40053.72</v>
      </c>
      <c r="AB8097">
        <v>1E-4</v>
      </c>
      <c r="AC8097">
        <v>7</v>
      </c>
      <c r="AD8097" s="5">
        <v>5.0442090872715095</v>
      </c>
      <c r="AE8097" s="5">
        <v>2.1340230081352543</v>
      </c>
      <c r="AF8097">
        <v>1</v>
      </c>
    </row>
    <row r="8098" spans="27:32" x14ac:dyDescent="0.3">
      <c r="AA8098" s="3">
        <v>17739.54</v>
      </c>
      <c r="AB8098">
        <v>1E-4</v>
      </c>
      <c r="AC8098">
        <v>8</v>
      </c>
      <c r="AD8098" s="5">
        <v>5.0234110198487647</v>
      </c>
      <c r="AE8098" s="5">
        <v>2.1651832371449617</v>
      </c>
      <c r="AF8098">
        <v>1</v>
      </c>
    </row>
    <row r="8099" spans="27:32" x14ac:dyDescent="0.3">
      <c r="AA8099" s="3">
        <v>20785.88</v>
      </c>
      <c r="AB8099">
        <v>1E-4</v>
      </c>
      <c r="AC8099">
        <v>8</v>
      </c>
      <c r="AD8099" s="5">
        <v>5.0184521437462033</v>
      </c>
      <c r="AE8099" s="5">
        <v>2.0762830818217202</v>
      </c>
      <c r="AF8099">
        <v>1</v>
      </c>
    </row>
    <row r="8100" spans="27:32" x14ac:dyDescent="0.3">
      <c r="AA8100" s="3">
        <v>24305.75</v>
      </c>
      <c r="AB8100">
        <v>1E-4</v>
      </c>
      <c r="AC8100">
        <v>8</v>
      </c>
      <c r="AD8100" s="5">
        <v>5.1101350805333556</v>
      </c>
      <c r="AE8100" s="5">
        <v>2.1773936276515671</v>
      </c>
      <c r="AF8100">
        <v>1</v>
      </c>
    </row>
    <row r="8101" spans="27:32" x14ac:dyDescent="0.3">
      <c r="AA8101" s="3">
        <v>-1198.92</v>
      </c>
      <c r="AB8101">
        <v>1E-4</v>
      </c>
      <c r="AC8101">
        <v>9</v>
      </c>
      <c r="AD8101" s="5">
        <v>5.0693598739741983</v>
      </c>
      <c r="AE8101" s="5">
        <v>2.2651033880562936</v>
      </c>
      <c r="AF8101">
        <v>1</v>
      </c>
    </row>
    <row r="8102" spans="27:32" x14ac:dyDescent="0.3">
      <c r="AA8102" s="3">
        <v>112.32</v>
      </c>
      <c r="AB8102">
        <v>1E-4</v>
      </c>
      <c r="AC8102">
        <v>8</v>
      </c>
      <c r="AD8102" s="5">
        <v>4.9961454957426499</v>
      </c>
      <c r="AE8102" s="5">
        <v>2.2090250505877749</v>
      </c>
      <c r="AF8102">
        <v>1</v>
      </c>
    </row>
    <row r="8103" spans="27:32" x14ac:dyDescent="0.3">
      <c r="AA8103" s="3">
        <v>35481.43</v>
      </c>
      <c r="AB8103">
        <v>1E-4</v>
      </c>
      <c r="AC8103">
        <v>7</v>
      </c>
      <c r="AD8103" s="5">
        <v>4.9513180603844544</v>
      </c>
      <c r="AE8103" s="5">
        <v>2.2032229925613889</v>
      </c>
      <c r="AF8103">
        <v>1</v>
      </c>
    </row>
    <row r="8104" spans="27:32" x14ac:dyDescent="0.3">
      <c r="AA8104" s="3">
        <v>4797.5600000000004</v>
      </c>
      <c r="AB8104">
        <v>1E-4</v>
      </c>
      <c r="AC8104">
        <v>8</v>
      </c>
      <c r="AD8104" s="5">
        <v>5.043618250325582</v>
      </c>
      <c r="AE8104" s="5">
        <v>2.1640491929194305</v>
      </c>
      <c r="AF8104">
        <v>1</v>
      </c>
    </row>
    <row r="8105" spans="27:32" x14ac:dyDescent="0.3">
      <c r="AA8105" s="3">
        <v>33892.620000000003</v>
      </c>
      <c r="AB8105">
        <v>1E-4</v>
      </c>
      <c r="AC8105">
        <v>7</v>
      </c>
      <c r="AD8105" s="5">
        <v>4.9269667089189442</v>
      </c>
      <c r="AE8105" s="5">
        <v>2.1652040500164129</v>
      </c>
      <c r="AF8105">
        <v>1</v>
      </c>
    </row>
    <row r="8106" spans="27:32" x14ac:dyDescent="0.3">
      <c r="AA8106" s="3">
        <v>39487.26</v>
      </c>
      <c r="AB8106">
        <v>1E-4</v>
      </c>
      <c r="AC8106">
        <v>7</v>
      </c>
      <c r="AD8106" s="5">
        <v>5.0434668857270442</v>
      </c>
      <c r="AE8106" s="5">
        <v>2.1446646270887308</v>
      </c>
      <c r="AF8106">
        <v>1</v>
      </c>
    </row>
    <row r="8107" spans="27:32" x14ac:dyDescent="0.3">
      <c r="AA8107" s="3">
        <v>14445.14</v>
      </c>
      <c r="AB8107">
        <v>1E-4</v>
      </c>
      <c r="AC8107">
        <v>8</v>
      </c>
      <c r="AD8107" s="5">
        <v>4.9700221283104637</v>
      </c>
      <c r="AE8107" s="5">
        <v>2.2310217331897868</v>
      </c>
      <c r="AF8107">
        <v>1</v>
      </c>
    </row>
    <row r="8108" spans="27:32" x14ac:dyDescent="0.3">
      <c r="AA8108" s="3">
        <v>33379.199999999997</v>
      </c>
      <c r="AB8108">
        <v>1E-4</v>
      </c>
      <c r="AC8108">
        <v>7</v>
      </c>
      <c r="AD8108" s="5">
        <v>4.9319913961073603</v>
      </c>
      <c r="AE8108" s="5">
        <v>2.1598403043092702</v>
      </c>
      <c r="AF8108">
        <v>1</v>
      </c>
    </row>
    <row r="8109" spans="27:32" x14ac:dyDescent="0.3">
      <c r="AA8109" s="3">
        <v>41755.47</v>
      </c>
      <c r="AB8109">
        <v>1E-4</v>
      </c>
      <c r="AC8109">
        <v>7</v>
      </c>
      <c r="AD8109" s="5">
        <v>5.1125359065319582</v>
      </c>
      <c r="AE8109" s="5">
        <v>2.1799388766593579</v>
      </c>
      <c r="AF8109">
        <v>1</v>
      </c>
    </row>
    <row r="8110" spans="27:32" x14ac:dyDescent="0.3">
      <c r="AA8110" s="3">
        <v>42952.09</v>
      </c>
      <c r="AB8110">
        <v>1E-4</v>
      </c>
      <c r="AC8110">
        <v>7</v>
      </c>
      <c r="AD8110" s="5">
        <v>5.1720235263372611</v>
      </c>
      <c r="AE8110" s="5">
        <v>2.1271399441088601</v>
      </c>
      <c r="AF8110">
        <v>1</v>
      </c>
    </row>
    <row r="8111" spans="27:32" x14ac:dyDescent="0.3">
      <c r="AA8111" s="3">
        <v>-36260.54081493229</v>
      </c>
      <c r="AB8111">
        <v>1E-4</v>
      </c>
      <c r="AC8111">
        <v>9</v>
      </c>
      <c r="AD8111" s="5">
        <v>4.9858346861554761</v>
      </c>
      <c r="AE8111" s="5">
        <v>2.2128059184446238</v>
      </c>
      <c r="AF8111">
        <v>0</v>
      </c>
    </row>
    <row r="8112" spans="27:32" x14ac:dyDescent="0.3">
      <c r="AA8112" s="3">
        <v>5077.3</v>
      </c>
      <c r="AB8112">
        <v>1E-4</v>
      </c>
      <c r="AC8112">
        <v>8</v>
      </c>
      <c r="AD8112" s="5">
        <v>4.9733930155411166</v>
      </c>
      <c r="AE8112" s="5">
        <v>2.2329945826106359</v>
      </c>
      <c r="AF8112">
        <v>1</v>
      </c>
    </row>
    <row r="8113" spans="27:32" x14ac:dyDescent="0.3">
      <c r="AA8113" s="3">
        <v>17820.88</v>
      </c>
      <c r="AB8113">
        <v>1E-4</v>
      </c>
      <c r="AC8113">
        <v>8</v>
      </c>
      <c r="AD8113" s="5">
        <v>5.0052862571596171</v>
      </c>
      <c r="AE8113" s="5">
        <v>2.2035716711160163</v>
      </c>
      <c r="AF8113">
        <v>1</v>
      </c>
    </row>
    <row r="8114" spans="27:32" x14ac:dyDescent="0.3">
      <c r="AA8114" s="3">
        <v>18619.87</v>
      </c>
      <c r="AB8114">
        <v>1E-4</v>
      </c>
      <c r="AC8114">
        <v>8</v>
      </c>
      <c r="AD8114" s="5">
        <v>4.9971732834776903</v>
      </c>
      <c r="AE8114" s="5">
        <v>2.2007776868060525</v>
      </c>
      <c r="AF8114">
        <v>1</v>
      </c>
    </row>
    <row r="8115" spans="27:32" x14ac:dyDescent="0.3">
      <c r="AA8115" s="3">
        <v>15641.52</v>
      </c>
      <c r="AB8115">
        <v>1E-4</v>
      </c>
      <c r="AC8115">
        <v>8</v>
      </c>
      <c r="AD8115" s="5">
        <v>5.064215783170213</v>
      </c>
      <c r="AE8115" s="5">
        <v>2.1708110278282575</v>
      </c>
      <c r="AF8115">
        <v>1</v>
      </c>
    </row>
    <row r="8116" spans="27:32" x14ac:dyDescent="0.3">
      <c r="AA8116" s="3">
        <v>-4806.37</v>
      </c>
      <c r="AB8116">
        <v>1E-4</v>
      </c>
      <c r="AC8116">
        <v>9</v>
      </c>
      <c r="AD8116" s="5">
        <v>5.0470151369191996</v>
      </c>
      <c r="AE8116" s="5">
        <v>2.1879616868817449</v>
      </c>
      <c r="AF8116">
        <v>1</v>
      </c>
    </row>
    <row r="8117" spans="27:32" x14ac:dyDescent="0.3">
      <c r="AA8117" s="3">
        <v>37003.14</v>
      </c>
      <c r="AB8117">
        <v>1E-4</v>
      </c>
      <c r="AC8117">
        <v>7</v>
      </c>
      <c r="AD8117" s="5">
        <v>4.8383610962766159</v>
      </c>
      <c r="AE8117" s="5">
        <v>2.0748016546307597</v>
      </c>
      <c r="AF8117">
        <v>1</v>
      </c>
    </row>
    <row r="8118" spans="27:32" x14ac:dyDescent="0.3">
      <c r="AA8118" s="3">
        <v>4224.6099999999997</v>
      </c>
      <c r="AB8118">
        <v>1E-4</v>
      </c>
      <c r="AC8118">
        <v>8</v>
      </c>
      <c r="AD8118" s="5">
        <v>5.0037421123729953</v>
      </c>
      <c r="AE8118" s="5">
        <v>2.1670469329424558</v>
      </c>
      <c r="AF8118">
        <v>1</v>
      </c>
    </row>
    <row r="8119" spans="27:32" x14ac:dyDescent="0.3">
      <c r="AA8119" s="3">
        <v>-2962.49</v>
      </c>
      <c r="AB8119">
        <v>1E-4</v>
      </c>
      <c r="AC8119">
        <v>9</v>
      </c>
      <c r="AD8119" s="5">
        <v>4.8937194520036815</v>
      </c>
      <c r="AE8119" s="5">
        <v>2.1816656502000136</v>
      </c>
      <c r="AF8119">
        <v>1</v>
      </c>
    </row>
    <row r="8120" spans="27:32" x14ac:dyDescent="0.3">
      <c r="AA8120" s="3">
        <v>21800.98</v>
      </c>
      <c r="AB8120">
        <v>1E-4</v>
      </c>
      <c r="AC8120">
        <v>8</v>
      </c>
      <c r="AD8120" s="5">
        <v>5.0266603177261215</v>
      </c>
      <c r="AE8120" s="5">
        <v>2.2469955872765679</v>
      </c>
      <c r="AF8120">
        <v>1</v>
      </c>
    </row>
    <row r="8121" spans="27:32" x14ac:dyDescent="0.3">
      <c r="AA8121" s="3">
        <v>14820.22</v>
      </c>
      <c r="AB8121">
        <v>1E-4</v>
      </c>
      <c r="AC8121">
        <v>8</v>
      </c>
      <c r="AD8121" s="5">
        <v>4.7479337530558352</v>
      </c>
      <c r="AE8121" s="5">
        <v>2.1422676351799952</v>
      </c>
      <c r="AF8121">
        <v>1</v>
      </c>
    </row>
    <row r="8122" spans="27:32" x14ac:dyDescent="0.3">
      <c r="AA8122" s="3">
        <v>-8576.26</v>
      </c>
      <c r="AB8122">
        <v>1E-4</v>
      </c>
      <c r="AC8122">
        <v>9</v>
      </c>
      <c r="AD8122" s="5">
        <v>4.9591242907072957</v>
      </c>
      <c r="AE8122" s="5">
        <v>2.2398804699291412</v>
      </c>
      <c r="AF8122">
        <v>1</v>
      </c>
    </row>
    <row r="8123" spans="27:32" x14ac:dyDescent="0.3">
      <c r="AA8123" s="3">
        <v>1059.81</v>
      </c>
      <c r="AB8123">
        <v>1E-4</v>
      </c>
      <c r="AC8123">
        <v>8</v>
      </c>
      <c r="AD8123" s="5">
        <v>4.8276168903952819</v>
      </c>
      <c r="AE8123" s="5">
        <v>2.1830168322242747</v>
      </c>
      <c r="AF8123">
        <v>1</v>
      </c>
    </row>
    <row r="8124" spans="27:32" x14ac:dyDescent="0.3">
      <c r="AA8124" s="3">
        <v>11177.68</v>
      </c>
      <c r="AB8124">
        <v>1E-4</v>
      </c>
      <c r="AC8124">
        <v>8</v>
      </c>
      <c r="AD8124" s="5">
        <v>5.2723658812026457</v>
      </c>
      <c r="AE8124" s="5">
        <v>2.2403645459739834</v>
      </c>
      <c r="AF8124">
        <v>1</v>
      </c>
    </row>
    <row r="8125" spans="27:32" x14ac:dyDescent="0.3">
      <c r="AA8125" s="3">
        <v>24599.32</v>
      </c>
      <c r="AB8125">
        <v>1E-4</v>
      </c>
      <c r="AC8125">
        <v>8</v>
      </c>
      <c r="AD8125" s="5">
        <v>4.9366754540762745</v>
      </c>
      <c r="AE8125" s="5">
        <v>2.1827559899033693</v>
      </c>
      <c r="AF8125">
        <v>1</v>
      </c>
    </row>
    <row r="8126" spans="27:32" x14ac:dyDescent="0.3">
      <c r="AA8126" s="3">
        <v>-14221.29</v>
      </c>
      <c r="AB8126">
        <v>1E-4</v>
      </c>
      <c r="AC8126">
        <v>9</v>
      </c>
      <c r="AD8126" s="5">
        <v>4.9478898355998124</v>
      </c>
      <c r="AE8126" s="5">
        <v>2.2558729042339709</v>
      </c>
      <c r="AF8126">
        <v>1</v>
      </c>
    </row>
    <row r="8127" spans="27:32" x14ac:dyDescent="0.3">
      <c r="AA8127" s="3">
        <v>33321.160000000003</v>
      </c>
      <c r="AB8127">
        <v>1E-4</v>
      </c>
      <c r="AC8127">
        <v>7</v>
      </c>
      <c r="AD8127" s="5">
        <v>4.910670230895839</v>
      </c>
      <c r="AE8127" s="5">
        <v>2.172885217010557</v>
      </c>
      <c r="AF8127">
        <v>1</v>
      </c>
    </row>
    <row r="8128" spans="27:32" x14ac:dyDescent="0.3">
      <c r="AA8128" s="3">
        <v>5215.01</v>
      </c>
      <c r="AB8128">
        <v>1E-4</v>
      </c>
      <c r="AC8128">
        <v>8</v>
      </c>
      <c r="AD8128" s="5">
        <v>4.9717889156086219</v>
      </c>
      <c r="AE8128" s="5">
        <v>2.215550877975581</v>
      </c>
      <c r="AF8128">
        <v>1</v>
      </c>
    </row>
    <row r="8129" spans="27:32" x14ac:dyDescent="0.3">
      <c r="AA8129" s="3">
        <v>27497.29</v>
      </c>
      <c r="AB8129">
        <v>1E-4</v>
      </c>
      <c r="AC8129">
        <v>8</v>
      </c>
      <c r="AD8129" s="5">
        <v>5.1217968936551159</v>
      </c>
      <c r="AE8129" s="5">
        <v>2.1624295247021905</v>
      </c>
      <c r="AF8129">
        <v>1</v>
      </c>
    </row>
    <row r="8130" spans="27:32" x14ac:dyDescent="0.3">
      <c r="AA8130" s="3">
        <v>-9586.9431679389691</v>
      </c>
      <c r="AB8130">
        <v>1E-4</v>
      </c>
      <c r="AC8130">
        <v>8</v>
      </c>
      <c r="AD8130" s="5">
        <v>4.9307026617930685</v>
      </c>
      <c r="AE8130" s="5">
        <v>2.2302461713843362</v>
      </c>
      <c r="AF8130">
        <v>0</v>
      </c>
    </row>
    <row r="8131" spans="27:32" x14ac:dyDescent="0.3">
      <c r="AA8131" s="3">
        <v>-7188.56</v>
      </c>
      <c r="AB8131">
        <v>1E-4</v>
      </c>
      <c r="AC8131">
        <v>9</v>
      </c>
      <c r="AD8131" s="5">
        <v>4.8750132779382174</v>
      </c>
      <c r="AE8131" s="5">
        <v>2.1941051990690443</v>
      </c>
      <c r="AF8131">
        <v>1</v>
      </c>
    </row>
    <row r="8132" spans="27:32" x14ac:dyDescent="0.3">
      <c r="AA8132" s="3">
        <v>47730.02</v>
      </c>
      <c r="AB8132">
        <v>1E-4</v>
      </c>
      <c r="AC8132">
        <v>7</v>
      </c>
      <c r="AD8132" s="5">
        <v>5.1044730808858576</v>
      </c>
      <c r="AE8132" s="5">
        <v>2.1387427766680185</v>
      </c>
      <c r="AF8132">
        <v>1</v>
      </c>
    </row>
    <row r="8133" spans="27:32" x14ac:dyDescent="0.3">
      <c r="AA8133" s="3">
        <v>206.55</v>
      </c>
      <c r="AB8133">
        <v>1E-4</v>
      </c>
      <c r="AC8133">
        <v>8</v>
      </c>
      <c r="AD8133" s="5">
        <v>4.8322788195216191</v>
      </c>
      <c r="AE8133" s="5">
        <v>2.1560622178619622</v>
      </c>
      <c r="AF8133">
        <v>1</v>
      </c>
    </row>
    <row r="8134" spans="27:32" x14ac:dyDescent="0.3">
      <c r="AA8134" s="3">
        <v>10519.85</v>
      </c>
      <c r="AB8134">
        <v>1E-4</v>
      </c>
      <c r="AC8134">
        <v>8</v>
      </c>
      <c r="AD8134" s="5">
        <v>4.8142393230023428</v>
      </c>
      <c r="AE8134" s="5">
        <v>2.2244695060318587</v>
      </c>
      <c r="AF8134">
        <v>1</v>
      </c>
    </row>
    <row r="8135" spans="27:32" x14ac:dyDescent="0.3">
      <c r="AA8135" s="3">
        <v>25390.58</v>
      </c>
      <c r="AB8135">
        <v>1E-4</v>
      </c>
      <c r="AC8135">
        <v>8</v>
      </c>
      <c r="AD8135" s="5">
        <v>4.9826819372402058</v>
      </c>
      <c r="AE8135" s="5">
        <v>2.2028056645141247</v>
      </c>
      <c r="AF8135">
        <v>1</v>
      </c>
    </row>
    <row r="8136" spans="27:32" x14ac:dyDescent="0.3">
      <c r="AA8136" s="3">
        <v>30449.200000000001</v>
      </c>
      <c r="AB8136">
        <v>1E-4</v>
      </c>
      <c r="AC8136">
        <v>7</v>
      </c>
      <c r="AD8136" s="5">
        <v>4.9223650893086139</v>
      </c>
      <c r="AE8136" s="5">
        <v>2.1185720253829046</v>
      </c>
      <c r="AF8136">
        <v>1</v>
      </c>
    </row>
    <row r="8137" spans="27:32" x14ac:dyDescent="0.3">
      <c r="AA8137" s="3">
        <v>21736.95</v>
      </c>
      <c r="AB8137">
        <v>1E-4</v>
      </c>
      <c r="AC8137">
        <v>8</v>
      </c>
      <c r="AD8137" s="5">
        <v>5.054728421992297</v>
      </c>
      <c r="AE8137" s="5">
        <v>2.2259709433531576</v>
      </c>
      <c r="AF8137">
        <v>1</v>
      </c>
    </row>
    <row r="8138" spans="27:32" x14ac:dyDescent="0.3">
      <c r="AA8138" s="3">
        <v>15645.42</v>
      </c>
      <c r="AB8138">
        <v>1E-4</v>
      </c>
      <c r="AC8138">
        <v>8</v>
      </c>
      <c r="AD8138" s="5">
        <v>4.9187646571468866</v>
      </c>
      <c r="AE8138" s="5">
        <v>2.2362281837175861</v>
      </c>
      <c r="AF8138">
        <v>1</v>
      </c>
    </row>
    <row r="8139" spans="27:32" x14ac:dyDescent="0.3">
      <c r="AA8139" s="3">
        <v>743.16</v>
      </c>
      <c r="AB8139">
        <v>1E-4</v>
      </c>
      <c r="AC8139">
        <v>8</v>
      </c>
      <c r="AD8139" s="5">
        <v>5.1589410643193192</v>
      </c>
      <c r="AE8139" s="5">
        <v>2.2261509823983499</v>
      </c>
      <c r="AF8139">
        <v>1</v>
      </c>
    </row>
    <row r="8140" spans="27:32" x14ac:dyDescent="0.3">
      <c r="AA8140" s="3">
        <v>29034.93</v>
      </c>
      <c r="AB8140">
        <v>1E-4</v>
      </c>
      <c r="AC8140">
        <v>8</v>
      </c>
      <c r="AD8140" s="5">
        <v>4.9900853303115325</v>
      </c>
      <c r="AE8140" s="5">
        <v>2.2222332791751636</v>
      </c>
      <c r="AF8140">
        <v>1</v>
      </c>
    </row>
    <row r="8141" spans="27:32" x14ac:dyDescent="0.3">
      <c r="AA8141" s="3">
        <v>-6639.09</v>
      </c>
      <c r="AB8141">
        <v>1E-4</v>
      </c>
      <c r="AC8141">
        <v>9</v>
      </c>
      <c r="AD8141" s="5">
        <v>4.985167319412084</v>
      </c>
      <c r="AE8141" s="5">
        <v>2.2622148726861138</v>
      </c>
      <c r="AF8141">
        <v>1</v>
      </c>
    </row>
    <row r="8142" spans="27:32" x14ac:dyDescent="0.3">
      <c r="AA8142" s="3">
        <v>-6915.91</v>
      </c>
      <c r="AB8142">
        <v>1E-4</v>
      </c>
      <c r="AC8142">
        <v>9</v>
      </c>
      <c r="AD8142" s="5">
        <v>4.8799271599723264</v>
      </c>
      <c r="AE8142" s="5">
        <v>2.2083004547073077</v>
      </c>
      <c r="AF8142">
        <v>1</v>
      </c>
    </row>
    <row r="8143" spans="27:32" x14ac:dyDescent="0.3">
      <c r="AA8143" s="3">
        <v>39025.449999999997</v>
      </c>
      <c r="AB8143">
        <v>1E-4</v>
      </c>
      <c r="AC8143">
        <v>7</v>
      </c>
      <c r="AD8143" s="5">
        <v>5.0852422270432527</v>
      </c>
      <c r="AE8143" s="5">
        <v>2.1218416610458495</v>
      </c>
      <c r="AF8143">
        <v>1</v>
      </c>
    </row>
    <row r="8144" spans="27:32" x14ac:dyDescent="0.3">
      <c r="AA8144" s="3">
        <v>27245.99</v>
      </c>
      <c r="AB8144">
        <v>1E-4</v>
      </c>
      <c r="AC8144">
        <v>8</v>
      </c>
      <c r="AD8144" s="5">
        <v>5.0021497612359163</v>
      </c>
      <c r="AE8144" s="5">
        <v>2.1436954182901631</v>
      </c>
      <c r="AF8144">
        <v>1</v>
      </c>
    </row>
    <row r="8145" spans="27:32" x14ac:dyDescent="0.3">
      <c r="AA8145" s="3">
        <v>9223.08</v>
      </c>
      <c r="AB8145">
        <v>1E-4</v>
      </c>
      <c r="AC8145">
        <v>8</v>
      </c>
      <c r="AD8145" s="5">
        <v>4.8383900535069415</v>
      </c>
      <c r="AE8145" s="5">
        <v>2.277435922438638</v>
      </c>
      <c r="AF8145">
        <v>1</v>
      </c>
    </row>
    <row r="8146" spans="27:32" x14ac:dyDescent="0.3">
      <c r="AA8146" s="3">
        <v>8204.4500000000007</v>
      </c>
      <c r="AB8146">
        <v>1E-4</v>
      </c>
      <c r="AC8146">
        <v>8</v>
      </c>
      <c r="AD8146" s="5">
        <v>4.8735580240582417</v>
      </c>
      <c r="AE8146" s="5">
        <v>2.2344925276829337</v>
      </c>
      <c r="AF8146">
        <v>1</v>
      </c>
    </row>
    <row r="8147" spans="27:32" x14ac:dyDescent="0.3">
      <c r="AA8147" s="3">
        <v>29782.06</v>
      </c>
      <c r="AB8147">
        <v>1E-4</v>
      </c>
      <c r="AC8147">
        <v>7</v>
      </c>
      <c r="AD8147" s="5">
        <v>4.9752020369025853</v>
      </c>
      <c r="AE8147" s="5">
        <v>2.244506095483497</v>
      </c>
      <c r="AF8147">
        <v>1</v>
      </c>
    </row>
    <row r="8148" spans="27:32" x14ac:dyDescent="0.3">
      <c r="AA8148" s="3">
        <v>5685.94</v>
      </c>
      <c r="AB8148">
        <v>1E-4</v>
      </c>
      <c r="AC8148">
        <v>8</v>
      </c>
      <c r="AD8148" s="5">
        <v>4.8774288975269808</v>
      </c>
      <c r="AE8148" s="5">
        <v>2.2567970926307335</v>
      </c>
      <c r="AF8148">
        <v>1</v>
      </c>
    </row>
    <row r="8149" spans="27:32" x14ac:dyDescent="0.3">
      <c r="AA8149" s="3">
        <v>23967.35</v>
      </c>
      <c r="AB8149">
        <v>1E-4</v>
      </c>
      <c r="AC8149">
        <v>8</v>
      </c>
      <c r="AD8149" s="5">
        <v>4.8555006060525043</v>
      </c>
      <c r="AE8149" s="5">
        <v>2.1620741442864357</v>
      </c>
      <c r="AF8149">
        <v>1</v>
      </c>
    </row>
    <row r="8150" spans="27:32" x14ac:dyDescent="0.3">
      <c r="AA8150" s="3">
        <v>18235.150000000001</v>
      </c>
      <c r="AB8150">
        <v>1E-4</v>
      </c>
      <c r="AC8150">
        <v>8</v>
      </c>
      <c r="AD8150" s="5">
        <v>5.0051361088342112</v>
      </c>
      <c r="AE8150" s="5">
        <v>2.1865329895081298</v>
      </c>
      <c r="AF8150">
        <v>1</v>
      </c>
    </row>
    <row r="8151" spans="27:32" x14ac:dyDescent="0.3">
      <c r="AA8151" s="3">
        <v>10295.6</v>
      </c>
      <c r="AB8151">
        <v>1E-4</v>
      </c>
      <c r="AC8151">
        <v>8</v>
      </c>
      <c r="AD8151" s="5">
        <v>4.9753827666386954</v>
      </c>
      <c r="AE8151" s="5">
        <v>2.1912584280884899</v>
      </c>
      <c r="AF8151">
        <v>1</v>
      </c>
    </row>
    <row r="8152" spans="27:32" x14ac:dyDescent="0.3">
      <c r="AA8152" s="3">
        <v>40582.050000000003</v>
      </c>
      <c r="AB8152">
        <v>1E-4</v>
      </c>
      <c r="AC8152">
        <v>7</v>
      </c>
      <c r="AD8152" s="5">
        <v>4.9753347720012808</v>
      </c>
      <c r="AE8152" s="5">
        <v>2.1072089831927632</v>
      </c>
      <c r="AF8152">
        <v>1</v>
      </c>
    </row>
    <row r="8153" spans="27:32" x14ac:dyDescent="0.3">
      <c r="AA8153" s="3">
        <v>13666.28</v>
      </c>
      <c r="AB8153">
        <v>1E-4</v>
      </c>
      <c r="AC8153">
        <v>8</v>
      </c>
      <c r="AD8153" s="5">
        <v>4.9574935602490875</v>
      </c>
      <c r="AE8153" s="5">
        <v>2.1534515728017376</v>
      </c>
      <c r="AF8153">
        <v>1</v>
      </c>
    </row>
    <row r="8154" spans="27:32" x14ac:dyDescent="0.3">
      <c r="AA8154" s="3">
        <v>47883.29</v>
      </c>
      <c r="AB8154">
        <v>1E-4</v>
      </c>
      <c r="AC8154">
        <v>7</v>
      </c>
      <c r="AD8154" s="5">
        <v>5.1187374880765883</v>
      </c>
      <c r="AE8154" s="5">
        <v>2.1588939940363678</v>
      </c>
      <c r="AF8154">
        <v>1</v>
      </c>
    </row>
    <row r="8155" spans="27:32" x14ac:dyDescent="0.3">
      <c r="AA8155" s="3">
        <v>23751.439999999999</v>
      </c>
      <c r="AB8155">
        <v>1E-4</v>
      </c>
      <c r="AC8155">
        <v>8</v>
      </c>
      <c r="AD8155" s="5">
        <v>4.9196989161168139</v>
      </c>
      <c r="AE8155" s="5">
        <v>2.1355189364670997</v>
      </c>
      <c r="AF8155">
        <v>1</v>
      </c>
    </row>
    <row r="8156" spans="27:32" x14ac:dyDescent="0.3">
      <c r="AA8156" s="3">
        <v>10263.5</v>
      </c>
      <c r="AB8156">
        <v>1E-4</v>
      </c>
      <c r="AC8156">
        <v>8</v>
      </c>
      <c r="AD8156" s="5">
        <v>4.8541439139578921</v>
      </c>
      <c r="AE8156" s="5">
        <v>2.0939615674742327</v>
      </c>
      <c r="AF8156">
        <v>1</v>
      </c>
    </row>
    <row r="8157" spans="27:32" x14ac:dyDescent="0.3">
      <c r="AA8157" s="3">
        <v>5149.3500000000004</v>
      </c>
      <c r="AB8157">
        <v>1E-4</v>
      </c>
      <c r="AC8157">
        <v>8</v>
      </c>
      <c r="AD8157" s="5">
        <v>4.8597973877621818</v>
      </c>
      <c r="AE8157" s="5">
        <v>2.1742974118927574</v>
      </c>
      <c r="AF8157">
        <v>1</v>
      </c>
    </row>
    <row r="8158" spans="27:32" x14ac:dyDescent="0.3">
      <c r="AA8158" s="3">
        <v>27095.53</v>
      </c>
      <c r="AB8158">
        <v>1E-4</v>
      </c>
      <c r="AC8158">
        <v>8</v>
      </c>
      <c r="AD8158" s="5">
        <v>4.9171272813365094</v>
      </c>
      <c r="AE8158" s="5">
        <v>2.2504398986906153</v>
      </c>
      <c r="AF8158">
        <v>1</v>
      </c>
    </row>
    <row r="8159" spans="27:32" x14ac:dyDescent="0.3">
      <c r="AA8159" s="3">
        <v>18316.96</v>
      </c>
      <c r="AB8159">
        <v>1E-4</v>
      </c>
      <c r="AC8159">
        <v>8</v>
      </c>
      <c r="AD8159" s="5">
        <v>4.9824833979068108</v>
      </c>
      <c r="AE8159" s="5">
        <v>2.1256154102740648</v>
      </c>
      <c r="AF8159">
        <v>1</v>
      </c>
    </row>
    <row r="8160" spans="27:32" x14ac:dyDescent="0.3">
      <c r="AA8160" s="3">
        <v>28240.58</v>
      </c>
      <c r="AB8160">
        <v>1E-4</v>
      </c>
      <c r="AC8160">
        <v>8</v>
      </c>
      <c r="AD8160" s="5">
        <v>5.1608545638262155</v>
      </c>
      <c r="AE8160" s="5">
        <v>2.1260948180601202</v>
      </c>
      <c r="AF8160">
        <v>1</v>
      </c>
    </row>
    <row r="8161" spans="27:32" x14ac:dyDescent="0.3">
      <c r="AA8161" s="3">
        <v>12775.38</v>
      </c>
      <c r="AB8161">
        <v>1E-4</v>
      </c>
      <c r="AC8161">
        <v>8</v>
      </c>
      <c r="AD8161" s="5">
        <v>4.9652821723220528</v>
      </c>
      <c r="AE8161" s="5">
        <v>2.2152339321773589</v>
      </c>
      <c r="AF8161">
        <v>1</v>
      </c>
    </row>
    <row r="8162" spans="27:32" x14ac:dyDescent="0.3">
      <c r="AA8162" s="3">
        <v>23656.799999999999</v>
      </c>
      <c r="AB8162">
        <v>1E-4</v>
      </c>
      <c r="AC8162">
        <v>8</v>
      </c>
      <c r="AD8162" s="5">
        <v>5.0798009244653146</v>
      </c>
      <c r="AE8162" s="5">
        <v>2.1952634112040732</v>
      </c>
      <c r="AF8162">
        <v>1</v>
      </c>
    </row>
    <row r="8163" spans="27:32" x14ac:dyDescent="0.3">
      <c r="AA8163" s="3">
        <v>38908</v>
      </c>
      <c r="AB8163">
        <v>1E-4</v>
      </c>
      <c r="AC8163">
        <v>7</v>
      </c>
      <c r="AD8163" s="5">
        <v>5.0604593960460154</v>
      </c>
      <c r="AE8163" s="5">
        <v>2.2286070319199696</v>
      </c>
      <c r="AF8163">
        <v>1</v>
      </c>
    </row>
    <row r="8164" spans="27:32" x14ac:dyDescent="0.3">
      <c r="AA8164" s="3">
        <v>30296.52</v>
      </c>
      <c r="AB8164">
        <v>1E-4</v>
      </c>
      <c r="AC8164">
        <v>8</v>
      </c>
      <c r="AD8164" s="5">
        <v>4.9241690128738274</v>
      </c>
      <c r="AE8164" s="5">
        <v>2.2205114415132652</v>
      </c>
      <c r="AF8164">
        <v>1</v>
      </c>
    </row>
    <row r="8165" spans="27:32" x14ac:dyDescent="0.3">
      <c r="AA8165" s="3">
        <v>24704.6</v>
      </c>
      <c r="AB8165">
        <v>1E-4</v>
      </c>
      <c r="AC8165">
        <v>8</v>
      </c>
      <c r="AD8165" s="5">
        <v>5.0077438565997348</v>
      </c>
      <c r="AE8165" s="5">
        <v>2.2110808242358133</v>
      </c>
      <c r="AF8165">
        <v>1</v>
      </c>
    </row>
    <row r="8166" spans="27:32" x14ac:dyDescent="0.3">
      <c r="AA8166" s="3">
        <v>-2335.4699999999998</v>
      </c>
      <c r="AB8166">
        <v>1E-4</v>
      </c>
      <c r="AC8166">
        <v>9</v>
      </c>
      <c r="AD8166" s="5">
        <v>4.997481027015529</v>
      </c>
      <c r="AE8166" s="5">
        <v>2.1731937047050769</v>
      </c>
      <c r="AF8166">
        <v>1</v>
      </c>
    </row>
    <row r="8167" spans="27:32" x14ac:dyDescent="0.3">
      <c r="AA8167" s="3">
        <v>28712.2</v>
      </c>
      <c r="AB8167">
        <v>1E-4</v>
      </c>
      <c r="AC8167">
        <v>8</v>
      </c>
      <c r="AD8167" s="5">
        <v>5.039276918167892</v>
      </c>
      <c r="AE8167" s="5">
        <v>2.1949370591941952</v>
      </c>
      <c r="AF8167">
        <v>1</v>
      </c>
    </row>
    <row r="8168" spans="27:32" x14ac:dyDescent="0.3">
      <c r="AA8168" s="3">
        <v>19538.79</v>
      </c>
      <c r="AB8168">
        <v>1E-4</v>
      </c>
      <c r="AC8168">
        <v>8</v>
      </c>
      <c r="AD8168" s="5">
        <v>5.1512077671619041</v>
      </c>
      <c r="AE8168" s="5">
        <v>2.1949801949783159</v>
      </c>
      <c r="AF8168">
        <v>1</v>
      </c>
    </row>
    <row r="8169" spans="27:32" x14ac:dyDescent="0.3">
      <c r="AA8169" s="3">
        <v>13810.98</v>
      </c>
      <c r="AB8169">
        <v>1E-4</v>
      </c>
      <c r="AC8169">
        <v>8</v>
      </c>
      <c r="AD8169" s="5">
        <v>4.9678021454119872</v>
      </c>
      <c r="AE8169" s="5">
        <v>2.2124643503703063</v>
      </c>
      <c r="AF8169">
        <v>1</v>
      </c>
    </row>
    <row r="8170" spans="27:32" x14ac:dyDescent="0.3">
      <c r="AA8170" s="3">
        <v>31180.25</v>
      </c>
      <c r="AB8170">
        <v>1E-4</v>
      </c>
      <c r="AC8170">
        <v>7</v>
      </c>
      <c r="AD8170" s="5">
        <v>5.199668263199956</v>
      </c>
      <c r="AE8170" s="5">
        <v>2.2310661346858129</v>
      </c>
      <c r="AF8170">
        <v>1</v>
      </c>
    </row>
    <row r="8171" spans="27:32" x14ac:dyDescent="0.3">
      <c r="AA8171" s="3">
        <v>8700.0300000000007</v>
      </c>
      <c r="AB8171">
        <v>1E-4</v>
      </c>
      <c r="AC8171">
        <v>8</v>
      </c>
      <c r="AD8171" s="5">
        <v>4.9754111531903522</v>
      </c>
      <c r="AE8171" s="5">
        <v>2.2225394993896121</v>
      </c>
      <c r="AF8171">
        <v>1</v>
      </c>
    </row>
    <row r="8172" spans="27:32" x14ac:dyDescent="0.3">
      <c r="AA8172" s="3">
        <v>15755.85</v>
      </c>
      <c r="AB8172">
        <v>1E-4</v>
      </c>
      <c r="AC8172">
        <v>8</v>
      </c>
      <c r="AD8172" s="5">
        <v>5.0027467332979585</v>
      </c>
      <c r="AE8172" s="5">
        <v>2.2315057988114395</v>
      </c>
      <c r="AF8172">
        <v>1</v>
      </c>
    </row>
    <row r="8173" spans="27:32" x14ac:dyDescent="0.3">
      <c r="AA8173" s="3">
        <v>37765.53</v>
      </c>
      <c r="AB8173">
        <v>1E-4</v>
      </c>
      <c r="AC8173">
        <v>7</v>
      </c>
      <c r="AD8173" s="5">
        <v>4.916031376354316</v>
      </c>
      <c r="AE8173" s="5">
        <v>2.1296408536134819</v>
      </c>
      <c r="AF8173">
        <v>1</v>
      </c>
    </row>
    <row r="8174" spans="27:32" x14ac:dyDescent="0.3">
      <c r="AA8174" s="3">
        <v>11481.53</v>
      </c>
      <c r="AB8174">
        <v>1E-4</v>
      </c>
      <c r="AC8174">
        <v>8</v>
      </c>
      <c r="AD8174" s="5">
        <v>5.0646146613352663</v>
      </c>
      <c r="AE8174" s="5">
        <v>2.2063623646798169</v>
      </c>
      <c r="AF8174">
        <v>1</v>
      </c>
    </row>
    <row r="8175" spans="27:32" x14ac:dyDescent="0.3">
      <c r="AA8175" s="3">
        <v>30541.35</v>
      </c>
      <c r="AB8175">
        <v>1E-4</v>
      </c>
      <c r="AC8175">
        <v>7</v>
      </c>
      <c r="AD8175" s="5">
        <v>5.0381999259302797</v>
      </c>
      <c r="AE8175" s="5">
        <v>2.1400584225389401</v>
      </c>
      <c r="AF8175">
        <v>1</v>
      </c>
    </row>
    <row r="8176" spans="27:32" x14ac:dyDescent="0.3">
      <c r="AA8176" s="3">
        <v>-3172.42</v>
      </c>
      <c r="AB8176">
        <v>1E-4</v>
      </c>
      <c r="AC8176">
        <v>9</v>
      </c>
      <c r="AD8176" s="5">
        <v>4.8145672989617143</v>
      </c>
      <c r="AE8176" s="5">
        <v>2.2110362357657847</v>
      </c>
      <c r="AF8176">
        <v>1</v>
      </c>
    </row>
    <row r="8177" spans="27:32" x14ac:dyDescent="0.3">
      <c r="AA8177" s="3">
        <v>-1364.54</v>
      </c>
      <c r="AB8177">
        <v>1E-4</v>
      </c>
      <c r="AC8177">
        <v>9</v>
      </c>
      <c r="AD8177" s="5">
        <v>4.8841284549839097</v>
      </c>
      <c r="AE8177" s="5">
        <v>2.209832924813262</v>
      </c>
      <c r="AF8177">
        <v>1</v>
      </c>
    </row>
    <row r="8178" spans="27:32" x14ac:dyDescent="0.3">
      <c r="AA8178" s="3">
        <v>-1992.76</v>
      </c>
      <c r="AB8178">
        <v>1E-4</v>
      </c>
      <c r="AC8178">
        <v>9</v>
      </c>
      <c r="AD8178" s="5">
        <v>5.0265943318170301</v>
      </c>
      <c r="AE8178" s="5">
        <v>2.1203899130689079</v>
      </c>
      <c r="AF8178">
        <v>1</v>
      </c>
    </row>
    <row r="8179" spans="27:32" x14ac:dyDescent="0.3">
      <c r="AA8179" s="3">
        <v>15000.9</v>
      </c>
      <c r="AB8179">
        <v>1E-4</v>
      </c>
      <c r="AC8179">
        <v>8</v>
      </c>
      <c r="AD8179" s="5">
        <v>5.0753572752919327</v>
      </c>
      <c r="AE8179" s="5">
        <v>2.1143545855976837</v>
      </c>
      <c r="AF8179">
        <v>1</v>
      </c>
    </row>
    <row r="8180" spans="27:32" x14ac:dyDescent="0.3">
      <c r="AA8180" s="3">
        <v>15680.61</v>
      </c>
      <c r="AB8180">
        <v>1E-4</v>
      </c>
      <c r="AC8180">
        <v>8</v>
      </c>
      <c r="AD8180" s="5">
        <v>4.9924303711558702</v>
      </c>
      <c r="AE8180" s="5">
        <v>2.2256697592592243</v>
      </c>
      <c r="AF8180">
        <v>1</v>
      </c>
    </row>
    <row r="8181" spans="27:32" x14ac:dyDescent="0.3">
      <c r="AA8181" s="3">
        <v>36262.370000000003</v>
      </c>
      <c r="AB8181">
        <v>1E-4</v>
      </c>
      <c r="AC8181">
        <v>7</v>
      </c>
      <c r="AD8181" s="5">
        <v>4.9576379226358878</v>
      </c>
      <c r="AE8181" s="5">
        <v>2.2395007253841519</v>
      </c>
      <c r="AF8181">
        <v>1</v>
      </c>
    </row>
    <row r="8182" spans="27:32" x14ac:dyDescent="0.3">
      <c r="AA8182" s="3">
        <v>6130.49</v>
      </c>
      <c r="AB8182">
        <v>1E-4</v>
      </c>
      <c r="AC8182">
        <v>8</v>
      </c>
      <c r="AD8182" s="5">
        <v>4.9864394882491583</v>
      </c>
      <c r="AE8182" s="5">
        <v>2.2481907085312955</v>
      </c>
      <c r="AF8182">
        <v>1</v>
      </c>
    </row>
    <row r="8183" spans="27:32" x14ac:dyDescent="0.3">
      <c r="AA8183" s="3">
        <v>11198</v>
      </c>
      <c r="AB8183">
        <v>1E-4</v>
      </c>
      <c r="AC8183">
        <v>8</v>
      </c>
      <c r="AD8183" s="5">
        <v>4.9470283747540513</v>
      </c>
      <c r="AE8183" s="5">
        <v>2.2032723968102812</v>
      </c>
      <c r="AF8183">
        <v>1</v>
      </c>
    </row>
    <row r="8184" spans="27:32" x14ac:dyDescent="0.3">
      <c r="AA8184" s="3">
        <v>32235.45</v>
      </c>
      <c r="AB8184">
        <v>1E-4</v>
      </c>
      <c r="AC8184">
        <v>7</v>
      </c>
      <c r="AD8184" s="5">
        <v>5.0111623038320019</v>
      </c>
      <c r="AE8184" s="5">
        <v>2.183218140085049</v>
      </c>
      <c r="AF8184">
        <v>1</v>
      </c>
    </row>
    <row r="8185" spans="27:32" x14ac:dyDescent="0.3">
      <c r="AA8185" s="3">
        <v>-1430.47</v>
      </c>
      <c r="AB8185">
        <v>1E-4</v>
      </c>
      <c r="AC8185">
        <v>9</v>
      </c>
      <c r="AD8185" s="5">
        <v>4.9848108549278862</v>
      </c>
      <c r="AE8185" s="5">
        <v>2.2414854551611696</v>
      </c>
      <c r="AF8185">
        <v>1</v>
      </c>
    </row>
    <row r="8186" spans="27:32" x14ac:dyDescent="0.3">
      <c r="AA8186" s="3">
        <v>15704.33</v>
      </c>
      <c r="AB8186">
        <v>1E-4</v>
      </c>
      <c r="AC8186">
        <v>8</v>
      </c>
      <c r="AD8186" s="5">
        <v>5.0252844308548132</v>
      </c>
      <c r="AE8186" s="5">
        <v>2.2212668073106525</v>
      </c>
      <c r="AF8186">
        <v>1</v>
      </c>
    </row>
    <row r="8187" spans="27:32" x14ac:dyDescent="0.3">
      <c r="AA8187" s="3">
        <v>2960.85</v>
      </c>
      <c r="AB8187">
        <v>1E-4</v>
      </c>
      <c r="AC8187">
        <v>8</v>
      </c>
      <c r="AD8187" s="5">
        <v>4.9226806746696745</v>
      </c>
      <c r="AE8187" s="5">
        <v>2.2542935633279004</v>
      </c>
      <c r="AF8187">
        <v>1</v>
      </c>
    </row>
    <row r="8188" spans="27:32" x14ac:dyDescent="0.3">
      <c r="AA8188" s="3">
        <v>24979.119999999999</v>
      </c>
      <c r="AB8188">
        <v>1E-4</v>
      </c>
      <c r="AC8188">
        <v>8</v>
      </c>
      <c r="AD8188" s="5">
        <v>4.9496644947512705</v>
      </c>
      <c r="AE8188" s="5">
        <v>2.1963700573302849</v>
      </c>
      <c r="AF8188">
        <v>1</v>
      </c>
    </row>
    <row r="8189" spans="27:32" x14ac:dyDescent="0.3">
      <c r="AA8189" s="3">
        <v>24052.71</v>
      </c>
      <c r="AB8189">
        <v>1E-4</v>
      </c>
      <c r="AC8189">
        <v>8</v>
      </c>
      <c r="AD8189" s="5">
        <v>5.047543909190801</v>
      </c>
      <c r="AE8189" s="5">
        <v>2.2323333739747904</v>
      </c>
      <c r="AF8189">
        <v>1</v>
      </c>
    </row>
    <row r="8190" spans="27:32" x14ac:dyDescent="0.3">
      <c r="AA8190" s="3">
        <v>29150.73</v>
      </c>
      <c r="AB8190">
        <v>1E-4</v>
      </c>
      <c r="AC8190">
        <v>7</v>
      </c>
      <c r="AD8190" s="5">
        <v>4.9776906023999627</v>
      </c>
      <c r="AE8190" s="5">
        <v>2.1146341510020092</v>
      </c>
      <c r="AF8190">
        <v>1</v>
      </c>
    </row>
    <row r="8191" spans="27:32" x14ac:dyDescent="0.3">
      <c r="AA8191" s="3">
        <v>58732.05</v>
      </c>
      <c r="AB8191">
        <v>1E-4</v>
      </c>
      <c r="AC8191">
        <v>6</v>
      </c>
      <c r="AD8191" s="5">
        <v>5.0137312702009371</v>
      </c>
      <c r="AE8191" s="5">
        <v>2.2240461305567836</v>
      </c>
      <c r="AF8191">
        <v>1</v>
      </c>
    </row>
    <row r="8192" spans="27:32" x14ac:dyDescent="0.3">
      <c r="AA8192" s="3">
        <v>-2378.86</v>
      </c>
      <c r="AB8192">
        <v>1E-4</v>
      </c>
      <c r="AC8192">
        <v>9</v>
      </c>
      <c r="AD8192" s="5">
        <v>4.8104392635974547</v>
      </c>
      <c r="AE8192" s="5">
        <v>2.1496783068245988</v>
      </c>
      <c r="AF8192">
        <v>1</v>
      </c>
    </row>
    <row r="8193" spans="27:32" x14ac:dyDescent="0.3">
      <c r="AA8193" s="3">
        <v>323.58</v>
      </c>
      <c r="AB8193">
        <v>1E-4</v>
      </c>
      <c r="AC8193">
        <v>8</v>
      </c>
      <c r="AD8193" s="5">
        <v>4.9338034885294846</v>
      </c>
      <c r="AE8193" s="5">
        <v>2.1743182718342902</v>
      </c>
      <c r="AF8193">
        <v>1</v>
      </c>
    </row>
    <row r="8194" spans="27:32" x14ac:dyDescent="0.3">
      <c r="AA8194" s="3">
        <v>26638.18</v>
      </c>
      <c r="AB8194">
        <v>1E-4</v>
      </c>
      <c r="AC8194">
        <v>8</v>
      </c>
      <c r="AD8194" s="5">
        <v>5.1599629640414424</v>
      </c>
      <c r="AE8194" s="5">
        <v>2.2701136495464591</v>
      </c>
      <c r="AF8194">
        <v>1</v>
      </c>
    </row>
    <row r="8195" spans="27:32" x14ac:dyDescent="0.3">
      <c r="AA8195" s="3">
        <v>7241.73</v>
      </c>
      <c r="AB8195">
        <v>1E-4</v>
      </c>
      <c r="AC8195">
        <v>8</v>
      </c>
      <c r="AD8195" s="5">
        <v>5.0490475809725126</v>
      </c>
      <c r="AE8195" s="5">
        <v>2.2547220713472211</v>
      </c>
      <c r="AF8195">
        <v>1</v>
      </c>
    </row>
    <row r="8196" spans="27:32" x14ac:dyDescent="0.3">
      <c r="AA8196" s="3">
        <v>35002.03</v>
      </c>
      <c r="AB8196">
        <v>1E-4</v>
      </c>
      <c r="AC8196">
        <v>7</v>
      </c>
      <c r="AD8196" s="5">
        <v>5.015883888918852</v>
      </c>
      <c r="AE8196" s="5">
        <v>2.1246203318486452</v>
      </c>
      <c r="AF8196">
        <v>1</v>
      </c>
    </row>
    <row r="8197" spans="27:32" x14ac:dyDescent="0.3">
      <c r="AA8197" s="3">
        <v>6725.57</v>
      </c>
      <c r="AB8197">
        <v>1E-4</v>
      </c>
      <c r="AC8197">
        <v>8</v>
      </c>
      <c r="AD8197" s="5">
        <v>5.1345120320798756</v>
      </c>
      <c r="AE8197" s="5">
        <v>2.1620685145709109</v>
      </c>
      <c r="AF8197">
        <v>1</v>
      </c>
    </row>
    <row r="8198" spans="27:32" x14ac:dyDescent="0.3">
      <c r="AA8198" s="3">
        <v>10808.61</v>
      </c>
      <c r="AB8198">
        <v>1E-4</v>
      </c>
      <c r="AC8198">
        <v>8</v>
      </c>
      <c r="AD8198" s="5">
        <v>5.1597634015494025</v>
      </c>
      <c r="AE8198" s="5">
        <v>2.2065454982976589</v>
      </c>
      <c r="AF8198">
        <v>1</v>
      </c>
    </row>
    <row r="8199" spans="27:32" x14ac:dyDescent="0.3">
      <c r="AA8199" s="3">
        <v>38320.57</v>
      </c>
      <c r="AB8199">
        <v>1E-4</v>
      </c>
      <c r="AC8199">
        <v>7</v>
      </c>
      <c r="AD8199" s="5">
        <v>5.141410171965247</v>
      </c>
      <c r="AE8199" s="5">
        <v>2.1870537307052169</v>
      </c>
      <c r="AF8199">
        <v>1</v>
      </c>
    </row>
    <row r="8200" spans="27:32" x14ac:dyDescent="0.3">
      <c r="AA8200" s="3">
        <v>38404.39</v>
      </c>
      <c r="AB8200">
        <v>1E-4</v>
      </c>
      <c r="AC8200">
        <v>7</v>
      </c>
      <c r="AD8200" s="5">
        <v>4.9855813186455231</v>
      </c>
      <c r="AE8200" s="5">
        <v>2.2021727090275145</v>
      </c>
      <c r="AF8200">
        <v>1</v>
      </c>
    </row>
    <row r="8201" spans="27:32" x14ac:dyDescent="0.3">
      <c r="AA8201" s="3">
        <v>25899.61</v>
      </c>
      <c r="AB8201">
        <v>1E-4</v>
      </c>
      <c r="AC8201">
        <v>8</v>
      </c>
      <c r="AD8201" s="5">
        <v>5.0313864190367594</v>
      </c>
      <c r="AE8201" s="5">
        <v>2.1687989850550133</v>
      </c>
      <c r="AF8201">
        <v>1</v>
      </c>
    </row>
    <row r="8202" spans="27:32" x14ac:dyDescent="0.3">
      <c r="AA8202" s="3">
        <v>2768.37</v>
      </c>
      <c r="AB8202">
        <v>1E-4</v>
      </c>
      <c r="AC8202">
        <v>8</v>
      </c>
      <c r="AD8202" s="5">
        <v>4.8680626919615282</v>
      </c>
      <c r="AE8202" s="5">
        <v>2.196645154554278</v>
      </c>
      <c r="AF8202">
        <v>1</v>
      </c>
    </row>
    <row r="8203" spans="27:32" x14ac:dyDescent="0.3">
      <c r="AA8203" s="3">
        <v>-17119.439999999999</v>
      </c>
      <c r="AB8203">
        <v>1E-4</v>
      </c>
      <c r="AC8203">
        <v>9</v>
      </c>
      <c r="AD8203" s="5">
        <v>4.9981977371521626</v>
      </c>
      <c r="AE8203" s="5">
        <v>2.2189517891179902</v>
      </c>
      <c r="AF8203">
        <v>1</v>
      </c>
    </row>
    <row r="8204" spans="27:32" x14ac:dyDescent="0.3">
      <c r="AA8204" s="3">
        <v>11198.56</v>
      </c>
      <c r="AB8204">
        <v>1E-4</v>
      </c>
      <c r="AC8204">
        <v>8</v>
      </c>
      <c r="AD8204" s="5">
        <v>4.8744290063880209</v>
      </c>
      <c r="AE8204" s="5">
        <v>2.1540199896385284</v>
      </c>
      <c r="AF8204">
        <v>1</v>
      </c>
    </row>
    <row r="8205" spans="27:32" x14ac:dyDescent="0.3">
      <c r="AA8205" s="3">
        <v>9285.81</v>
      </c>
      <c r="AB8205">
        <v>1E-4</v>
      </c>
      <c r="AC8205">
        <v>8</v>
      </c>
      <c r="AD8205" s="5">
        <v>4.9638282092672119</v>
      </c>
      <c r="AE8205" s="5">
        <v>2.2891849853239599</v>
      </c>
      <c r="AF8205">
        <v>1</v>
      </c>
    </row>
    <row r="8206" spans="27:32" x14ac:dyDescent="0.3">
      <c r="AA8206" s="3">
        <v>5678.66860668562</v>
      </c>
      <c r="AB8206">
        <v>1E-4</v>
      </c>
      <c r="AC8206">
        <v>8</v>
      </c>
      <c r="AD8206" s="5">
        <v>5.1781423555787853</v>
      </c>
      <c r="AE8206" s="5">
        <v>2.1068115930615012</v>
      </c>
      <c r="AF8206">
        <v>0</v>
      </c>
    </row>
    <row r="8207" spans="27:32" x14ac:dyDescent="0.3">
      <c r="AA8207" s="3">
        <v>20195.89</v>
      </c>
      <c r="AB8207">
        <v>1E-4</v>
      </c>
      <c r="AC8207">
        <v>8</v>
      </c>
      <c r="AD8207" s="5">
        <v>5.1419333310586506</v>
      </c>
      <c r="AE8207" s="5">
        <v>2.2361867471743522</v>
      </c>
      <c r="AF8207">
        <v>1</v>
      </c>
    </row>
    <row r="8208" spans="27:32" x14ac:dyDescent="0.3">
      <c r="AA8208" s="3">
        <v>39167.85</v>
      </c>
      <c r="AB8208">
        <v>1E-4</v>
      </c>
      <c r="AC8208">
        <v>7</v>
      </c>
      <c r="AD8208" s="5">
        <v>4.9590167577481914</v>
      </c>
      <c r="AE8208" s="5">
        <v>2.1730999459027891</v>
      </c>
      <c r="AF8208">
        <v>1</v>
      </c>
    </row>
    <row r="8209" spans="27:32" x14ac:dyDescent="0.3">
      <c r="AA8209" s="3">
        <v>-22779.101403935398</v>
      </c>
      <c r="AB8209">
        <v>1E-4</v>
      </c>
      <c r="AC8209">
        <v>9</v>
      </c>
      <c r="AD8209" s="5">
        <v>5.0768671029996426</v>
      </c>
      <c r="AE8209" s="5">
        <v>2.1926365425818721</v>
      </c>
      <c r="AF8209">
        <v>0</v>
      </c>
    </row>
    <row r="8210" spans="27:32" x14ac:dyDescent="0.3">
      <c r="AA8210" s="3">
        <v>32219.119999999999</v>
      </c>
      <c r="AB8210">
        <v>1E-4</v>
      </c>
      <c r="AC8210">
        <v>7</v>
      </c>
      <c r="AD8210" s="5">
        <v>5.1139761759447193</v>
      </c>
      <c r="AE8210" s="5">
        <v>2.1976271660983264</v>
      </c>
      <c r="AF8210">
        <v>1</v>
      </c>
    </row>
    <row r="8211" spans="27:32" x14ac:dyDescent="0.3">
      <c r="AA8211" s="3">
        <v>25477.51</v>
      </c>
      <c r="AB8211">
        <v>1E-4</v>
      </c>
      <c r="AC8211">
        <v>8</v>
      </c>
      <c r="AD8211" s="5">
        <v>4.8178584774980235</v>
      </c>
      <c r="AE8211" s="5">
        <v>2.1674383705298412</v>
      </c>
      <c r="AF8211">
        <v>1</v>
      </c>
    </row>
    <row r="8212" spans="27:32" x14ac:dyDescent="0.3">
      <c r="AA8212" s="3">
        <v>-99.43</v>
      </c>
      <c r="AB8212">
        <v>1E-4</v>
      </c>
      <c r="AC8212">
        <v>9</v>
      </c>
      <c r="AD8212" s="5">
        <v>4.8785540764517723</v>
      </c>
      <c r="AE8212" s="5">
        <v>2.1586460733502921</v>
      </c>
      <c r="AF8212">
        <v>1</v>
      </c>
    </row>
    <row r="8213" spans="27:32" x14ac:dyDescent="0.3">
      <c r="AA8213" s="3">
        <v>14813.88</v>
      </c>
      <c r="AB8213">
        <v>1E-4</v>
      </c>
      <c r="AC8213">
        <v>8</v>
      </c>
      <c r="AD8213" s="5">
        <v>4.9817096263395966</v>
      </c>
      <c r="AE8213" s="5">
        <v>2.1858528670293342</v>
      </c>
      <c r="AF8213">
        <v>1</v>
      </c>
    </row>
    <row r="8214" spans="27:32" x14ac:dyDescent="0.3">
      <c r="AA8214" s="3">
        <v>31074.62</v>
      </c>
      <c r="AB8214">
        <v>1E-4</v>
      </c>
      <c r="AC8214">
        <v>7</v>
      </c>
      <c r="AD8214" s="5">
        <v>5.0076082883089699</v>
      </c>
      <c r="AE8214" s="5">
        <v>2.1958506877334596</v>
      </c>
      <c r="AF8214">
        <v>1</v>
      </c>
    </row>
    <row r="8215" spans="27:32" x14ac:dyDescent="0.3">
      <c r="AA8215" s="3">
        <v>9219.23</v>
      </c>
      <c r="AB8215">
        <v>1E-4</v>
      </c>
      <c r="AC8215">
        <v>8</v>
      </c>
      <c r="AD8215" s="5">
        <v>5.0279833412325852</v>
      </c>
      <c r="AE8215" s="5">
        <v>2.1106391251567347</v>
      </c>
      <c r="AF8215">
        <v>1</v>
      </c>
    </row>
    <row r="8216" spans="27:32" x14ac:dyDescent="0.3">
      <c r="AA8216" s="3">
        <v>3589.15</v>
      </c>
      <c r="AB8216">
        <v>1E-4</v>
      </c>
      <c r="AC8216">
        <v>8</v>
      </c>
      <c r="AD8216" s="5">
        <v>5.0246905670703859</v>
      </c>
      <c r="AE8216" s="5">
        <v>2.2405081153707762</v>
      </c>
      <c r="AF8216">
        <v>1</v>
      </c>
    </row>
    <row r="8217" spans="27:32" x14ac:dyDescent="0.3">
      <c r="AA8217" s="3">
        <v>32022.54</v>
      </c>
      <c r="AB8217">
        <v>1E-4</v>
      </c>
      <c r="AC8217">
        <v>7</v>
      </c>
      <c r="AD8217" s="5">
        <v>5.1177878652489586</v>
      </c>
      <c r="AE8217" s="5">
        <v>2.1789413587186006</v>
      </c>
      <c r="AF8217">
        <v>1</v>
      </c>
    </row>
    <row r="8218" spans="27:32" x14ac:dyDescent="0.3">
      <c r="AA8218" s="3">
        <v>27780.33</v>
      </c>
      <c r="AB8218">
        <v>1E-4</v>
      </c>
      <c r="AC8218">
        <v>7</v>
      </c>
      <c r="AD8218" s="5">
        <v>5.0124348722794849</v>
      </c>
      <c r="AE8218" s="5">
        <v>2.1110949627851414</v>
      </c>
      <c r="AF8218">
        <v>1</v>
      </c>
    </row>
    <row r="8219" spans="27:32" x14ac:dyDescent="0.3">
      <c r="AA8219" s="3">
        <v>33955.11</v>
      </c>
      <c r="AB8219">
        <v>1E-4</v>
      </c>
      <c r="AC8219">
        <v>7</v>
      </c>
      <c r="AD8219" s="5">
        <v>5.1528482083743086</v>
      </c>
      <c r="AE8219" s="5">
        <v>2.2128198384355051</v>
      </c>
      <c r="AF8219">
        <v>1</v>
      </c>
    </row>
    <row r="8220" spans="27:32" x14ac:dyDescent="0.3">
      <c r="AA8220" s="3">
        <v>-16812.48</v>
      </c>
      <c r="AB8220">
        <v>1E-4</v>
      </c>
      <c r="AC8220">
        <v>9</v>
      </c>
      <c r="AD8220" s="5">
        <v>4.826608836543719</v>
      </c>
      <c r="AE8220" s="5">
        <v>2.1448278185380509</v>
      </c>
      <c r="AF8220">
        <v>1</v>
      </c>
    </row>
    <row r="8221" spans="27:32" x14ac:dyDescent="0.3">
      <c r="AA8221" s="3">
        <v>30407.89</v>
      </c>
      <c r="AB8221">
        <v>1E-4</v>
      </c>
      <c r="AC8221">
        <v>8</v>
      </c>
      <c r="AD8221" s="5">
        <v>5.0669006438399782</v>
      </c>
      <c r="AE8221" s="5">
        <v>2.1514453447864423</v>
      </c>
      <c r="AF8221">
        <v>1</v>
      </c>
    </row>
    <row r="8222" spans="27:32" x14ac:dyDescent="0.3">
      <c r="AA8222" s="3">
        <v>20902.150000000001</v>
      </c>
      <c r="AB8222">
        <v>1E-4</v>
      </c>
      <c r="AC8222">
        <v>8</v>
      </c>
      <c r="AD8222" s="5">
        <v>5.0228627516351638</v>
      </c>
      <c r="AE8222" s="5">
        <v>2.2034465632961822</v>
      </c>
      <c r="AF8222">
        <v>1</v>
      </c>
    </row>
    <row r="8223" spans="27:32" x14ac:dyDescent="0.3">
      <c r="AA8223" s="3">
        <v>36796.449999999997</v>
      </c>
      <c r="AB8223">
        <v>1E-4</v>
      </c>
      <c r="AC8223">
        <v>7</v>
      </c>
      <c r="AD8223" s="5">
        <v>5.223533146878113</v>
      </c>
      <c r="AE8223" s="5">
        <v>2.2064701271942595</v>
      </c>
      <c r="AF8223">
        <v>1</v>
      </c>
    </row>
    <row r="8224" spans="27:32" x14ac:dyDescent="0.3">
      <c r="AA8224" s="3">
        <v>21052.77</v>
      </c>
      <c r="AB8224">
        <v>1E-4</v>
      </c>
      <c r="AC8224">
        <v>8</v>
      </c>
      <c r="AD8224" s="5">
        <v>4.727223317691716</v>
      </c>
      <c r="AE8224" s="5">
        <v>2.1549097327923978</v>
      </c>
      <c r="AF8224">
        <v>1</v>
      </c>
    </row>
    <row r="8225" spans="27:32" x14ac:dyDescent="0.3">
      <c r="AA8225" s="3">
        <v>12334.54</v>
      </c>
      <c r="AB8225">
        <v>1E-4</v>
      </c>
      <c r="AC8225">
        <v>8</v>
      </c>
      <c r="AD8225" s="5">
        <v>4.9937730475584168</v>
      </c>
      <c r="AE8225" s="5">
        <v>2.2462702228420302</v>
      </c>
      <c r="AF8225">
        <v>1</v>
      </c>
    </row>
    <row r="8226" spans="27:32" x14ac:dyDescent="0.3">
      <c r="AA8226" s="3">
        <v>17200.240000000002</v>
      </c>
      <c r="AB8226">
        <v>1E-4</v>
      </c>
      <c r="AC8226">
        <v>8</v>
      </c>
      <c r="AD8226" s="5">
        <v>5.0309351676414451</v>
      </c>
      <c r="AE8226" s="5">
        <v>2.1891941529490535</v>
      </c>
      <c r="AF8226">
        <v>1</v>
      </c>
    </row>
    <row r="8227" spans="27:32" x14ac:dyDescent="0.3">
      <c r="AA8227" s="3">
        <v>11499.08</v>
      </c>
      <c r="AB8227">
        <v>1E-4</v>
      </c>
      <c r="AC8227">
        <v>8</v>
      </c>
      <c r="AD8227" s="5">
        <v>4.9618596394374279</v>
      </c>
      <c r="AE8227" s="5">
        <v>2.2606172632258752</v>
      </c>
      <c r="AF8227">
        <v>1</v>
      </c>
    </row>
    <row r="8228" spans="27:32" x14ac:dyDescent="0.3">
      <c r="AA8228" s="3">
        <v>-6044.3</v>
      </c>
      <c r="AB8228">
        <v>1E-4</v>
      </c>
      <c r="AC8228">
        <v>9</v>
      </c>
      <c r="AD8228" s="5">
        <v>5.0473002636202171</v>
      </c>
      <c r="AE8228" s="5">
        <v>2.232840431526157</v>
      </c>
      <c r="AF8228">
        <v>1</v>
      </c>
    </row>
    <row r="8229" spans="27:32" x14ac:dyDescent="0.3">
      <c r="AA8229" s="3">
        <v>4725.38</v>
      </c>
      <c r="AB8229">
        <v>1E-4</v>
      </c>
      <c r="AC8229">
        <v>8</v>
      </c>
      <c r="AD8229" s="5">
        <v>5.0682843890366778</v>
      </c>
      <c r="AE8229" s="5">
        <v>2.2567489829499814</v>
      </c>
      <c r="AF8229">
        <v>1</v>
      </c>
    </row>
    <row r="8230" spans="27:32" x14ac:dyDescent="0.3">
      <c r="AA8230" s="3">
        <v>30376.28</v>
      </c>
      <c r="AB8230">
        <v>1E-4</v>
      </c>
      <c r="AC8230">
        <v>8</v>
      </c>
      <c r="AD8230" s="5">
        <v>5.2318864361106678</v>
      </c>
      <c r="AE8230" s="5">
        <v>2.2079702692545276</v>
      </c>
      <c r="AF8230">
        <v>1</v>
      </c>
    </row>
    <row r="8231" spans="27:32" x14ac:dyDescent="0.3">
      <c r="AA8231" s="3">
        <v>15119.92</v>
      </c>
      <c r="AB8231">
        <v>1E-4</v>
      </c>
      <c r="AC8231">
        <v>8</v>
      </c>
      <c r="AD8231" s="5">
        <v>4.9516674461561365</v>
      </c>
      <c r="AE8231" s="5">
        <v>2.2614476753509258</v>
      </c>
      <c r="AF8231">
        <v>1</v>
      </c>
    </row>
    <row r="8232" spans="27:32" x14ac:dyDescent="0.3">
      <c r="AA8232" s="3">
        <v>22543.11</v>
      </c>
      <c r="AB8232">
        <v>1E-4</v>
      </c>
      <c r="AC8232">
        <v>8</v>
      </c>
      <c r="AD8232" s="5">
        <v>4.9016493728726065</v>
      </c>
      <c r="AE8232" s="5">
        <v>2.1289953655762606</v>
      </c>
      <c r="AF8232">
        <v>1</v>
      </c>
    </row>
    <row r="8233" spans="27:32" x14ac:dyDescent="0.3">
      <c r="AA8233" s="3">
        <v>12547.36</v>
      </c>
      <c r="AB8233">
        <v>1E-4</v>
      </c>
      <c r="AC8233">
        <v>8</v>
      </c>
      <c r="AD8233" s="5">
        <v>4.8918492206491582</v>
      </c>
      <c r="AE8233" s="5">
        <v>2.2103928476109007</v>
      </c>
      <c r="AF8233">
        <v>1</v>
      </c>
    </row>
    <row r="8234" spans="27:32" x14ac:dyDescent="0.3">
      <c r="AA8234" s="3">
        <v>-28736.303399051209</v>
      </c>
      <c r="AB8234">
        <v>1E-4</v>
      </c>
      <c r="AC8234">
        <v>9</v>
      </c>
      <c r="AD8234" s="5">
        <v>4.9605790311964233</v>
      </c>
      <c r="AE8234" s="5">
        <v>2.2267817490198585</v>
      </c>
      <c r="AF8234">
        <v>0</v>
      </c>
    </row>
    <row r="8235" spans="27:32" x14ac:dyDescent="0.3">
      <c r="AA8235" s="3">
        <v>2850.74</v>
      </c>
      <c r="AB8235">
        <v>1E-4</v>
      </c>
      <c r="AC8235">
        <v>8</v>
      </c>
      <c r="AD8235" s="5">
        <v>5.1716254993543345</v>
      </c>
      <c r="AE8235" s="5">
        <v>2.2002718092136977</v>
      </c>
      <c r="AF8235">
        <v>1</v>
      </c>
    </row>
    <row r="8236" spans="27:32" x14ac:dyDescent="0.3">
      <c r="AA8236" s="3">
        <v>12844.61</v>
      </c>
      <c r="AB8236">
        <v>1E-4</v>
      </c>
      <c r="AC8236">
        <v>8</v>
      </c>
      <c r="AD8236" s="5">
        <v>4.8508652716365717</v>
      </c>
      <c r="AE8236" s="5">
        <v>2.1888534406317053</v>
      </c>
      <c r="AF8236">
        <v>1</v>
      </c>
    </row>
    <row r="8237" spans="27:32" x14ac:dyDescent="0.3">
      <c r="AA8237" s="3">
        <v>38994.14</v>
      </c>
      <c r="AB8237">
        <v>1E-4</v>
      </c>
      <c r="AC8237">
        <v>7</v>
      </c>
      <c r="AD8237" s="5">
        <v>5.1500760944183863</v>
      </c>
      <c r="AE8237" s="5">
        <v>2.2412838830598405</v>
      </c>
      <c r="AF8237">
        <v>1</v>
      </c>
    </row>
    <row r="8238" spans="27:32" x14ac:dyDescent="0.3">
      <c r="AA8238" s="3">
        <v>67572.84</v>
      </c>
      <c r="AB8238">
        <v>1E-4</v>
      </c>
      <c r="AC8238">
        <v>6</v>
      </c>
      <c r="AD8238" s="5">
        <v>5.0199977004213192</v>
      </c>
      <c r="AE8238" s="5">
        <v>2.2090131283260503</v>
      </c>
      <c r="AF8238">
        <v>1</v>
      </c>
    </row>
    <row r="8239" spans="27:32" x14ac:dyDescent="0.3">
      <c r="AA8239" s="3">
        <v>44749.02</v>
      </c>
      <c r="AB8239">
        <v>1E-4</v>
      </c>
      <c r="AC8239">
        <v>6</v>
      </c>
      <c r="AD8239" s="5">
        <v>4.9482741705023727</v>
      </c>
      <c r="AE8239" s="5">
        <v>2.1135878491908482</v>
      </c>
      <c r="AF8239">
        <v>1</v>
      </c>
    </row>
    <row r="8240" spans="27:32" x14ac:dyDescent="0.3">
      <c r="AA8240" s="3">
        <v>7795.76</v>
      </c>
      <c r="AB8240">
        <v>1E-4</v>
      </c>
      <c r="AC8240">
        <v>8</v>
      </c>
      <c r="AD8240" s="5">
        <v>4.9332046024154721</v>
      </c>
      <c r="AE8240" s="5">
        <v>2.2036440141959557</v>
      </c>
      <c r="AF8240">
        <v>1</v>
      </c>
    </row>
    <row r="8241" spans="27:32" x14ac:dyDescent="0.3">
      <c r="AA8241" s="3">
        <v>26617.09</v>
      </c>
      <c r="AB8241">
        <v>1E-4</v>
      </c>
      <c r="AC8241">
        <v>7</v>
      </c>
      <c r="AD8241" s="5">
        <v>4.8950260985864897</v>
      </c>
      <c r="AE8241" s="5">
        <v>2.2164890900215966</v>
      </c>
      <c r="AF8241">
        <v>1</v>
      </c>
    </row>
    <row r="8242" spans="27:32" x14ac:dyDescent="0.3">
      <c r="AA8242" s="3">
        <v>16957.189999999999</v>
      </c>
      <c r="AB8242">
        <v>1E-4</v>
      </c>
      <c r="AC8242">
        <v>8</v>
      </c>
      <c r="AD8242" s="5">
        <v>5.0248864286845825</v>
      </c>
      <c r="AE8242" s="5">
        <v>2.2474342530707152</v>
      </c>
      <c r="AF8242">
        <v>1</v>
      </c>
    </row>
    <row r="8243" spans="27:32" x14ac:dyDescent="0.3">
      <c r="AA8243" s="3">
        <v>16691.93</v>
      </c>
      <c r="AB8243">
        <v>1E-4</v>
      </c>
      <c r="AC8243">
        <v>8</v>
      </c>
      <c r="AD8243" s="5">
        <v>5.025453220741916</v>
      </c>
      <c r="AE8243" s="5">
        <v>2.1376455970010944</v>
      </c>
      <c r="AF8243">
        <v>1</v>
      </c>
    </row>
    <row r="8244" spans="27:32" x14ac:dyDescent="0.3">
      <c r="AA8244" s="3">
        <v>58351.55</v>
      </c>
      <c r="AB8244">
        <v>1E-4</v>
      </c>
      <c r="AC8244">
        <v>6</v>
      </c>
      <c r="AD8244" s="5">
        <v>5.1065881650723695</v>
      </c>
      <c r="AE8244" s="5">
        <v>2.2642533788114823</v>
      </c>
      <c r="AF8244">
        <v>1</v>
      </c>
    </row>
    <row r="8245" spans="27:32" x14ac:dyDescent="0.3">
      <c r="AA8245" s="3">
        <v>-16666.169999999998</v>
      </c>
      <c r="AB8245">
        <v>1E-4</v>
      </c>
      <c r="AC8245">
        <v>9</v>
      </c>
      <c r="AD8245" s="5">
        <v>4.8797191296299331</v>
      </c>
      <c r="AE8245" s="5">
        <v>2.1766114101733232</v>
      </c>
      <c r="AF8245">
        <v>1</v>
      </c>
    </row>
    <row r="8246" spans="27:32" x14ac:dyDescent="0.3">
      <c r="AA8246" s="3">
        <v>15477.67</v>
      </c>
      <c r="AB8246">
        <v>1E-4</v>
      </c>
      <c r="AC8246">
        <v>8</v>
      </c>
      <c r="AD8246" s="5">
        <v>5.0446320843753085</v>
      </c>
      <c r="AE8246" s="5">
        <v>2.2001894413525647</v>
      </c>
      <c r="AF8246">
        <v>1</v>
      </c>
    </row>
    <row r="8247" spans="27:32" x14ac:dyDescent="0.3">
      <c r="AA8247" s="3">
        <v>21991.62</v>
      </c>
      <c r="AB8247">
        <v>1E-4</v>
      </c>
      <c r="AC8247">
        <v>8</v>
      </c>
      <c r="AD8247" s="5">
        <v>4.9963625842862509</v>
      </c>
      <c r="AE8247" s="5">
        <v>2.1425171914146937</v>
      </c>
      <c r="AF8247">
        <v>1</v>
      </c>
    </row>
    <row r="8248" spans="27:32" x14ac:dyDescent="0.3">
      <c r="AA8248" s="3">
        <v>19499.91</v>
      </c>
      <c r="AB8248">
        <v>1E-4</v>
      </c>
      <c r="AC8248">
        <v>8</v>
      </c>
      <c r="AD8248" s="5">
        <v>4.8929877326136033</v>
      </c>
      <c r="AE8248" s="5">
        <v>2.2762873940970683</v>
      </c>
      <c r="AF8248">
        <v>1</v>
      </c>
    </row>
    <row r="8249" spans="27:32" x14ac:dyDescent="0.3">
      <c r="AA8249" s="3">
        <v>15609.47</v>
      </c>
      <c r="AB8249">
        <v>1E-4</v>
      </c>
      <c r="AC8249">
        <v>8</v>
      </c>
      <c r="AD8249" s="5">
        <v>4.8255697005086482</v>
      </c>
      <c r="AE8249" s="5">
        <v>2.1954685323351915</v>
      </c>
      <c r="AF8249">
        <v>1</v>
      </c>
    </row>
    <row r="8250" spans="27:32" x14ac:dyDescent="0.3">
      <c r="AA8250" s="3">
        <v>15320.61</v>
      </c>
      <c r="AB8250">
        <v>1E-4</v>
      </c>
      <c r="AC8250">
        <v>8</v>
      </c>
      <c r="AD8250" s="5">
        <v>4.9082540248858137</v>
      </c>
      <c r="AE8250" s="5">
        <v>2.1376052909560563</v>
      </c>
      <c r="AF8250">
        <v>1</v>
      </c>
    </row>
    <row r="8251" spans="27:32" x14ac:dyDescent="0.3">
      <c r="AA8251" s="3">
        <v>23239.38</v>
      </c>
      <c r="AB8251">
        <v>1E-4</v>
      </c>
      <c r="AC8251">
        <v>8</v>
      </c>
      <c r="AD8251" s="5">
        <v>5.0316488200516876</v>
      </c>
      <c r="AE8251" s="5">
        <v>2.1731239768388422</v>
      </c>
      <c r="AF8251">
        <v>1</v>
      </c>
    </row>
    <row r="8252" spans="27:32" x14ac:dyDescent="0.3">
      <c r="AA8252" s="3">
        <v>11819.22</v>
      </c>
      <c r="AB8252">
        <v>1E-4</v>
      </c>
      <c r="AC8252">
        <v>8</v>
      </c>
      <c r="AD8252" s="5">
        <v>5.0366768533207953</v>
      </c>
      <c r="AE8252" s="5">
        <v>2.2831146744561321</v>
      </c>
      <c r="AF8252">
        <v>1</v>
      </c>
    </row>
    <row r="8253" spans="27:32" x14ac:dyDescent="0.3">
      <c r="AA8253" s="3">
        <v>19082.099999999999</v>
      </c>
      <c r="AB8253">
        <v>1E-4</v>
      </c>
      <c r="AC8253">
        <v>8</v>
      </c>
      <c r="AD8253" s="5">
        <v>4.9456236555048116</v>
      </c>
      <c r="AE8253" s="5">
        <v>2.2067746965780151</v>
      </c>
      <c r="AF8253">
        <v>1</v>
      </c>
    </row>
    <row r="8254" spans="27:32" x14ac:dyDescent="0.3">
      <c r="AA8254" s="3">
        <v>-18.2</v>
      </c>
      <c r="AB8254">
        <v>1E-4</v>
      </c>
      <c r="AC8254">
        <v>9</v>
      </c>
      <c r="AD8254" s="5">
        <v>4.9043860428271326</v>
      </c>
      <c r="AE8254" s="5">
        <v>2.2375170114795759</v>
      </c>
      <c r="AF8254">
        <v>1</v>
      </c>
    </row>
    <row r="8255" spans="27:32" x14ac:dyDescent="0.3">
      <c r="AA8255" s="3">
        <v>19293.599999999999</v>
      </c>
      <c r="AB8255">
        <v>1E-4</v>
      </c>
      <c r="AC8255">
        <v>8</v>
      </c>
      <c r="AD8255" s="5">
        <v>4.8464803833116772</v>
      </c>
      <c r="AE8255" s="5">
        <v>2.1648845581772025</v>
      </c>
      <c r="AF8255">
        <v>1</v>
      </c>
    </row>
    <row r="8256" spans="27:32" x14ac:dyDescent="0.3">
      <c r="AA8256" s="3">
        <v>-17827.66</v>
      </c>
      <c r="AB8256">
        <v>1E-4</v>
      </c>
      <c r="AC8256">
        <v>9</v>
      </c>
      <c r="AD8256" s="5">
        <v>4.8215205528397584</v>
      </c>
      <c r="AE8256" s="5">
        <v>2.1828712109514008</v>
      </c>
      <c r="AF8256">
        <v>1</v>
      </c>
    </row>
    <row r="8257" spans="27:32" x14ac:dyDescent="0.3">
      <c r="AA8257" s="3">
        <v>41165.18</v>
      </c>
      <c r="AB8257">
        <v>1E-4</v>
      </c>
      <c r="AC8257">
        <v>7</v>
      </c>
      <c r="AD8257" s="5">
        <v>5.0998551426524612</v>
      </c>
      <c r="AE8257" s="5">
        <v>2.1785334139707966</v>
      </c>
      <c r="AF8257">
        <v>1</v>
      </c>
    </row>
    <row r="8258" spans="27:32" x14ac:dyDescent="0.3">
      <c r="AA8258" s="3">
        <v>15477.24</v>
      </c>
      <c r="AB8258">
        <v>1E-4</v>
      </c>
      <c r="AC8258">
        <v>8</v>
      </c>
      <c r="AD8258" s="5">
        <v>4.9989603999275101</v>
      </c>
      <c r="AE8258" s="5">
        <v>2.3294307878262743</v>
      </c>
      <c r="AF8258">
        <v>1</v>
      </c>
    </row>
    <row r="8259" spans="27:32" x14ac:dyDescent="0.3">
      <c r="AA8259" s="3">
        <v>15628.13</v>
      </c>
      <c r="AB8259">
        <v>1E-4</v>
      </c>
      <c r="AC8259">
        <v>8</v>
      </c>
      <c r="AD8259" s="5">
        <v>5.0051809468925414</v>
      </c>
      <c r="AE8259" s="5">
        <v>2.197836024780087</v>
      </c>
      <c r="AF8259">
        <v>1</v>
      </c>
    </row>
    <row r="8260" spans="27:32" x14ac:dyDescent="0.3">
      <c r="AA8260" s="3">
        <v>24688.080000000002</v>
      </c>
      <c r="AB8260">
        <v>1E-4</v>
      </c>
      <c r="AC8260">
        <v>8</v>
      </c>
      <c r="AD8260" s="5">
        <v>5.0472629313962187</v>
      </c>
      <c r="AE8260" s="5">
        <v>2.2548703711453255</v>
      </c>
      <c r="AF8260">
        <v>1</v>
      </c>
    </row>
    <row r="8261" spans="27:32" x14ac:dyDescent="0.3">
      <c r="AA8261" s="3">
        <v>-921.37</v>
      </c>
      <c r="AB8261">
        <v>1E-4</v>
      </c>
      <c r="AC8261">
        <v>9</v>
      </c>
      <c r="AD8261" s="5">
        <v>4.892940177855273</v>
      </c>
      <c r="AE8261" s="5">
        <v>2.2520246399465433</v>
      </c>
      <c r="AF8261">
        <v>1</v>
      </c>
    </row>
    <row r="8262" spans="27:32" x14ac:dyDescent="0.3">
      <c r="AA8262" s="3">
        <v>-7139.49</v>
      </c>
      <c r="AB8262">
        <v>1E-4</v>
      </c>
      <c r="AC8262">
        <v>9</v>
      </c>
      <c r="AD8262" s="5">
        <v>4.9281273198950588</v>
      </c>
      <c r="AE8262" s="5">
        <v>2.2402749830023896</v>
      </c>
      <c r="AF8262">
        <v>1</v>
      </c>
    </row>
    <row r="8263" spans="27:32" x14ac:dyDescent="0.3">
      <c r="AA8263" s="3">
        <v>17326.27</v>
      </c>
      <c r="AB8263">
        <v>1E-4</v>
      </c>
      <c r="AC8263">
        <v>8</v>
      </c>
      <c r="AD8263" s="5">
        <v>4.8531381181924447</v>
      </c>
      <c r="AE8263" s="5">
        <v>2.2176568714088707</v>
      </c>
      <c r="AF8263">
        <v>1</v>
      </c>
    </row>
    <row r="8264" spans="27:32" x14ac:dyDescent="0.3">
      <c r="AA8264" s="3">
        <v>-11981.93</v>
      </c>
      <c r="AB8264">
        <v>1E-4</v>
      </c>
      <c r="AC8264">
        <v>9</v>
      </c>
      <c r="AD8264" s="5">
        <v>5.0152974648215132</v>
      </c>
      <c r="AE8264" s="5">
        <v>2.2777282373930814</v>
      </c>
      <c r="AF8264">
        <v>1</v>
      </c>
    </row>
    <row r="8265" spans="27:32" x14ac:dyDescent="0.3">
      <c r="AA8265" s="3">
        <v>34765.35</v>
      </c>
      <c r="AB8265">
        <v>1E-4</v>
      </c>
      <c r="AC8265">
        <v>7</v>
      </c>
      <c r="AD8265" s="5">
        <v>5.0264508115250806</v>
      </c>
      <c r="AE8265" s="5">
        <v>2.1878779806439472</v>
      </c>
      <c r="AF8265">
        <v>1</v>
      </c>
    </row>
    <row r="8266" spans="27:32" x14ac:dyDescent="0.3">
      <c r="AA8266" s="3">
        <v>42870.54</v>
      </c>
      <c r="AB8266">
        <v>1E-4</v>
      </c>
      <c r="AC8266">
        <v>7</v>
      </c>
      <c r="AD8266" s="5">
        <v>5.038854927750986</v>
      </c>
      <c r="AE8266" s="5">
        <v>2.2098004468527588</v>
      </c>
      <c r="AF8266">
        <v>1</v>
      </c>
    </row>
    <row r="8267" spans="27:32" x14ac:dyDescent="0.3">
      <c r="AA8267" s="3">
        <v>-21051.82</v>
      </c>
      <c r="AB8267">
        <v>1E-4</v>
      </c>
      <c r="AC8267">
        <v>9</v>
      </c>
      <c r="AD8267" s="5">
        <v>4.8572776405106923</v>
      </c>
      <c r="AE8267" s="5">
        <v>2.2784342857675726</v>
      </c>
      <c r="AF8267">
        <v>1</v>
      </c>
    </row>
    <row r="8268" spans="27:32" x14ac:dyDescent="0.3">
      <c r="AA8268" s="3">
        <v>-1989.39</v>
      </c>
      <c r="AB8268">
        <v>1E-4</v>
      </c>
      <c r="AC8268">
        <v>9</v>
      </c>
      <c r="AD8268" s="5">
        <v>5.12431720521427</v>
      </c>
      <c r="AE8268" s="5">
        <v>2.2181378575603188</v>
      </c>
      <c r="AF8268">
        <v>1</v>
      </c>
    </row>
    <row r="8269" spans="27:32" x14ac:dyDescent="0.3">
      <c r="AA8269" s="3">
        <v>1925.01</v>
      </c>
      <c r="AB8269">
        <v>1E-4</v>
      </c>
      <c r="AC8269">
        <v>8</v>
      </c>
      <c r="AD8269" s="5">
        <v>4.8952824807473858</v>
      </c>
      <c r="AE8269" s="5">
        <v>2.2313225210162715</v>
      </c>
      <c r="AF8269">
        <v>1</v>
      </c>
    </row>
    <row r="8270" spans="27:32" x14ac:dyDescent="0.3">
      <c r="AA8270" s="3">
        <v>26139.65</v>
      </c>
      <c r="AB8270">
        <v>1E-4</v>
      </c>
      <c r="AC8270">
        <v>8</v>
      </c>
      <c r="AD8270" s="5">
        <v>5.0473649853890263</v>
      </c>
      <c r="AE8270" s="5">
        <v>2.1504734490853248</v>
      </c>
      <c r="AF8270">
        <v>1</v>
      </c>
    </row>
    <row r="8271" spans="27:32" x14ac:dyDescent="0.3">
      <c r="AA8271" s="3">
        <v>5645.34</v>
      </c>
      <c r="AB8271">
        <v>1E-4</v>
      </c>
      <c r="AC8271">
        <v>8</v>
      </c>
      <c r="AD8271" s="5">
        <v>5.0419085606357923</v>
      </c>
      <c r="AE8271" s="5">
        <v>2.1643688986346956</v>
      </c>
      <c r="AF8271">
        <v>1</v>
      </c>
    </row>
    <row r="8272" spans="27:32" x14ac:dyDescent="0.3">
      <c r="AA8272" s="3">
        <v>9536.64</v>
      </c>
      <c r="AB8272">
        <v>1E-4</v>
      </c>
      <c r="AC8272">
        <v>8</v>
      </c>
      <c r="AD8272" s="5">
        <v>5.0724145261572477</v>
      </c>
      <c r="AE8272" s="5">
        <v>2.2208238884699911</v>
      </c>
      <c r="AF8272">
        <v>1</v>
      </c>
    </row>
    <row r="8273" spans="27:32" x14ac:dyDescent="0.3">
      <c r="AA8273" s="3">
        <v>27300.5</v>
      </c>
      <c r="AB8273">
        <v>1E-4</v>
      </c>
      <c r="AC8273">
        <v>8</v>
      </c>
      <c r="AD8273" s="5">
        <v>4.8893990149884567</v>
      </c>
      <c r="AE8273" s="5">
        <v>2.216252316215515</v>
      </c>
      <c r="AF8273">
        <v>1</v>
      </c>
    </row>
    <row r="8274" spans="27:32" x14ac:dyDescent="0.3">
      <c r="AA8274" s="3">
        <v>17518.73</v>
      </c>
      <c r="AB8274">
        <v>1E-4</v>
      </c>
      <c r="AC8274">
        <v>8</v>
      </c>
      <c r="AD8274" s="5">
        <v>4.9740272227344011</v>
      </c>
      <c r="AE8274" s="5">
        <v>2.2284642548030287</v>
      </c>
      <c r="AF8274">
        <v>1</v>
      </c>
    </row>
    <row r="8275" spans="27:32" x14ac:dyDescent="0.3">
      <c r="AA8275" s="3">
        <v>7916.97</v>
      </c>
      <c r="AB8275">
        <v>1E-4</v>
      </c>
      <c r="AC8275">
        <v>8</v>
      </c>
      <c r="AD8275" s="5">
        <v>5.0441194783351779</v>
      </c>
      <c r="AE8275" s="5">
        <v>2.2596199852824554</v>
      </c>
      <c r="AF8275">
        <v>1</v>
      </c>
    </row>
    <row r="8276" spans="27:32" x14ac:dyDescent="0.3">
      <c r="AA8276" s="3">
        <v>-26456.290175868598</v>
      </c>
      <c r="AB8276">
        <v>1E-4</v>
      </c>
      <c r="AC8276">
        <v>9</v>
      </c>
      <c r="AD8276" s="5">
        <v>4.8801393534716508</v>
      </c>
      <c r="AE8276" s="5">
        <v>2.2452851149654305</v>
      </c>
      <c r="AF8276">
        <v>0</v>
      </c>
    </row>
    <row r="8277" spans="27:32" x14ac:dyDescent="0.3">
      <c r="AA8277" s="3">
        <v>21058.33</v>
      </c>
      <c r="AB8277">
        <v>1E-4</v>
      </c>
      <c r="AC8277">
        <v>8</v>
      </c>
      <c r="AD8277" s="5">
        <v>5.062699381767346</v>
      </c>
      <c r="AE8277" s="5">
        <v>2.2345705219867202</v>
      </c>
      <c r="AF8277">
        <v>1</v>
      </c>
    </row>
    <row r="8278" spans="27:32" x14ac:dyDescent="0.3">
      <c r="AA8278" s="3">
        <v>30934.86</v>
      </c>
      <c r="AB8278">
        <v>1E-4</v>
      </c>
      <c r="AC8278">
        <v>7</v>
      </c>
      <c r="AD8278" s="5">
        <v>5.0901405224336109</v>
      </c>
      <c r="AE8278" s="5">
        <v>2.1608421239359572</v>
      </c>
      <c r="AF8278">
        <v>1</v>
      </c>
    </row>
    <row r="8279" spans="27:32" x14ac:dyDescent="0.3">
      <c r="AA8279" s="3">
        <v>18151.34</v>
      </c>
      <c r="AB8279">
        <v>1E-4</v>
      </c>
      <c r="AC8279">
        <v>8</v>
      </c>
      <c r="AD8279" s="5">
        <v>4.8512766335780064</v>
      </c>
      <c r="AE8279" s="5">
        <v>2.2057175801476157</v>
      </c>
      <c r="AF8279">
        <v>1</v>
      </c>
    </row>
    <row r="8280" spans="27:32" x14ac:dyDescent="0.3">
      <c r="AA8280" s="3">
        <v>36065.129999999997</v>
      </c>
      <c r="AB8280">
        <v>1E-4</v>
      </c>
      <c r="AC8280">
        <v>7</v>
      </c>
      <c r="AD8280" s="5">
        <v>5.0968664842647033</v>
      </c>
      <c r="AE8280" s="5">
        <v>2.1554431209062699</v>
      </c>
      <c r="AF8280">
        <v>1</v>
      </c>
    </row>
    <row r="8281" spans="27:32" x14ac:dyDescent="0.3">
      <c r="AA8281" s="3">
        <v>16758.96</v>
      </c>
      <c r="AB8281">
        <v>1E-4</v>
      </c>
      <c r="AC8281">
        <v>8</v>
      </c>
      <c r="AD8281" s="5">
        <v>4.8813469518799586</v>
      </c>
      <c r="AE8281" s="5">
        <v>2.1180816866824546</v>
      </c>
      <c r="AF8281">
        <v>1</v>
      </c>
    </row>
    <row r="8282" spans="27:32" x14ac:dyDescent="0.3">
      <c r="AA8282" s="3">
        <v>23165.83</v>
      </c>
      <c r="AB8282">
        <v>1E-4</v>
      </c>
      <c r="AC8282">
        <v>8</v>
      </c>
      <c r="AD8282" s="5">
        <v>4.9882600893907618</v>
      </c>
      <c r="AE8282" s="5">
        <v>2.1925554976401673</v>
      </c>
      <c r="AF8282">
        <v>1</v>
      </c>
    </row>
    <row r="8283" spans="27:32" x14ac:dyDescent="0.3">
      <c r="AA8283" s="3">
        <v>42233.5</v>
      </c>
      <c r="AB8283">
        <v>1E-4</v>
      </c>
      <c r="AC8283">
        <v>7</v>
      </c>
      <c r="AD8283" s="5">
        <v>5.1159708252989553</v>
      </c>
      <c r="AE8283" s="5">
        <v>2.1441527802645042</v>
      </c>
      <c r="AF8283">
        <v>1</v>
      </c>
    </row>
    <row r="8284" spans="27:32" x14ac:dyDescent="0.3">
      <c r="AA8284" s="3">
        <v>-21851.715795159856</v>
      </c>
      <c r="AB8284">
        <v>1E-4</v>
      </c>
      <c r="AC8284">
        <v>9</v>
      </c>
      <c r="AD8284" s="5">
        <v>4.9785183756996778</v>
      </c>
      <c r="AE8284" s="5">
        <v>2.1790646930849684</v>
      </c>
      <c r="AF8284">
        <v>0</v>
      </c>
    </row>
    <row r="8285" spans="27:32" x14ac:dyDescent="0.3">
      <c r="AA8285" s="3">
        <v>1523.96</v>
      </c>
      <c r="AB8285">
        <v>1E-4</v>
      </c>
      <c r="AC8285">
        <v>8</v>
      </c>
      <c r="AD8285" s="5">
        <v>4.881406306767178</v>
      </c>
      <c r="AE8285" s="5">
        <v>2.2267637409729861</v>
      </c>
      <c r="AF8285">
        <v>1</v>
      </c>
    </row>
    <row r="8286" spans="27:32" x14ac:dyDescent="0.3">
      <c r="AA8286" s="3">
        <v>33263.96</v>
      </c>
      <c r="AB8286">
        <v>1E-4</v>
      </c>
      <c r="AC8286">
        <v>7</v>
      </c>
      <c r="AD8286" s="5">
        <v>5.0816802362372631</v>
      </c>
      <c r="AE8286" s="5">
        <v>2.195944563260114</v>
      </c>
      <c r="AF8286">
        <v>1</v>
      </c>
    </row>
    <row r="8287" spans="27:32" x14ac:dyDescent="0.3">
      <c r="AA8287" s="3">
        <v>42895.360000000001</v>
      </c>
      <c r="AB8287">
        <v>1E-4</v>
      </c>
      <c r="AC8287">
        <v>7</v>
      </c>
      <c r="AD8287" s="5">
        <v>5.0623855819255956</v>
      </c>
      <c r="AE8287" s="5">
        <v>2.175998533224929</v>
      </c>
      <c r="AF8287">
        <v>1</v>
      </c>
    </row>
    <row r="8288" spans="27:32" x14ac:dyDescent="0.3">
      <c r="AA8288" s="3">
        <v>27103.11</v>
      </c>
      <c r="AB8288">
        <v>1E-4</v>
      </c>
      <c r="AC8288">
        <v>8</v>
      </c>
      <c r="AD8288" s="5">
        <v>4.9071343348371599</v>
      </c>
      <c r="AE8288" s="5">
        <v>2.237005510485957</v>
      </c>
      <c r="AF8288">
        <v>1</v>
      </c>
    </row>
    <row r="8289" spans="27:32" x14ac:dyDescent="0.3">
      <c r="AA8289" s="3">
        <v>5912.64</v>
      </c>
      <c r="AB8289">
        <v>1E-4</v>
      </c>
      <c r="AC8289">
        <v>8</v>
      </c>
      <c r="AD8289" s="5">
        <v>4.7715889805281027</v>
      </c>
      <c r="AE8289" s="5">
        <v>2.1250830121525239</v>
      </c>
      <c r="AF8289">
        <v>1</v>
      </c>
    </row>
    <row r="8290" spans="27:32" x14ac:dyDescent="0.3">
      <c r="AA8290" s="3">
        <v>13815.53</v>
      </c>
      <c r="AB8290">
        <v>1E-4</v>
      </c>
      <c r="AC8290">
        <v>8</v>
      </c>
      <c r="AD8290" s="5">
        <v>5.1139758659369097</v>
      </c>
      <c r="AE8290" s="5">
        <v>2.0989823958678469</v>
      </c>
      <c r="AF8290">
        <v>1</v>
      </c>
    </row>
    <row r="8291" spans="27:32" x14ac:dyDescent="0.3">
      <c r="AA8291" s="3">
        <v>44981.919999999998</v>
      </c>
      <c r="AB8291">
        <v>1E-4</v>
      </c>
      <c r="AC8291">
        <v>7</v>
      </c>
      <c r="AD8291" s="5">
        <v>4.9673638571677543</v>
      </c>
      <c r="AE8291" s="5">
        <v>2.1803933106190172</v>
      </c>
      <c r="AF8291">
        <v>1</v>
      </c>
    </row>
    <row r="8292" spans="27:32" x14ac:dyDescent="0.3">
      <c r="AA8292" s="3">
        <v>13688</v>
      </c>
      <c r="AB8292">
        <v>1E-4</v>
      </c>
      <c r="AC8292">
        <v>8</v>
      </c>
      <c r="AD8292" s="5">
        <v>5.0713864678958931</v>
      </c>
      <c r="AE8292" s="5">
        <v>2.2109013794772285</v>
      </c>
      <c r="AF8292">
        <v>1</v>
      </c>
    </row>
    <row r="8293" spans="27:32" x14ac:dyDescent="0.3">
      <c r="AA8293" s="3">
        <v>898.04</v>
      </c>
      <c r="AB8293">
        <v>1E-4</v>
      </c>
      <c r="AC8293">
        <v>8</v>
      </c>
      <c r="AD8293" s="5">
        <v>4.9118066342080153</v>
      </c>
      <c r="AE8293" s="5">
        <v>2.2785193601498066</v>
      </c>
      <c r="AF8293">
        <v>1</v>
      </c>
    </row>
    <row r="8294" spans="27:32" x14ac:dyDescent="0.3">
      <c r="AA8294" s="3">
        <v>-16270.61</v>
      </c>
      <c r="AB8294">
        <v>1E-4</v>
      </c>
      <c r="AC8294">
        <v>9</v>
      </c>
      <c r="AD8294" s="5">
        <v>4.8135986246224514</v>
      </c>
      <c r="AE8294" s="5">
        <v>2.2305179002685311</v>
      </c>
      <c r="AF8294">
        <v>1</v>
      </c>
    </row>
    <row r="8295" spans="27:32" x14ac:dyDescent="0.3">
      <c r="AA8295" s="3">
        <v>14915.2</v>
      </c>
      <c r="AB8295">
        <v>1E-4</v>
      </c>
      <c r="AC8295">
        <v>8</v>
      </c>
      <c r="AD8295" s="5">
        <v>5.1015829132370545</v>
      </c>
      <c r="AE8295" s="5">
        <v>2.1656774503923226</v>
      </c>
      <c r="AF8295">
        <v>1</v>
      </c>
    </row>
    <row r="8296" spans="27:32" x14ac:dyDescent="0.3">
      <c r="AA8296" s="3">
        <v>44495.71</v>
      </c>
      <c r="AB8296">
        <v>1E-4</v>
      </c>
      <c r="AC8296">
        <v>7</v>
      </c>
      <c r="AD8296" s="5">
        <v>5.2172192634800441</v>
      </c>
      <c r="AE8296" s="5">
        <v>2.2281180594814773</v>
      </c>
      <c r="AF8296">
        <v>1</v>
      </c>
    </row>
    <row r="8297" spans="27:32" x14ac:dyDescent="0.3">
      <c r="AA8297" s="3">
        <v>-814.94</v>
      </c>
      <c r="AB8297">
        <v>1E-4</v>
      </c>
      <c r="AC8297">
        <v>9</v>
      </c>
      <c r="AD8297" s="5">
        <v>4.8350409984328113</v>
      </c>
      <c r="AE8297" s="5">
        <v>2.222563742484553</v>
      </c>
      <c r="AF8297">
        <v>1</v>
      </c>
    </row>
    <row r="8298" spans="27:32" x14ac:dyDescent="0.3">
      <c r="AA8298" s="3">
        <v>18744.96</v>
      </c>
      <c r="AB8298">
        <v>1E-4</v>
      </c>
      <c r="AC8298">
        <v>8</v>
      </c>
      <c r="AD8298" s="5">
        <v>4.9684791365949996</v>
      </c>
      <c r="AE8298" s="5">
        <v>2.1035558957396296</v>
      </c>
      <c r="AF8298">
        <v>1</v>
      </c>
    </row>
    <row r="8299" spans="27:32" x14ac:dyDescent="0.3">
      <c r="AA8299" s="3">
        <v>14272.39</v>
      </c>
      <c r="AB8299">
        <v>1E-4</v>
      </c>
      <c r="AC8299">
        <v>8</v>
      </c>
      <c r="AD8299" s="5">
        <v>5.0997829371646608</v>
      </c>
      <c r="AE8299" s="5">
        <v>2.2253437018304361</v>
      </c>
      <c r="AF8299">
        <v>1</v>
      </c>
    </row>
    <row r="8300" spans="27:32" x14ac:dyDescent="0.3">
      <c r="AA8300" s="3">
        <v>15080.59</v>
      </c>
      <c r="AB8300">
        <v>1E-4</v>
      </c>
      <c r="AC8300">
        <v>8</v>
      </c>
      <c r="AD8300" s="5">
        <v>5.0096876697781267</v>
      </c>
      <c r="AE8300" s="5">
        <v>2.2023187622976197</v>
      </c>
      <c r="AF8300">
        <v>1</v>
      </c>
    </row>
    <row r="8301" spans="27:32" x14ac:dyDescent="0.3">
      <c r="AA8301" s="3">
        <v>18575.23</v>
      </c>
      <c r="AB8301">
        <v>1E-4</v>
      </c>
      <c r="AC8301">
        <v>8</v>
      </c>
      <c r="AD8301" s="5">
        <v>4.9582883775069018</v>
      </c>
      <c r="AE8301" s="5">
        <v>2.1699709294617988</v>
      </c>
      <c r="AF8301">
        <v>1</v>
      </c>
    </row>
    <row r="8302" spans="27:32" x14ac:dyDescent="0.3">
      <c r="AA8302" s="3">
        <v>5004.8500000000004</v>
      </c>
      <c r="AB8302">
        <v>1E-4</v>
      </c>
      <c r="AC8302">
        <v>8</v>
      </c>
      <c r="AD8302" s="5">
        <v>4.9463988375061829</v>
      </c>
      <c r="AE8302" s="5">
        <v>2.1841055215366656</v>
      </c>
      <c r="AF8302">
        <v>1</v>
      </c>
    </row>
    <row r="8303" spans="27:32" x14ac:dyDescent="0.3">
      <c r="AA8303" s="3">
        <v>8941.74</v>
      </c>
      <c r="AB8303">
        <v>1E-4</v>
      </c>
      <c r="AC8303">
        <v>8</v>
      </c>
      <c r="AD8303" s="5">
        <v>5.066630144562339</v>
      </c>
      <c r="AE8303" s="5">
        <v>2.3171257547515021</v>
      </c>
      <c r="AF8303">
        <v>1</v>
      </c>
    </row>
    <row r="8304" spans="27:32" x14ac:dyDescent="0.3">
      <c r="AA8304" s="3">
        <v>5329.57</v>
      </c>
      <c r="AB8304">
        <v>1E-4</v>
      </c>
      <c r="AC8304">
        <v>8</v>
      </c>
      <c r="AD8304" s="5">
        <v>5.0358013573439777</v>
      </c>
      <c r="AE8304" s="5">
        <v>2.090221243529776</v>
      </c>
      <c r="AF8304">
        <v>1</v>
      </c>
    </row>
    <row r="8305" spans="27:32" x14ac:dyDescent="0.3">
      <c r="AA8305" s="3">
        <v>161.22999999999999</v>
      </c>
      <c r="AB8305">
        <v>1E-4</v>
      </c>
      <c r="AC8305">
        <v>8</v>
      </c>
      <c r="AD8305" s="5">
        <v>4.8826594117369879</v>
      </c>
      <c r="AE8305" s="5">
        <v>2.1941486463483812</v>
      </c>
      <c r="AF8305">
        <v>1</v>
      </c>
    </row>
    <row r="8306" spans="27:32" x14ac:dyDescent="0.3">
      <c r="AA8306" s="3">
        <v>29355.95</v>
      </c>
      <c r="AB8306">
        <v>1E-4</v>
      </c>
      <c r="AC8306">
        <v>8</v>
      </c>
      <c r="AD8306" s="5">
        <v>4.9716508614503097</v>
      </c>
      <c r="AE8306" s="5">
        <v>2.104792660923454</v>
      </c>
      <c r="AF8306">
        <v>1</v>
      </c>
    </row>
    <row r="8307" spans="27:32" x14ac:dyDescent="0.3">
      <c r="AA8307" s="3">
        <v>16173.9</v>
      </c>
      <c r="AB8307">
        <v>1E-4</v>
      </c>
      <c r="AC8307">
        <v>8</v>
      </c>
      <c r="AD8307" s="5">
        <v>5.0870407707421066</v>
      </c>
      <c r="AE8307" s="5">
        <v>2.1415734057074141</v>
      </c>
      <c r="AF8307">
        <v>1</v>
      </c>
    </row>
    <row r="8308" spans="27:32" x14ac:dyDescent="0.3">
      <c r="AA8308" s="3">
        <v>5922.95</v>
      </c>
      <c r="AB8308">
        <v>1E-4</v>
      </c>
      <c r="AC8308">
        <v>8</v>
      </c>
      <c r="AD8308" s="5">
        <v>4.9886011378359285</v>
      </c>
      <c r="AE8308" s="5">
        <v>2.1752705887792176</v>
      </c>
      <c r="AF8308">
        <v>1</v>
      </c>
    </row>
    <row r="8309" spans="27:32" x14ac:dyDescent="0.3">
      <c r="AA8309" s="3">
        <v>30278.7</v>
      </c>
      <c r="AB8309">
        <v>1E-4</v>
      </c>
      <c r="AC8309">
        <v>7</v>
      </c>
      <c r="AD8309" s="5">
        <v>4.9442835784584114</v>
      </c>
      <c r="AE8309" s="5">
        <v>2.2791995739289219</v>
      </c>
      <c r="AF8309">
        <v>1</v>
      </c>
    </row>
    <row r="8310" spans="27:32" x14ac:dyDescent="0.3">
      <c r="AA8310" s="3">
        <v>16594.71</v>
      </c>
      <c r="AB8310">
        <v>1E-4</v>
      </c>
      <c r="AC8310">
        <v>8</v>
      </c>
      <c r="AD8310" s="5">
        <v>5.0145894261423285</v>
      </c>
      <c r="AE8310" s="5">
        <v>2.2171113059000978</v>
      </c>
      <c r="AF8310">
        <v>1</v>
      </c>
    </row>
    <row r="8311" spans="27:32" x14ac:dyDescent="0.3">
      <c r="AA8311" s="3">
        <v>3054.17</v>
      </c>
      <c r="AB8311">
        <v>1E-4</v>
      </c>
      <c r="AC8311">
        <v>8</v>
      </c>
      <c r="AD8311" s="5">
        <v>5.038897521074273</v>
      </c>
      <c r="AE8311" s="5">
        <v>2.1605833663778191</v>
      </c>
      <c r="AF8311">
        <v>1</v>
      </c>
    </row>
    <row r="8312" spans="27:32" x14ac:dyDescent="0.3">
      <c r="AA8312" s="3">
        <v>26862.74</v>
      </c>
      <c r="AB8312">
        <v>1E-4</v>
      </c>
      <c r="AC8312">
        <v>8</v>
      </c>
      <c r="AD8312" s="5">
        <v>5.1179593567809931</v>
      </c>
      <c r="AE8312" s="5">
        <v>2.1504821134607415</v>
      </c>
      <c r="AF8312">
        <v>1</v>
      </c>
    </row>
    <row r="8313" spans="27:32" x14ac:dyDescent="0.3">
      <c r="AA8313" s="3">
        <v>2398.71</v>
      </c>
      <c r="AB8313">
        <v>1E-4</v>
      </c>
      <c r="AC8313">
        <v>8</v>
      </c>
      <c r="AD8313" s="5">
        <v>5.0658060129638258</v>
      </c>
      <c r="AE8313" s="5">
        <v>2.1719305166236702</v>
      </c>
      <c r="AF8313">
        <v>1</v>
      </c>
    </row>
    <row r="8314" spans="27:32" x14ac:dyDescent="0.3">
      <c r="AA8314" s="3">
        <v>3143.07</v>
      </c>
      <c r="AB8314">
        <v>1E-4</v>
      </c>
      <c r="AC8314">
        <v>8</v>
      </c>
      <c r="AD8314" s="5">
        <v>4.9052708646526391</v>
      </c>
      <c r="AE8314" s="5">
        <v>2.2082154048257689</v>
      </c>
      <c r="AF8314">
        <v>1</v>
      </c>
    </row>
    <row r="8315" spans="27:32" x14ac:dyDescent="0.3">
      <c r="AA8315" s="3">
        <v>19185.849999999999</v>
      </c>
      <c r="AB8315">
        <v>1E-4</v>
      </c>
      <c r="AC8315">
        <v>8</v>
      </c>
      <c r="AD8315" s="5">
        <v>5.0649098370493402</v>
      </c>
      <c r="AE8315" s="5">
        <v>2.1623639372890064</v>
      </c>
      <c r="AF8315">
        <v>1</v>
      </c>
    </row>
    <row r="8316" spans="27:32" x14ac:dyDescent="0.3">
      <c r="AA8316" s="3">
        <v>38531</v>
      </c>
      <c r="AB8316">
        <v>1E-4</v>
      </c>
      <c r="AC8316">
        <v>7</v>
      </c>
      <c r="AD8316" s="5">
        <v>4.9912773304168949</v>
      </c>
      <c r="AE8316" s="5">
        <v>2.2199019417706185</v>
      </c>
      <c r="AF8316">
        <v>1</v>
      </c>
    </row>
    <row r="8317" spans="27:32" x14ac:dyDescent="0.3">
      <c r="AA8317" s="3">
        <v>55341.33</v>
      </c>
      <c r="AB8317">
        <v>1E-4</v>
      </c>
      <c r="AC8317">
        <v>6</v>
      </c>
      <c r="AD8317" s="5">
        <v>5.0123023951763965</v>
      </c>
      <c r="AE8317" s="5">
        <v>2.1139354841948426</v>
      </c>
      <c r="AF8317">
        <v>1</v>
      </c>
    </row>
    <row r="8318" spans="27:32" x14ac:dyDescent="0.3">
      <c r="AA8318" s="3">
        <v>-4200.6099999999997</v>
      </c>
      <c r="AB8318">
        <v>1E-4</v>
      </c>
      <c r="AC8318">
        <v>9</v>
      </c>
      <c r="AD8318" s="5">
        <v>5.0438542138980784</v>
      </c>
      <c r="AE8318" s="5">
        <v>2.157978228089664</v>
      </c>
      <c r="AF8318">
        <v>1</v>
      </c>
    </row>
    <row r="8319" spans="27:32" x14ac:dyDescent="0.3">
      <c r="AA8319" s="3">
        <v>-9988.2800000000007</v>
      </c>
      <c r="AB8319">
        <v>1E-4</v>
      </c>
      <c r="AC8319">
        <v>9</v>
      </c>
      <c r="AD8319" s="5">
        <v>4.9915818294834775</v>
      </c>
      <c r="AE8319" s="5">
        <v>2.1084868678820561</v>
      </c>
      <c r="AF8319">
        <v>1</v>
      </c>
    </row>
    <row r="8320" spans="27:32" x14ac:dyDescent="0.3">
      <c r="AA8320" s="3">
        <v>30482.22</v>
      </c>
      <c r="AB8320">
        <v>1E-4</v>
      </c>
      <c r="AC8320">
        <v>7</v>
      </c>
      <c r="AD8320" s="5">
        <v>4.9300181857795851</v>
      </c>
      <c r="AE8320" s="5">
        <v>2.1728473073199428</v>
      </c>
      <c r="AF8320">
        <v>1</v>
      </c>
    </row>
    <row r="8321" spans="27:32" x14ac:dyDescent="0.3">
      <c r="AA8321" s="3">
        <v>6888.14</v>
      </c>
      <c r="AB8321">
        <v>1E-4</v>
      </c>
      <c r="AC8321">
        <v>8</v>
      </c>
      <c r="AD8321" s="5">
        <v>4.9730497000445135</v>
      </c>
      <c r="AE8321" s="5">
        <v>2.2494137535167975</v>
      </c>
      <c r="AF8321">
        <v>1</v>
      </c>
    </row>
    <row r="8322" spans="27:32" x14ac:dyDescent="0.3">
      <c r="AA8322" s="3">
        <v>-2480.2399999999998</v>
      </c>
      <c r="AB8322">
        <v>1E-4</v>
      </c>
      <c r="AC8322">
        <v>9</v>
      </c>
      <c r="AD8322" s="5">
        <v>5.0713870729803743</v>
      </c>
      <c r="AE8322" s="5">
        <v>2.2601143655404181</v>
      </c>
      <c r="AF8322">
        <v>1</v>
      </c>
    </row>
    <row r="8323" spans="27:32" x14ac:dyDescent="0.3">
      <c r="AA8323" s="3">
        <v>19752.02</v>
      </c>
      <c r="AB8323">
        <v>1E-4</v>
      </c>
      <c r="AC8323">
        <v>8</v>
      </c>
      <c r="AD8323" s="5">
        <v>5.0442772800821665</v>
      </c>
      <c r="AE8323" s="5">
        <v>2.1507736075828645</v>
      </c>
      <c r="AF8323">
        <v>1</v>
      </c>
    </row>
    <row r="8324" spans="27:32" x14ac:dyDescent="0.3">
      <c r="AA8324" s="3">
        <v>28871.58</v>
      </c>
      <c r="AB8324">
        <v>1E-4</v>
      </c>
      <c r="AC8324">
        <v>8</v>
      </c>
      <c r="AD8324" s="5">
        <v>5.0117467059653444</v>
      </c>
      <c r="AE8324" s="5">
        <v>2.1636414249179086</v>
      </c>
      <c r="AF8324">
        <v>1</v>
      </c>
    </row>
    <row r="8325" spans="27:32" x14ac:dyDescent="0.3">
      <c r="AA8325" s="3">
        <v>19544.68</v>
      </c>
      <c r="AB8325">
        <v>1E-4</v>
      </c>
      <c r="AC8325">
        <v>8</v>
      </c>
      <c r="AD8325" s="5">
        <v>5.1639658739998007</v>
      </c>
      <c r="AE8325" s="5">
        <v>2.2782904340519554</v>
      </c>
      <c r="AF8325">
        <v>1</v>
      </c>
    </row>
    <row r="8326" spans="27:32" x14ac:dyDescent="0.3">
      <c r="AA8326" s="3">
        <v>3303.44</v>
      </c>
      <c r="AB8326">
        <v>1E-4</v>
      </c>
      <c r="AC8326">
        <v>8</v>
      </c>
      <c r="AD8326" s="5">
        <v>4.7614702574518804</v>
      </c>
      <c r="AE8326" s="5">
        <v>2.1260146445672867</v>
      </c>
      <c r="AF8326">
        <v>1</v>
      </c>
    </row>
    <row r="8327" spans="27:32" x14ac:dyDescent="0.3">
      <c r="AA8327" s="3">
        <v>13401.81</v>
      </c>
      <c r="AB8327">
        <v>1E-4</v>
      </c>
      <c r="AC8327">
        <v>8</v>
      </c>
      <c r="AD8327" s="5">
        <v>5.0439018079720102</v>
      </c>
      <c r="AE8327" s="5">
        <v>2.1703731964400985</v>
      </c>
      <c r="AF8327">
        <v>1</v>
      </c>
    </row>
    <row r="8328" spans="27:32" x14ac:dyDescent="0.3">
      <c r="AA8328" s="3">
        <v>38261.620000000003</v>
      </c>
      <c r="AB8328">
        <v>1E-4</v>
      </c>
      <c r="AC8328">
        <v>7</v>
      </c>
      <c r="AD8328" s="5">
        <v>5.1824161515529745</v>
      </c>
      <c r="AE8328" s="5">
        <v>2.1646116476972552</v>
      </c>
      <c r="AF8328">
        <v>1</v>
      </c>
    </row>
    <row r="8329" spans="27:32" x14ac:dyDescent="0.3">
      <c r="AA8329" s="3">
        <v>27192.73</v>
      </c>
      <c r="AB8329">
        <v>1E-4</v>
      </c>
      <c r="AC8329">
        <v>7</v>
      </c>
      <c r="AD8329" s="5">
        <v>5.1263807871192784</v>
      </c>
      <c r="AE8329" s="5">
        <v>2.2098789396711234</v>
      </c>
      <c r="AF8329">
        <v>1</v>
      </c>
    </row>
    <row r="8330" spans="27:32" x14ac:dyDescent="0.3">
      <c r="AA8330" s="3">
        <v>2400.11</v>
      </c>
      <c r="AB8330">
        <v>1E-4</v>
      </c>
      <c r="AC8330">
        <v>8</v>
      </c>
      <c r="AD8330" s="5">
        <v>4.937377672427063</v>
      </c>
      <c r="AE8330" s="5">
        <v>2.1507427033905611</v>
      </c>
      <c r="AF8330">
        <v>1</v>
      </c>
    </row>
    <row r="8331" spans="27:32" x14ac:dyDescent="0.3">
      <c r="AA8331" s="3">
        <v>22544.61</v>
      </c>
      <c r="AB8331">
        <v>1E-4</v>
      </c>
      <c r="AC8331">
        <v>8</v>
      </c>
      <c r="AD8331" s="5">
        <v>5.1781866215921042</v>
      </c>
      <c r="AE8331" s="5">
        <v>2.1049791117926104</v>
      </c>
      <c r="AF8331">
        <v>1</v>
      </c>
    </row>
    <row r="8332" spans="27:32" x14ac:dyDescent="0.3">
      <c r="AA8332" s="3">
        <v>15186.29</v>
      </c>
      <c r="AB8332">
        <v>1E-4</v>
      </c>
      <c r="AC8332">
        <v>8</v>
      </c>
      <c r="AD8332" s="5">
        <v>4.7968917611248747</v>
      </c>
      <c r="AE8332" s="5">
        <v>2.2467192816552726</v>
      </c>
      <c r="AF8332">
        <v>1</v>
      </c>
    </row>
    <row r="8333" spans="27:32" x14ac:dyDescent="0.3">
      <c r="AA8333" s="3">
        <v>16291.69</v>
      </c>
      <c r="AB8333">
        <v>1E-4</v>
      </c>
      <c r="AC8333">
        <v>8</v>
      </c>
      <c r="AD8333" s="5">
        <v>5.0800293224652897</v>
      </c>
      <c r="AE8333" s="5">
        <v>2.1382979961754658</v>
      </c>
      <c r="AF8333">
        <v>1</v>
      </c>
    </row>
    <row r="8334" spans="27:32" x14ac:dyDescent="0.3">
      <c r="AA8334" s="3">
        <v>40720.720000000001</v>
      </c>
      <c r="AB8334">
        <v>1E-4</v>
      </c>
      <c r="AC8334">
        <v>7</v>
      </c>
      <c r="AD8334" s="5">
        <v>5.0009786674407177</v>
      </c>
      <c r="AE8334" s="5">
        <v>2.2094378241519781</v>
      </c>
      <c r="AF8334">
        <v>1</v>
      </c>
    </row>
    <row r="8335" spans="27:32" x14ac:dyDescent="0.3">
      <c r="AA8335" s="3">
        <v>14999.99</v>
      </c>
      <c r="AB8335">
        <v>1E-4</v>
      </c>
      <c r="AC8335">
        <v>8</v>
      </c>
      <c r="AD8335" s="5">
        <v>5.0221459160037938</v>
      </c>
      <c r="AE8335" s="5">
        <v>2.142901543145376</v>
      </c>
      <c r="AF8335">
        <v>1</v>
      </c>
    </row>
    <row r="8336" spans="27:32" x14ac:dyDescent="0.3">
      <c r="AA8336" s="3">
        <v>2185.0700000000002</v>
      </c>
      <c r="AB8336">
        <v>1E-4</v>
      </c>
      <c r="AC8336">
        <v>8</v>
      </c>
      <c r="AD8336" s="5">
        <v>4.9575986800578375</v>
      </c>
      <c r="AE8336" s="5">
        <v>2.1804215832848022</v>
      </c>
      <c r="AF8336">
        <v>1</v>
      </c>
    </row>
    <row r="8337" spans="27:32" x14ac:dyDescent="0.3">
      <c r="AA8337" s="3">
        <v>31124.7</v>
      </c>
      <c r="AB8337">
        <v>1E-4</v>
      </c>
      <c r="AC8337">
        <v>7</v>
      </c>
      <c r="AD8337" s="5">
        <v>4.9643145357900407</v>
      </c>
      <c r="AE8337" s="5">
        <v>2.2117211732761852</v>
      </c>
      <c r="AF8337">
        <v>1</v>
      </c>
    </row>
    <row r="8338" spans="27:32" x14ac:dyDescent="0.3">
      <c r="AA8338" s="3">
        <v>32751.57</v>
      </c>
      <c r="AB8338">
        <v>1E-4</v>
      </c>
      <c r="AC8338">
        <v>7</v>
      </c>
      <c r="AD8338" s="5">
        <v>4.884331475655844</v>
      </c>
      <c r="AE8338" s="5">
        <v>2.1492289779359068</v>
      </c>
      <c r="AF8338">
        <v>1</v>
      </c>
    </row>
    <row r="8339" spans="27:32" x14ac:dyDescent="0.3">
      <c r="AA8339" s="3">
        <v>-3014.47</v>
      </c>
      <c r="AB8339">
        <v>1E-4</v>
      </c>
      <c r="AC8339">
        <v>9</v>
      </c>
      <c r="AD8339" s="5">
        <v>4.9440281754248723</v>
      </c>
      <c r="AE8339" s="5">
        <v>2.1748980598426724</v>
      </c>
      <c r="AF8339">
        <v>1</v>
      </c>
    </row>
    <row r="8340" spans="27:32" x14ac:dyDescent="0.3">
      <c r="AA8340" s="3">
        <v>27189.77</v>
      </c>
      <c r="AB8340">
        <v>1E-4</v>
      </c>
      <c r="AC8340">
        <v>8</v>
      </c>
      <c r="AD8340" s="5">
        <v>4.9824145450109771</v>
      </c>
      <c r="AE8340" s="5">
        <v>2.1462357715022122</v>
      </c>
      <c r="AF8340">
        <v>1</v>
      </c>
    </row>
    <row r="8341" spans="27:32" x14ac:dyDescent="0.3">
      <c r="AA8341" s="3">
        <v>40880.29</v>
      </c>
      <c r="AB8341">
        <v>1E-4</v>
      </c>
      <c r="AC8341">
        <v>7</v>
      </c>
      <c r="AD8341" s="5">
        <v>5.0264406715514554</v>
      </c>
      <c r="AE8341" s="5">
        <v>2.2698279734276481</v>
      </c>
      <c r="AF8341">
        <v>1</v>
      </c>
    </row>
    <row r="8342" spans="27:32" x14ac:dyDescent="0.3">
      <c r="AA8342" s="3">
        <v>-3449.84</v>
      </c>
      <c r="AB8342">
        <v>1E-4</v>
      </c>
      <c r="AC8342">
        <v>9</v>
      </c>
      <c r="AD8342" s="5">
        <v>5.0194186129510401</v>
      </c>
      <c r="AE8342" s="5">
        <v>2.2380476900249944</v>
      </c>
      <c r="AF8342">
        <v>1</v>
      </c>
    </row>
    <row r="8343" spans="27:32" x14ac:dyDescent="0.3">
      <c r="AA8343" s="3">
        <v>14407.42</v>
      </c>
      <c r="AB8343">
        <v>1E-4</v>
      </c>
      <c r="AC8343">
        <v>8</v>
      </c>
      <c r="AD8343" s="5">
        <v>4.9644891805833407</v>
      </c>
      <c r="AE8343" s="5">
        <v>2.1467735847508953</v>
      </c>
      <c r="AF8343">
        <v>1</v>
      </c>
    </row>
    <row r="8344" spans="27:32" x14ac:dyDescent="0.3">
      <c r="AA8344" s="3">
        <v>18752.38</v>
      </c>
      <c r="AB8344">
        <v>1E-4</v>
      </c>
      <c r="AC8344">
        <v>8</v>
      </c>
      <c r="AD8344" s="5">
        <v>4.8777572414801433</v>
      </c>
      <c r="AE8344" s="5">
        <v>2.1805001375474768</v>
      </c>
      <c r="AF8344">
        <v>1</v>
      </c>
    </row>
    <row r="8345" spans="27:32" x14ac:dyDescent="0.3">
      <c r="AA8345" s="3">
        <v>16784.87</v>
      </c>
      <c r="AB8345">
        <v>1E-4</v>
      </c>
      <c r="AC8345">
        <v>8</v>
      </c>
      <c r="AD8345" s="5">
        <v>5.0122324672019714</v>
      </c>
      <c r="AE8345" s="5">
        <v>2.235676372569634</v>
      </c>
      <c r="AF8345">
        <v>1</v>
      </c>
    </row>
    <row r="8346" spans="27:32" x14ac:dyDescent="0.3">
      <c r="AA8346" s="3">
        <v>25798.52</v>
      </c>
      <c r="AB8346">
        <v>1E-4</v>
      </c>
      <c r="AC8346">
        <v>8</v>
      </c>
      <c r="AD8346" s="5">
        <v>4.8578746021146522</v>
      </c>
      <c r="AE8346" s="5">
        <v>2.2488072277185083</v>
      </c>
      <c r="AF8346">
        <v>1</v>
      </c>
    </row>
    <row r="8347" spans="27:32" x14ac:dyDescent="0.3">
      <c r="AA8347" s="3">
        <v>25260.51</v>
      </c>
      <c r="AB8347">
        <v>1E-4</v>
      </c>
      <c r="AC8347">
        <v>8</v>
      </c>
      <c r="AD8347" s="5">
        <v>5.2229777904888097</v>
      </c>
      <c r="AE8347" s="5">
        <v>2.2080157326342778</v>
      </c>
      <c r="AF8347">
        <v>1</v>
      </c>
    </row>
    <row r="8348" spans="27:32" x14ac:dyDescent="0.3">
      <c r="AA8348" s="3">
        <v>3481.6</v>
      </c>
      <c r="AB8348">
        <v>1E-4</v>
      </c>
      <c r="AC8348">
        <v>8</v>
      </c>
      <c r="AD8348" s="5">
        <v>5.1325909162039416</v>
      </c>
      <c r="AE8348" s="5">
        <v>2.2350705915591984</v>
      </c>
      <c r="AF8348">
        <v>1</v>
      </c>
    </row>
    <row r="8349" spans="27:32" x14ac:dyDescent="0.3">
      <c r="AA8349" s="3">
        <v>11379.44</v>
      </c>
      <c r="AB8349">
        <v>1E-4</v>
      </c>
      <c r="AC8349">
        <v>8</v>
      </c>
      <c r="AD8349" s="5">
        <v>5.0905806045876369</v>
      </c>
      <c r="AE8349" s="5">
        <v>2.2025907894875916</v>
      </c>
      <c r="AF8349">
        <v>1</v>
      </c>
    </row>
    <row r="8350" spans="27:32" x14ac:dyDescent="0.3">
      <c r="AA8350" s="3">
        <v>-21732.61</v>
      </c>
      <c r="AB8350">
        <v>1E-4</v>
      </c>
      <c r="AC8350">
        <v>9</v>
      </c>
      <c r="AD8350" s="5">
        <v>4.7281025083507053</v>
      </c>
      <c r="AE8350" s="5">
        <v>2.2372161976863021</v>
      </c>
      <c r="AF8350">
        <v>1</v>
      </c>
    </row>
    <row r="8351" spans="27:32" x14ac:dyDescent="0.3">
      <c r="AA8351" s="3">
        <v>-5877.67</v>
      </c>
      <c r="AB8351">
        <v>1E-4</v>
      </c>
      <c r="AC8351">
        <v>9</v>
      </c>
      <c r="AD8351" s="5">
        <v>5.0807423664469775</v>
      </c>
      <c r="AE8351" s="5">
        <v>2.2648438387667968</v>
      </c>
      <c r="AF8351">
        <v>1</v>
      </c>
    </row>
    <row r="8352" spans="27:32" x14ac:dyDescent="0.3">
      <c r="AA8352" s="3">
        <v>7989.61</v>
      </c>
      <c r="AB8352">
        <v>1E-4</v>
      </c>
      <c r="AC8352">
        <v>8</v>
      </c>
      <c r="AD8352" s="5">
        <v>4.9435880501639984</v>
      </c>
      <c r="AE8352" s="5">
        <v>2.3290257053385779</v>
      </c>
      <c r="AF8352">
        <v>1</v>
      </c>
    </row>
    <row r="8353" spans="27:32" x14ac:dyDescent="0.3">
      <c r="AA8353" s="3">
        <v>19509.25</v>
      </c>
      <c r="AB8353">
        <v>1E-4</v>
      </c>
      <c r="AC8353">
        <v>8</v>
      </c>
      <c r="AD8353" s="5">
        <v>4.973560531461767</v>
      </c>
      <c r="AE8353" s="5">
        <v>2.2126371697042981</v>
      </c>
      <c r="AF8353">
        <v>1</v>
      </c>
    </row>
    <row r="8354" spans="27:32" x14ac:dyDescent="0.3">
      <c r="AA8354" s="3">
        <v>34773.24</v>
      </c>
      <c r="AB8354">
        <v>1E-4</v>
      </c>
      <c r="AC8354">
        <v>7</v>
      </c>
      <c r="AD8354" s="5">
        <v>5.0896282661386207</v>
      </c>
      <c r="AE8354" s="5">
        <v>2.1737155517405347</v>
      </c>
      <c r="AF8354">
        <v>1</v>
      </c>
    </row>
    <row r="8355" spans="27:32" x14ac:dyDescent="0.3">
      <c r="AA8355" s="3">
        <v>4649.18</v>
      </c>
      <c r="AB8355">
        <v>1E-4</v>
      </c>
      <c r="AC8355">
        <v>8</v>
      </c>
      <c r="AD8355" s="5">
        <v>5.0988420422173952</v>
      </c>
      <c r="AE8355" s="5">
        <v>2.2451623148035655</v>
      </c>
      <c r="AF8355">
        <v>1</v>
      </c>
    </row>
    <row r="8356" spans="27:32" x14ac:dyDescent="0.3">
      <c r="AA8356" s="3">
        <v>2674.68</v>
      </c>
      <c r="AB8356">
        <v>1E-4</v>
      </c>
      <c r="AC8356">
        <v>8</v>
      </c>
      <c r="AD8356" s="5">
        <v>5.0776930305891632</v>
      </c>
      <c r="AE8356" s="5">
        <v>2.221948423841225</v>
      </c>
      <c r="AF8356">
        <v>1</v>
      </c>
    </row>
    <row r="8357" spans="27:32" x14ac:dyDescent="0.3">
      <c r="AA8357" s="3">
        <v>47170.22</v>
      </c>
      <c r="AB8357">
        <v>1E-4</v>
      </c>
      <c r="AC8357">
        <v>7</v>
      </c>
      <c r="AD8357" s="5">
        <v>4.9945718717225374</v>
      </c>
      <c r="AE8357" s="5">
        <v>2.1264975435571438</v>
      </c>
      <c r="AF8357">
        <v>1</v>
      </c>
    </row>
    <row r="8358" spans="27:32" x14ac:dyDescent="0.3">
      <c r="AA8358" s="3">
        <v>25918.57</v>
      </c>
      <c r="AB8358">
        <v>1E-4</v>
      </c>
      <c r="AC8358">
        <v>8</v>
      </c>
      <c r="AD8358" s="5">
        <v>5.0096891325257777</v>
      </c>
      <c r="AE8358" s="5">
        <v>2.2427936286329655</v>
      </c>
      <c r="AF8358">
        <v>1</v>
      </c>
    </row>
    <row r="8359" spans="27:32" x14ac:dyDescent="0.3">
      <c r="AA8359" s="3">
        <v>19923.650000000001</v>
      </c>
      <c r="AB8359">
        <v>1E-4</v>
      </c>
      <c r="AC8359">
        <v>8</v>
      </c>
      <c r="AD8359" s="5">
        <v>5.0379665044723296</v>
      </c>
      <c r="AE8359" s="5">
        <v>2.1943633889096881</v>
      </c>
      <c r="AF8359">
        <v>1</v>
      </c>
    </row>
    <row r="8360" spans="27:32" x14ac:dyDescent="0.3">
      <c r="AA8360" s="3">
        <v>7715.15</v>
      </c>
      <c r="AB8360">
        <v>1E-4</v>
      </c>
      <c r="AC8360">
        <v>8</v>
      </c>
      <c r="AD8360" s="5">
        <v>4.9039521388334517</v>
      </c>
      <c r="AE8360" s="5">
        <v>2.2005064950265445</v>
      </c>
      <c r="AF8360">
        <v>1</v>
      </c>
    </row>
    <row r="8361" spans="27:32" x14ac:dyDescent="0.3">
      <c r="AA8361" s="3">
        <v>26417.919999999998</v>
      </c>
      <c r="AB8361">
        <v>1E-4</v>
      </c>
      <c r="AC8361">
        <v>8</v>
      </c>
      <c r="AD8361" s="5">
        <v>5.1080538644300786</v>
      </c>
      <c r="AE8361" s="5">
        <v>2.2148042108929751</v>
      </c>
      <c r="AF8361">
        <v>1</v>
      </c>
    </row>
    <row r="8362" spans="27:32" x14ac:dyDescent="0.3">
      <c r="AA8362" s="3">
        <v>31169.7</v>
      </c>
      <c r="AB8362">
        <v>1E-4</v>
      </c>
      <c r="AC8362">
        <v>7</v>
      </c>
      <c r="AD8362" s="5">
        <v>5.0934777614610347</v>
      </c>
      <c r="AE8362" s="5">
        <v>2.2158598611879632</v>
      </c>
      <c r="AF8362">
        <v>1</v>
      </c>
    </row>
    <row r="8363" spans="27:32" x14ac:dyDescent="0.3">
      <c r="AA8363" s="3">
        <v>12020.89</v>
      </c>
      <c r="AB8363">
        <v>1E-4</v>
      </c>
      <c r="AC8363">
        <v>8</v>
      </c>
      <c r="AD8363" s="5">
        <v>4.9392689940670884</v>
      </c>
      <c r="AE8363" s="5">
        <v>2.2458338285364405</v>
      </c>
      <c r="AF8363">
        <v>1</v>
      </c>
    </row>
    <row r="8364" spans="27:32" x14ac:dyDescent="0.3">
      <c r="AA8364" s="3">
        <v>25926.98</v>
      </c>
      <c r="AB8364">
        <v>1E-4</v>
      </c>
      <c r="AC8364">
        <v>8</v>
      </c>
      <c r="AD8364" s="5">
        <v>5.1514019300044946</v>
      </c>
      <c r="AE8364" s="5">
        <v>2.1387257329843261</v>
      </c>
      <c r="AF8364">
        <v>1</v>
      </c>
    </row>
    <row r="8365" spans="27:32" x14ac:dyDescent="0.3">
      <c r="AA8365" s="3">
        <v>10603.48</v>
      </c>
      <c r="AB8365">
        <v>1E-4</v>
      </c>
      <c r="AC8365">
        <v>8</v>
      </c>
      <c r="AD8365" s="5">
        <v>4.989937792198833</v>
      </c>
      <c r="AE8365" s="5">
        <v>2.1576704606763943</v>
      </c>
      <c r="AF8365">
        <v>1</v>
      </c>
    </row>
    <row r="8366" spans="27:32" x14ac:dyDescent="0.3">
      <c r="AA8366" s="3">
        <v>1895.79</v>
      </c>
      <c r="AB8366">
        <v>1E-4</v>
      </c>
      <c r="AC8366">
        <v>8</v>
      </c>
      <c r="AD8366" s="5">
        <v>4.9612777561921497</v>
      </c>
      <c r="AE8366" s="5">
        <v>2.1915219480974533</v>
      </c>
      <c r="AF8366">
        <v>1</v>
      </c>
    </row>
    <row r="8367" spans="27:32" x14ac:dyDescent="0.3">
      <c r="AA8367" s="3">
        <v>10979.69</v>
      </c>
      <c r="AB8367">
        <v>1E-4</v>
      </c>
      <c r="AC8367">
        <v>8</v>
      </c>
      <c r="AD8367" s="5">
        <v>5.0775362562791075</v>
      </c>
      <c r="AE8367" s="5">
        <v>2.1319362459148206</v>
      </c>
      <c r="AF8367">
        <v>1</v>
      </c>
    </row>
    <row r="8368" spans="27:32" x14ac:dyDescent="0.3">
      <c r="AA8368" s="3">
        <v>1152.6199999999999</v>
      </c>
      <c r="AB8368">
        <v>1E-4</v>
      </c>
      <c r="AC8368">
        <v>8</v>
      </c>
      <c r="AD8368" s="5">
        <v>4.8282546466131109</v>
      </c>
      <c r="AE8368" s="5">
        <v>2.2274113817258101</v>
      </c>
      <c r="AF8368">
        <v>1</v>
      </c>
    </row>
    <row r="8369" spans="27:32" x14ac:dyDescent="0.3">
      <c r="AA8369" s="3">
        <v>11644.72</v>
      </c>
      <c r="AB8369">
        <v>1E-4</v>
      </c>
      <c r="AC8369">
        <v>8</v>
      </c>
      <c r="AD8369" s="5">
        <v>4.8925486030297227</v>
      </c>
      <c r="AE8369" s="5">
        <v>2.1716905168811445</v>
      </c>
      <c r="AF8369">
        <v>1</v>
      </c>
    </row>
    <row r="8370" spans="27:32" x14ac:dyDescent="0.3">
      <c r="AA8370" s="3">
        <v>-24184.284137413793</v>
      </c>
      <c r="AB8370">
        <v>1E-4</v>
      </c>
      <c r="AC8370">
        <v>9</v>
      </c>
      <c r="AD8370" s="5">
        <v>4.9430648659368837</v>
      </c>
      <c r="AE8370" s="5">
        <v>2.2452928372554957</v>
      </c>
      <c r="AF8370">
        <v>0</v>
      </c>
    </row>
    <row r="8371" spans="27:32" x14ac:dyDescent="0.3">
      <c r="AA8371" s="3">
        <v>21250.2</v>
      </c>
      <c r="AB8371">
        <v>1E-4</v>
      </c>
      <c r="AC8371">
        <v>8</v>
      </c>
      <c r="AD8371" s="5">
        <v>5.021680646802424</v>
      </c>
      <c r="AE8371" s="5">
        <v>2.2219846786545321</v>
      </c>
      <c r="AF8371">
        <v>1</v>
      </c>
    </row>
    <row r="8372" spans="27:32" x14ac:dyDescent="0.3">
      <c r="AA8372" s="3">
        <v>15333.34</v>
      </c>
      <c r="AB8372">
        <v>1E-4</v>
      </c>
      <c r="AC8372">
        <v>8</v>
      </c>
      <c r="AD8372" s="5">
        <v>5.0289346992454966</v>
      </c>
      <c r="AE8372" s="5">
        <v>2.2203600670939752</v>
      </c>
      <c r="AF8372">
        <v>1</v>
      </c>
    </row>
    <row r="8373" spans="27:32" x14ac:dyDescent="0.3">
      <c r="AA8373" s="3">
        <v>4057.11</v>
      </c>
      <c r="AB8373">
        <v>1E-4</v>
      </c>
      <c r="AC8373">
        <v>8</v>
      </c>
      <c r="AD8373" s="5">
        <v>4.902310926428461</v>
      </c>
      <c r="AE8373" s="5">
        <v>2.192431398765152</v>
      </c>
      <c r="AF8373">
        <v>1</v>
      </c>
    </row>
    <row r="8374" spans="27:32" x14ac:dyDescent="0.3">
      <c r="AA8374" s="3">
        <v>-2554.96</v>
      </c>
      <c r="AB8374">
        <v>1E-4</v>
      </c>
      <c r="AC8374">
        <v>9</v>
      </c>
      <c r="AD8374" s="5">
        <v>5.1582834216637385</v>
      </c>
      <c r="AE8374" s="5">
        <v>2.2917440040934474</v>
      </c>
      <c r="AF8374">
        <v>1</v>
      </c>
    </row>
    <row r="8375" spans="27:32" x14ac:dyDescent="0.3">
      <c r="AA8375" s="3">
        <v>43718.76</v>
      </c>
      <c r="AB8375">
        <v>1E-4</v>
      </c>
      <c r="AC8375">
        <v>7</v>
      </c>
      <c r="AD8375" s="5">
        <v>4.9993916132783802</v>
      </c>
      <c r="AE8375" s="5">
        <v>2.1753852322598664</v>
      </c>
      <c r="AF8375">
        <v>1</v>
      </c>
    </row>
    <row r="8376" spans="27:32" x14ac:dyDescent="0.3">
      <c r="AA8376" s="3">
        <v>3736.77</v>
      </c>
      <c r="AB8376">
        <v>1E-4</v>
      </c>
      <c r="AC8376">
        <v>8</v>
      </c>
      <c r="AD8376" s="5">
        <v>4.8985792747370933</v>
      </c>
      <c r="AE8376" s="5">
        <v>2.2296194350397895</v>
      </c>
      <c r="AF8376">
        <v>1</v>
      </c>
    </row>
    <row r="8377" spans="27:32" x14ac:dyDescent="0.3">
      <c r="AA8377" s="3">
        <v>24163.02</v>
      </c>
      <c r="AB8377">
        <v>1E-4</v>
      </c>
      <c r="AC8377">
        <v>8</v>
      </c>
      <c r="AD8377" s="5">
        <v>4.9601106478804802</v>
      </c>
      <c r="AE8377" s="5">
        <v>2.1699776421639241</v>
      </c>
      <c r="AF8377">
        <v>1</v>
      </c>
    </row>
    <row r="8378" spans="27:32" x14ac:dyDescent="0.3">
      <c r="AA8378" s="3">
        <v>-8146.73</v>
      </c>
      <c r="AB8378">
        <v>1E-4</v>
      </c>
      <c r="AC8378">
        <v>9</v>
      </c>
      <c r="AD8378" s="5">
        <v>4.68983866519992</v>
      </c>
      <c r="AE8378" s="5">
        <v>2.2788625003557668</v>
      </c>
      <c r="AF8378">
        <v>1</v>
      </c>
    </row>
    <row r="8379" spans="27:32" x14ac:dyDescent="0.3">
      <c r="AA8379" s="3">
        <v>-19902.669999999998</v>
      </c>
      <c r="AB8379">
        <v>1E-4</v>
      </c>
      <c r="AC8379">
        <v>9</v>
      </c>
      <c r="AD8379" s="5">
        <v>4.7535797769267827</v>
      </c>
      <c r="AE8379" s="5">
        <v>2.2418984336666741</v>
      </c>
      <c r="AF8379">
        <v>1</v>
      </c>
    </row>
    <row r="8380" spans="27:32" x14ac:dyDescent="0.3">
      <c r="AA8380" s="3">
        <v>31252.31</v>
      </c>
      <c r="AB8380">
        <v>1E-4</v>
      </c>
      <c r="AC8380">
        <v>8</v>
      </c>
      <c r="AD8380" s="5">
        <v>5.055500571165898</v>
      </c>
      <c r="AE8380" s="5">
        <v>2.1196734220292894</v>
      </c>
      <c r="AF8380">
        <v>1</v>
      </c>
    </row>
    <row r="8381" spans="27:32" x14ac:dyDescent="0.3">
      <c r="AA8381" s="3">
        <v>2268.7600000000002</v>
      </c>
      <c r="AB8381">
        <v>1E-4</v>
      </c>
      <c r="AC8381">
        <v>8</v>
      </c>
      <c r="AD8381" s="5">
        <v>4.8750092809970171</v>
      </c>
      <c r="AE8381" s="5">
        <v>2.171000123262707</v>
      </c>
      <c r="AF8381">
        <v>1</v>
      </c>
    </row>
    <row r="8382" spans="27:32" x14ac:dyDescent="0.3">
      <c r="AA8382" s="3">
        <v>7641.3</v>
      </c>
      <c r="AB8382">
        <v>1E-4</v>
      </c>
      <c r="AC8382">
        <v>8</v>
      </c>
      <c r="AD8382" s="5">
        <v>4.982107381268011</v>
      </c>
      <c r="AE8382" s="5">
        <v>2.1756980405050754</v>
      </c>
      <c r="AF8382">
        <v>1</v>
      </c>
    </row>
    <row r="8383" spans="27:32" x14ac:dyDescent="0.3">
      <c r="AA8383" s="3">
        <v>18021.900000000001</v>
      </c>
      <c r="AB8383">
        <v>1E-4</v>
      </c>
      <c r="AC8383">
        <v>8</v>
      </c>
      <c r="AD8383" s="5">
        <v>4.8031805658128892</v>
      </c>
      <c r="AE8383" s="5">
        <v>2.1614052429646189</v>
      </c>
      <c r="AF8383">
        <v>1</v>
      </c>
    </row>
    <row r="8384" spans="27:32" x14ac:dyDescent="0.3">
      <c r="AA8384" s="3">
        <v>29400.54</v>
      </c>
      <c r="AB8384">
        <v>1E-4</v>
      </c>
      <c r="AC8384">
        <v>8</v>
      </c>
      <c r="AD8384" s="5">
        <v>4.9400885904276484</v>
      </c>
      <c r="AE8384" s="5">
        <v>2.2172031115182755</v>
      </c>
      <c r="AF8384">
        <v>1</v>
      </c>
    </row>
    <row r="8385" spans="27:32" x14ac:dyDescent="0.3">
      <c r="AA8385" s="3">
        <v>11637.27</v>
      </c>
      <c r="AB8385">
        <v>1E-4</v>
      </c>
      <c r="AC8385">
        <v>8</v>
      </c>
      <c r="AD8385" s="5">
        <v>4.8856777305969796</v>
      </c>
      <c r="AE8385" s="5">
        <v>2.1613418085868399</v>
      </c>
      <c r="AF8385">
        <v>1</v>
      </c>
    </row>
    <row r="8386" spans="27:32" x14ac:dyDescent="0.3">
      <c r="AA8386" s="3">
        <v>-40.54</v>
      </c>
      <c r="AB8386">
        <v>1E-4</v>
      </c>
      <c r="AC8386">
        <v>9</v>
      </c>
      <c r="AD8386" s="5">
        <v>5.0746959993629028</v>
      </c>
      <c r="AE8386" s="5">
        <v>2.2312151801868745</v>
      </c>
      <c r="AF8386">
        <v>1</v>
      </c>
    </row>
    <row r="8387" spans="27:32" x14ac:dyDescent="0.3">
      <c r="AA8387" s="3">
        <v>21439.41</v>
      </c>
      <c r="AB8387">
        <v>1E-4</v>
      </c>
      <c r="AC8387">
        <v>8</v>
      </c>
      <c r="AD8387" s="5">
        <v>5.0055174133939424</v>
      </c>
      <c r="AE8387" s="5">
        <v>2.209412334327101</v>
      </c>
      <c r="AF8387">
        <v>1</v>
      </c>
    </row>
    <row r="8388" spans="27:32" x14ac:dyDescent="0.3">
      <c r="AA8388" s="3">
        <v>26125.38</v>
      </c>
      <c r="AB8388">
        <v>1E-4</v>
      </c>
      <c r="AC8388">
        <v>8</v>
      </c>
      <c r="AD8388" s="5">
        <v>4.9649229962097223</v>
      </c>
      <c r="AE8388" s="5">
        <v>2.2034492653690201</v>
      </c>
      <c r="AF8388">
        <v>1</v>
      </c>
    </row>
    <row r="8389" spans="27:32" x14ac:dyDescent="0.3">
      <c r="AA8389" s="3">
        <v>22734.71</v>
      </c>
      <c r="AB8389">
        <v>1E-4</v>
      </c>
      <c r="AC8389">
        <v>8</v>
      </c>
      <c r="AD8389" s="5">
        <v>5.0932291342909313</v>
      </c>
      <c r="AE8389" s="5">
        <v>2.115341587013988</v>
      </c>
      <c r="AF8389">
        <v>1</v>
      </c>
    </row>
    <row r="8390" spans="27:32" x14ac:dyDescent="0.3">
      <c r="AA8390" s="3">
        <v>21325.5</v>
      </c>
      <c r="AB8390">
        <v>1E-4</v>
      </c>
      <c r="AC8390">
        <v>8</v>
      </c>
      <c r="AD8390" s="5">
        <v>4.9811357788072614</v>
      </c>
      <c r="AE8390" s="5">
        <v>2.3551261673580601</v>
      </c>
      <c r="AF8390">
        <v>1</v>
      </c>
    </row>
    <row r="8391" spans="27:32" x14ac:dyDescent="0.3">
      <c r="AA8391" s="3">
        <v>-778.41</v>
      </c>
      <c r="AB8391">
        <v>1E-4</v>
      </c>
      <c r="AC8391">
        <v>9</v>
      </c>
      <c r="AD8391" s="5">
        <v>5.0688349727799196</v>
      </c>
      <c r="AE8391" s="5">
        <v>2.1043937997650879</v>
      </c>
      <c r="AF8391">
        <v>1</v>
      </c>
    </row>
    <row r="8392" spans="27:32" x14ac:dyDescent="0.3">
      <c r="AA8392" s="3">
        <v>1089.3499999999999</v>
      </c>
      <c r="AB8392">
        <v>1E-4</v>
      </c>
      <c r="AC8392">
        <v>8</v>
      </c>
      <c r="AD8392" s="5">
        <v>4.8988685383864272</v>
      </c>
      <c r="AE8392" s="5">
        <v>2.2692693568263711</v>
      </c>
      <c r="AF8392">
        <v>1</v>
      </c>
    </row>
    <row r="8393" spans="27:32" x14ac:dyDescent="0.3">
      <c r="AA8393" s="3">
        <v>45945.84</v>
      </c>
      <c r="AB8393">
        <v>1E-4</v>
      </c>
      <c r="AC8393">
        <v>7</v>
      </c>
      <c r="AD8393" s="5">
        <v>4.9535456522663228</v>
      </c>
      <c r="AE8393" s="5">
        <v>2.1930672378792688</v>
      </c>
      <c r="AF8393">
        <v>1</v>
      </c>
    </row>
    <row r="8394" spans="27:32" x14ac:dyDescent="0.3">
      <c r="AA8394" s="3">
        <v>4650.3100000000004</v>
      </c>
      <c r="AB8394">
        <v>1E-4</v>
      </c>
      <c r="AC8394">
        <v>8</v>
      </c>
      <c r="AD8394" s="5">
        <v>4.9530861935853601</v>
      </c>
      <c r="AE8394" s="5">
        <v>2.2139286304089678</v>
      </c>
      <c r="AF8394">
        <v>1</v>
      </c>
    </row>
    <row r="8395" spans="27:32" x14ac:dyDescent="0.3">
      <c r="AA8395" s="3">
        <v>20216.16</v>
      </c>
      <c r="AB8395">
        <v>1E-4</v>
      </c>
      <c r="AC8395">
        <v>8</v>
      </c>
      <c r="AD8395" s="5">
        <v>5.0937475645692336</v>
      </c>
      <c r="AE8395" s="5">
        <v>2.2587733482875239</v>
      </c>
      <c r="AF8395">
        <v>1</v>
      </c>
    </row>
    <row r="8396" spans="27:32" x14ac:dyDescent="0.3">
      <c r="AA8396" s="3">
        <v>50282.61</v>
      </c>
      <c r="AB8396">
        <v>1E-4</v>
      </c>
      <c r="AC8396">
        <v>7</v>
      </c>
      <c r="AD8396" s="5">
        <v>5.1381863296311545</v>
      </c>
      <c r="AE8396" s="5">
        <v>2.1490449123607189</v>
      </c>
      <c r="AF8396">
        <v>1</v>
      </c>
    </row>
    <row r="8397" spans="27:32" x14ac:dyDescent="0.3">
      <c r="AA8397" s="3">
        <v>40730.29</v>
      </c>
      <c r="AB8397">
        <v>1E-4</v>
      </c>
      <c r="AC8397">
        <v>7</v>
      </c>
      <c r="AD8397" s="5">
        <v>5.0802630401780542</v>
      </c>
      <c r="AE8397" s="5">
        <v>2.078787189645146</v>
      </c>
      <c r="AF8397">
        <v>1</v>
      </c>
    </row>
    <row r="8398" spans="27:32" x14ac:dyDescent="0.3">
      <c r="AA8398" s="3">
        <v>-28310.658749442591</v>
      </c>
      <c r="AB8398">
        <v>1E-4</v>
      </c>
      <c r="AC8398">
        <v>9</v>
      </c>
      <c r="AD8398" s="5">
        <v>4.9769108225571221</v>
      </c>
      <c r="AE8398" s="5">
        <v>2.2058872146774324</v>
      </c>
      <c r="AF8398">
        <v>0</v>
      </c>
    </row>
    <row r="8399" spans="27:32" x14ac:dyDescent="0.3">
      <c r="AA8399" s="3">
        <v>1065.5</v>
      </c>
      <c r="AB8399">
        <v>1E-4</v>
      </c>
      <c r="AC8399">
        <v>8</v>
      </c>
      <c r="AD8399" s="5">
        <v>4.9824042411234961</v>
      </c>
      <c r="AE8399" s="5">
        <v>2.2355751642103683</v>
      </c>
      <c r="AF8399">
        <v>1</v>
      </c>
    </row>
    <row r="8400" spans="27:32" x14ac:dyDescent="0.3">
      <c r="AA8400" s="3">
        <v>23354.76</v>
      </c>
      <c r="AB8400">
        <v>1E-4</v>
      </c>
      <c r="AC8400">
        <v>8</v>
      </c>
      <c r="AD8400" s="5">
        <v>5.0924015116147547</v>
      </c>
      <c r="AE8400" s="5">
        <v>2.1702717219887742</v>
      </c>
      <c r="AF8400">
        <v>1</v>
      </c>
    </row>
    <row r="8401" spans="27:32" x14ac:dyDescent="0.3">
      <c r="AA8401" s="3">
        <v>5328.45</v>
      </c>
      <c r="AB8401">
        <v>1E-4</v>
      </c>
      <c r="AC8401">
        <v>8</v>
      </c>
      <c r="AD8401" s="5">
        <v>5.0885619277553111</v>
      </c>
      <c r="AE8401" s="5">
        <v>2.2738559268132654</v>
      </c>
      <c r="AF8401">
        <v>1</v>
      </c>
    </row>
    <row r="8402" spans="27:32" x14ac:dyDescent="0.3">
      <c r="AA8402" s="3">
        <v>1928</v>
      </c>
      <c r="AB8402">
        <v>1E-4</v>
      </c>
      <c r="AC8402">
        <v>8</v>
      </c>
      <c r="AD8402" s="5">
        <v>5.0093720059978324</v>
      </c>
      <c r="AE8402" s="5">
        <v>2.1966413721817344</v>
      </c>
      <c r="AF8402">
        <v>1</v>
      </c>
    </row>
    <row r="8403" spans="27:32" x14ac:dyDescent="0.3">
      <c r="AA8403" s="3">
        <v>18344</v>
      </c>
      <c r="AB8403">
        <v>1E-4</v>
      </c>
      <c r="AC8403">
        <v>8</v>
      </c>
      <c r="AD8403" s="5">
        <v>5.1214837438432115</v>
      </c>
      <c r="AE8403" s="5">
        <v>2.2339212393374117</v>
      </c>
      <c r="AF8403">
        <v>1</v>
      </c>
    </row>
    <row r="8404" spans="27:32" x14ac:dyDescent="0.3">
      <c r="AA8404" s="3">
        <v>6488.15</v>
      </c>
      <c r="AB8404">
        <v>1E-4</v>
      </c>
      <c r="AC8404">
        <v>8</v>
      </c>
      <c r="AD8404" s="5">
        <v>4.9878284853730852</v>
      </c>
      <c r="AE8404" s="5">
        <v>2.1716398014572524</v>
      </c>
      <c r="AF8404">
        <v>1</v>
      </c>
    </row>
    <row r="8405" spans="27:32" x14ac:dyDescent="0.3">
      <c r="AA8405" s="3">
        <v>14791.75</v>
      </c>
      <c r="AB8405">
        <v>1E-4</v>
      </c>
      <c r="AC8405">
        <v>8</v>
      </c>
      <c r="AD8405" s="5">
        <v>5.0791069636098323</v>
      </c>
      <c r="AE8405" s="5">
        <v>2.230211553515165</v>
      </c>
      <c r="AF8405">
        <v>1</v>
      </c>
    </row>
    <row r="8406" spans="27:32" x14ac:dyDescent="0.3">
      <c r="AA8406" s="3">
        <v>29349.48</v>
      </c>
      <c r="AB8406">
        <v>1E-4</v>
      </c>
      <c r="AC8406">
        <v>8</v>
      </c>
      <c r="AD8406" s="5">
        <v>4.949516298006496</v>
      </c>
      <c r="AE8406" s="5">
        <v>2.2187086620279506</v>
      </c>
      <c r="AF8406">
        <v>1</v>
      </c>
    </row>
    <row r="8407" spans="27:32" x14ac:dyDescent="0.3">
      <c r="AA8407" s="3">
        <v>17680.75</v>
      </c>
      <c r="AB8407">
        <v>1E-4</v>
      </c>
      <c r="AC8407">
        <v>8</v>
      </c>
      <c r="AD8407" s="5">
        <v>4.9581110692762351</v>
      </c>
      <c r="AE8407" s="5">
        <v>2.2248399033833248</v>
      </c>
      <c r="AF8407">
        <v>1</v>
      </c>
    </row>
    <row r="8408" spans="27:32" x14ac:dyDescent="0.3">
      <c r="AA8408" s="3">
        <v>-11233.52</v>
      </c>
      <c r="AB8408">
        <v>1E-4</v>
      </c>
      <c r="AC8408">
        <v>9</v>
      </c>
      <c r="AD8408" s="5">
        <v>4.9334721658308327</v>
      </c>
      <c r="AE8408" s="5">
        <v>2.2324241546881716</v>
      </c>
      <c r="AF8408">
        <v>1</v>
      </c>
    </row>
    <row r="8409" spans="27:32" x14ac:dyDescent="0.3">
      <c r="AA8409" s="3">
        <v>-948.69</v>
      </c>
      <c r="AB8409">
        <v>1E-4</v>
      </c>
      <c r="AC8409">
        <v>9</v>
      </c>
      <c r="AD8409" s="5">
        <v>4.9300291529992792</v>
      </c>
      <c r="AE8409" s="5">
        <v>2.2996747614302215</v>
      </c>
      <c r="AF8409">
        <v>1</v>
      </c>
    </row>
    <row r="8410" spans="27:32" x14ac:dyDescent="0.3">
      <c r="AA8410" s="3">
        <v>24215</v>
      </c>
      <c r="AB8410">
        <v>1E-4</v>
      </c>
      <c r="AC8410">
        <v>8</v>
      </c>
      <c r="AD8410" s="5">
        <v>5.1026322560349131</v>
      </c>
      <c r="AE8410" s="5">
        <v>2.2213644630984373</v>
      </c>
      <c r="AF8410">
        <v>1</v>
      </c>
    </row>
    <row r="8411" spans="27:32" x14ac:dyDescent="0.3">
      <c r="AA8411" s="3">
        <v>5698.14</v>
      </c>
      <c r="AB8411">
        <v>1E-4</v>
      </c>
      <c r="AC8411">
        <v>8</v>
      </c>
      <c r="AD8411" s="5">
        <v>5.0310012997133633</v>
      </c>
      <c r="AE8411" s="5">
        <v>2.2252105393328181</v>
      </c>
      <c r="AF8411">
        <v>1</v>
      </c>
    </row>
    <row r="8412" spans="27:32" x14ac:dyDescent="0.3">
      <c r="AA8412" s="3">
        <v>38886.400000000001</v>
      </c>
      <c r="AB8412">
        <v>1E-4</v>
      </c>
      <c r="AC8412">
        <v>7</v>
      </c>
      <c r="AD8412" s="5">
        <v>4.9980319538430225</v>
      </c>
      <c r="AE8412" s="5">
        <v>2.1024587789280993</v>
      </c>
      <c r="AF8412">
        <v>1</v>
      </c>
    </row>
    <row r="8413" spans="27:32" x14ac:dyDescent="0.3">
      <c r="AA8413" s="3">
        <v>34882.239999999998</v>
      </c>
      <c r="AB8413">
        <v>1E-4</v>
      </c>
      <c r="AC8413">
        <v>7</v>
      </c>
      <c r="AD8413" s="5">
        <v>4.9667381521916427</v>
      </c>
      <c r="AE8413" s="5">
        <v>2.1751842864101363</v>
      </c>
      <c r="AF8413">
        <v>1</v>
      </c>
    </row>
    <row r="8414" spans="27:32" x14ac:dyDescent="0.3">
      <c r="AA8414" s="3">
        <v>13955.49</v>
      </c>
      <c r="AB8414">
        <v>1E-4</v>
      </c>
      <c r="AC8414">
        <v>8</v>
      </c>
      <c r="AD8414" s="5">
        <v>4.8981976485932819</v>
      </c>
      <c r="AE8414" s="5">
        <v>2.2260502952366923</v>
      </c>
      <c r="AF8414">
        <v>1</v>
      </c>
    </row>
    <row r="8415" spans="27:32" x14ac:dyDescent="0.3">
      <c r="AA8415" s="3">
        <v>5042.83</v>
      </c>
      <c r="AB8415">
        <v>1E-4</v>
      </c>
      <c r="AC8415">
        <v>8</v>
      </c>
      <c r="AD8415" s="5">
        <v>4.846121061158108</v>
      </c>
      <c r="AE8415" s="5">
        <v>2.2312254153610342</v>
      </c>
      <c r="AF8415">
        <v>1</v>
      </c>
    </row>
    <row r="8416" spans="27:32" x14ac:dyDescent="0.3">
      <c r="AA8416" s="3">
        <v>13685.97</v>
      </c>
      <c r="AB8416">
        <v>1E-4</v>
      </c>
      <c r="AC8416">
        <v>8</v>
      </c>
      <c r="AD8416" s="5">
        <v>4.9952501230364712</v>
      </c>
      <c r="AE8416" s="5">
        <v>2.2035366684570206</v>
      </c>
      <c r="AF8416">
        <v>1</v>
      </c>
    </row>
    <row r="8417" spans="27:32" x14ac:dyDescent="0.3">
      <c r="AA8417" s="3">
        <v>34347.599999999999</v>
      </c>
      <c r="AB8417">
        <v>1E-4</v>
      </c>
      <c r="AC8417">
        <v>7</v>
      </c>
      <c r="AD8417" s="5">
        <v>4.963450576257733</v>
      </c>
      <c r="AE8417" s="5">
        <v>2.2225163182129006</v>
      </c>
      <c r="AF8417">
        <v>1</v>
      </c>
    </row>
    <row r="8418" spans="27:32" x14ac:dyDescent="0.3">
      <c r="AA8418" s="3">
        <v>28357.01</v>
      </c>
      <c r="AB8418">
        <v>1E-4</v>
      </c>
      <c r="AC8418">
        <v>7</v>
      </c>
      <c r="AD8418" s="5">
        <v>4.9468742258563063</v>
      </c>
      <c r="AE8418" s="5">
        <v>2.2791304502698622</v>
      </c>
      <c r="AF8418">
        <v>1</v>
      </c>
    </row>
    <row r="8419" spans="27:32" x14ac:dyDescent="0.3">
      <c r="AA8419" s="3">
        <v>2462.08</v>
      </c>
      <c r="AB8419">
        <v>1E-4</v>
      </c>
      <c r="AC8419">
        <v>8</v>
      </c>
      <c r="AD8419" s="5">
        <v>5.0214600041205486</v>
      </c>
      <c r="AE8419" s="5">
        <v>2.2460448235155153</v>
      </c>
      <c r="AF8419">
        <v>1</v>
      </c>
    </row>
    <row r="8420" spans="27:32" x14ac:dyDescent="0.3">
      <c r="AA8420" s="3">
        <v>29161.98</v>
      </c>
      <c r="AB8420">
        <v>1E-4</v>
      </c>
      <c r="AC8420">
        <v>8</v>
      </c>
      <c r="AD8420" s="5">
        <v>5.0672386653101995</v>
      </c>
      <c r="AE8420" s="5">
        <v>2.1750755599079423</v>
      </c>
      <c r="AF8420">
        <v>1</v>
      </c>
    </row>
    <row r="8421" spans="27:32" x14ac:dyDescent="0.3">
      <c r="AA8421" s="3">
        <v>41533.64</v>
      </c>
      <c r="AB8421">
        <v>1E-4</v>
      </c>
      <c r="AC8421">
        <v>7</v>
      </c>
      <c r="AD8421" s="5">
        <v>5.1851027955379019</v>
      </c>
      <c r="AE8421" s="5">
        <v>2.1699580026196861</v>
      </c>
      <c r="AF8421">
        <v>1</v>
      </c>
    </row>
    <row r="8422" spans="27:32" x14ac:dyDescent="0.3">
      <c r="AA8422" s="3">
        <v>59828.79</v>
      </c>
      <c r="AB8422">
        <v>1E-4</v>
      </c>
      <c r="AC8422">
        <v>6</v>
      </c>
      <c r="AD8422" s="5">
        <v>5.0844905944157626</v>
      </c>
      <c r="AE8422" s="5">
        <v>2.2692572731572711</v>
      </c>
      <c r="AF8422">
        <v>1</v>
      </c>
    </row>
    <row r="8423" spans="27:32" x14ac:dyDescent="0.3">
      <c r="AA8423" s="3">
        <v>-220.25</v>
      </c>
      <c r="AB8423">
        <v>1E-4</v>
      </c>
      <c r="AC8423">
        <v>9</v>
      </c>
      <c r="AD8423" s="5">
        <v>4.9282726473819762</v>
      </c>
      <c r="AE8423" s="5">
        <v>2.2043679066692481</v>
      </c>
      <c r="AF8423">
        <v>1</v>
      </c>
    </row>
    <row r="8424" spans="27:32" x14ac:dyDescent="0.3">
      <c r="AA8424" s="3">
        <v>35148.81</v>
      </c>
      <c r="AB8424">
        <v>1E-4</v>
      </c>
      <c r="AC8424">
        <v>7</v>
      </c>
      <c r="AD8424" s="5">
        <v>5.0553261058668957</v>
      </c>
      <c r="AE8424" s="5">
        <v>2.1559802162400334</v>
      </c>
      <c r="AF8424">
        <v>1</v>
      </c>
    </row>
    <row r="8425" spans="27:32" x14ac:dyDescent="0.3">
      <c r="AA8425" s="3">
        <v>20019.400000000001</v>
      </c>
      <c r="AB8425">
        <v>1E-4</v>
      </c>
      <c r="AC8425">
        <v>8</v>
      </c>
      <c r="AD8425" s="5">
        <v>4.9748476567881905</v>
      </c>
      <c r="AE8425" s="5">
        <v>2.1938785016572635</v>
      </c>
      <c r="AF8425">
        <v>1</v>
      </c>
    </row>
    <row r="8426" spans="27:32" x14ac:dyDescent="0.3">
      <c r="AA8426" s="3">
        <v>49453.22</v>
      </c>
      <c r="AB8426">
        <v>1E-4</v>
      </c>
      <c r="AC8426">
        <v>6</v>
      </c>
      <c r="AD8426" s="5">
        <v>5.0416935350668428</v>
      </c>
      <c r="AE8426" s="5">
        <v>2.1666008130956009</v>
      </c>
      <c r="AF8426">
        <v>1</v>
      </c>
    </row>
    <row r="8427" spans="27:32" x14ac:dyDescent="0.3">
      <c r="AA8427" s="3">
        <v>42289.88</v>
      </c>
      <c r="AB8427">
        <v>1E-4</v>
      </c>
      <c r="AC8427">
        <v>7</v>
      </c>
      <c r="AD8427" s="5">
        <v>5.0003055664783798</v>
      </c>
      <c r="AE8427" s="5">
        <v>2.2183403756116831</v>
      </c>
      <c r="AF8427">
        <v>1</v>
      </c>
    </row>
    <row r="8428" spans="27:32" x14ac:dyDescent="0.3">
      <c r="AA8428" s="3">
        <v>10105.14</v>
      </c>
      <c r="AB8428">
        <v>1E-4</v>
      </c>
      <c r="AC8428">
        <v>8</v>
      </c>
      <c r="AD8428" s="5">
        <v>4.9511626694942148</v>
      </c>
      <c r="AE8428" s="5">
        <v>2.2191021374581341</v>
      </c>
      <c r="AF8428">
        <v>1</v>
      </c>
    </row>
    <row r="8429" spans="27:32" x14ac:dyDescent="0.3">
      <c r="AA8429" s="3">
        <v>15882.29</v>
      </c>
      <c r="AB8429">
        <v>1E-4</v>
      </c>
      <c r="AC8429">
        <v>8</v>
      </c>
      <c r="AD8429" s="5">
        <v>5.0244026139939137</v>
      </c>
      <c r="AE8429" s="5">
        <v>2.1639205189633381</v>
      </c>
      <c r="AF8429">
        <v>1</v>
      </c>
    </row>
    <row r="8430" spans="27:32" x14ac:dyDescent="0.3">
      <c r="AA8430" s="3">
        <v>-8184.28</v>
      </c>
      <c r="AB8430">
        <v>1E-4</v>
      </c>
      <c r="AC8430">
        <v>9</v>
      </c>
      <c r="AD8430" s="5">
        <v>4.8527778952864162</v>
      </c>
      <c r="AE8430" s="5">
        <v>2.1731414260299315</v>
      </c>
      <c r="AF8430">
        <v>1</v>
      </c>
    </row>
    <row r="8431" spans="27:32" x14ac:dyDescent="0.3">
      <c r="AA8431" s="3">
        <v>34112.26</v>
      </c>
      <c r="AB8431">
        <v>1E-4</v>
      </c>
      <c r="AC8431">
        <v>7</v>
      </c>
      <c r="AD8431" s="5">
        <v>5.10840268093117</v>
      </c>
      <c r="AE8431" s="5">
        <v>2.2241484841165646</v>
      </c>
      <c r="AF8431">
        <v>1</v>
      </c>
    </row>
    <row r="8432" spans="27:32" x14ac:dyDescent="0.3">
      <c r="AA8432" s="3">
        <v>43500.26</v>
      </c>
      <c r="AB8432">
        <v>1E-4</v>
      </c>
      <c r="AC8432">
        <v>7</v>
      </c>
      <c r="AD8432" s="5">
        <v>4.9462139231251365</v>
      </c>
      <c r="AE8432" s="5">
        <v>2.1574917367623447</v>
      </c>
      <c r="AF8432">
        <v>1</v>
      </c>
    </row>
    <row r="8433" spans="27:32" x14ac:dyDescent="0.3">
      <c r="AA8433" s="3">
        <v>-39414.382398126698</v>
      </c>
      <c r="AB8433">
        <v>1E-4</v>
      </c>
      <c r="AC8433">
        <v>9</v>
      </c>
      <c r="AD8433" s="5">
        <v>4.9478395971925435</v>
      </c>
      <c r="AE8433" s="5">
        <v>2.167277786643699</v>
      </c>
      <c r="AF8433">
        <v>0</v>
      </c>
    </row>
    <row r="8434" spans="27:32" x14ac:dyDescent="0.3">
      <c r="AA8434" s="3">
        <v>24659.07</v>
      </c>
      <c r="AB8434">
        <v>1E-4</v>
      </c>
      <c r="AC8434">
        <v>8</v>
      </c>
      <c r="AD8434" s="5">
        <v>4.9877560436262964</v>
      </c>
      <c r="AE8434" s="5">
        <v>2.2036504253699136</v>
      </c>
      <c r="AF8434">
        <v>1</v>
      </c>
    </row>
    <row r="8435" spans="27:32" x14ac:dyDescent="0.3">
      <c r="AA8435" s="3">
        <v>32923.32</v>
      </c>
      <c r="AB8435">
        <v>1E-4</v>
      </c>
      <c r="AC8435">
        <v>7</v>
      </c>
      <c r="AD8435" s="5">
        <v>5.1691088838224566</v>
      </c>
      <c r="AE8435" s="5">
        <v>2.162763927294058</v>
      </c>
      <c r="AF8435">
        <v>1</v>
      </c>
    </row>
    <row r="8436" spans="27:32" x14ac:dyDescent="0.3">
      <c r="AA8436" s="3">
        <v>14955.85</v>
      </c>
      <c r="AB8436">
        <v>1E-4</v>
      </c>
      <c r="AC8436">
        <v>8</v>
      </c>
      <c r="AD8436" s="5">
        <v>5.1830250163387737</v>
      </c>
      <c r="AE8436" s="5">
        <v>2.2558245414527027</v>
      </c>
      <c r="AF8436">
        <v>1</v>
      </c>
    </row>
    <row r="8437" spans="27:32" x14ac:dyDescent="0.3">
      <c r="AA8437" s="3">
        <v>9388.42</v>
      </c>
      <c r="AB8437">
        <v>1E-4</v>
      </c>
      <c r="AC8437">
        <v>8</v>
      </c>
      <c r="AD8437" s="5">
        <v>5.1054849143829371</v>
      </c>
      <c r="AE8437" s="5">
        <v>2.1971412166807194</v>
      </c>
      <c r="AF8437">
        <v>1</v>
      </c>
    </row>
    <row r="8438" spans="27:32" x14ac:dyDescent="0.3">
      <c r="AA8438" s="3">
        <v>25043.79</v>
      </c>
      <c r="AB8438">
        <v>1E-4</v>
      </c>
      <c r="AC8438">
        <v>8</v>
      </c>
      <c r="AD8438" s="5">
        <v>4.9478561462500199</v>
      </c>
      <c r="AE8438" s="5">
        <v>2.2573102734073425</v>
      </c>
      <c r="AF8438">
        <v>1</v>
      </c>
    </row>
    <row r="8439" spans="27:32" x14ac:dyDescent="0.3">
      <c r="AA8439" s="3">
        <v>7963.04</v>
      </c>
      <c r="AB8439">
        <v>1E-4</v>
      </c>
      <c r="AC8439">
        <v>8</v>
      </c>
      <c r="AD8439" s="5">
        <v>5.038546577701478</v>
      </c>
      <c r="AE8439" s="5">
        <v>2.3026019667238402</v>
      </c>
      <c r="AF8439">
        <v>1</v>
      </c>
    </row>
    <row r="8440" spans="27:32" x14ac:dyDescent="0.3">
      <c r="AA8440" s="3">
        <v>5050.6899999999996</v>
      </c>
      <c r="AB8440">
        <v>1E-4</v>
      </c>
      <c r="AC8440">
        <v>8</v>
      </c>
      <c r="AD8440" s="5">
        <v>5.0388092616047562</v>
      </c>
      <c r="AE8440" s="5">
        <v>2.1164150675492923</v>
      </c>
      <c r="AF8440">
        <v>1</v>
      </c>
    </row>
    <row r="8441" spans="27:32" x14ac:dyDescent="0.3">
      <c r="AA8441" s="3">
        <v>22038.51</v>
      </c>
      <c r="AB8441">
        <v>1E-4</v>
      </c>
      <c r="AC8441">
        <v>8</v>
      </c>
      <c r="AD8441" s="5">
        <v>5.0431584116569299</v>
      </c>
      <c r="AE8441" s="5">
        <v>2.1760758501783073</v>
      </c>
      <c r="AF8441">
        <v>1</v>
      </c>
    </row>
    <row r="8442" spans="27:32" x14ac:dyDescent="0.3">
      <c r="AA8442" s="3">
        <v>8087.36</v>
      </c>
      <c r="AB8442">
        <v>1E-4</v>
      </c>
      <c r="AC8442">
        <v>8</v>
      </c>
      <c r="AD8442" s="5">
        <v>4.9409575528271779</v>
      </c>
      <c r="AE8442" s="5">
        <v>2.1491437301098832</v>
      </c>
      <c r="AF8442">
        <v>1</v>
      </c>
    </row>
    <row r="8443" spans="27:32" x14ac:dyDescent="0.3">
      <c r="AA8443" s="3">
        <v>19491.62</v>
      </c>
      <c r="AB8443">
        <v>1E-4</v>
      </c>
      <c r="AC8443">
        <v>8</v>
      </c>
      <c r="AD8443" s="5">
        <v>4.9700999408226929</v>
      </c>
      <c r="AE8443" s="5">
        <v>2.1568859468944495</v>
      </c>
      <c r="AF8443">
        <v>1</v>
      </c>
    </row>
    <row r="8444" spans="27:32" x14ac:dyDescent="0.3">
      <c r="AA8444" s="3">
        <v>25208.400000000001</v>
      </c>
      <c r="AB8444">
        <v>1E-4</v>
      </c>
      <c r="AC8444">
        <v>8</v>
      </c>
      <c r="AD8444" s="5">
        <v>5.123786128075448</v>
      </c>
      <c r="AE8444" s="5">
        <v>2.2624969261697103</v>
      </c>
      <c r="AF8444">
        <v>1</v>
      </c>
    </row>
    <row r="8445" spans="27:32" x14ac:dyDescent="0.3">
      <c r="AA8445" s="3">
        <v>17522.8</v>
      </c>
      <c r="AB8445">
        <v>1E-4</v>
      </c>
      <c r="AC8445">
        <v>8</v>
      </c>
      <c r="AD8445" s="5">
        <v>5.0628484798390563</v>
      </c>
      <c r="AE8445" s="5">
        <v>2.1701363058918699</v>
      </c>
      <c r="AF8445">
        <v>1</v>
      </c>
    </row>
    <row r="8446" spans="27:32" x14ac:dyDescent="0.3">
      <c r="AA8446" s="3">
        <v>7409.65</v>
      </c>
      <c r="AB8446">
        <v>1E-4</v>
      </c>
      <c r="AC8446">
        <v>8</v>
      </c>
      <c r="AD8446" s="5">
        <v>5.0215731923770095</v>
      </c>
      <c r="AE8446" s="5">
        <v>2.1234282835647078</v>
      </c>
      <c r="AF8446">
        <v>1</v>
      </c>
    </row>
    <row r="8447" spans="27:32" x14ac:dyDescent="0.3">
      <c r="AA8447" s="3">
        <v>60328.67</v>
      </c>
      <c r="AB8447">
        <v>1E-4</v>
      </c>
      <c r="AC8447">
        <v>6</v>
      </c>
      <c r="AD8447" s="5">
        <v>5.1717240078301767</v>
      </c>
      <c r="AE8447" s="5">
        <v>2.1301825511277865</v>
      </c>
      <c r="AF8447">
        <v>1</v>
      </c>
    </row>
    <row r="8448" spans="27:32" x14ac:dyDescent="0.3">
      <c r="AA8448" s="3">
        <v>21174.42</v>
      </c>
      <c r="AB8448">
        <v>1E-4</v>
      </c>
      <c r="AC8448">
        <v>8</v>
      </c>
      <c r="AD8448" s="5">
        <v>4.9981170002173831</v>
      </c>
      <c r="AE8448" s="5">
        <v>2.2261410102644752</v>
      </c>
      <c r="AF8448">
        <v>1</v>
      </c>
    </row>
    <row r="8449" spans="27:32" x14ac:dyDescent="0.3">
      <c r="AA8449" s="3">
        <v>5383.81</v>
      </c>
      <c r="AB8449">
        <v>1E-4</v>
      </c>
      <c r="AC8449">
        <v>8</v>
      </c>
      <c r="AD8449" s="5">
        <v>4.8301670481891454</v>
      </c>
      <c r="AE8449" s="5">
        <v>2.2302135490337327</v>
      </c>
      <c r="AF8449">
        <v>1</v>
      </c>
    </row>
    <row r="8450" spans="27:32" x14ac:dyDescent="0.3">
      <c r="AA8450" s="3">
        <v>-18320.2</v>
      </c>
      <c r="AB8450">
        <v>1E-4</v>
      </c>
      <c r="AC8450">
        <v>9</v>
      </c>
      <c r="AD8450" s="5">
        <v>4.9360925963363806</v>
      </c>
      <c r="AE8450" s="5">
        <v>2.2045739822958228</v>
      </c>
      <c r="AF8450">
        <v>1</v>
      </c>
    </row>
    <row r="8451" spans="27:32" x14ac:dyDescent="0.3">
      <c r="AA8451" s="3">
        <v>20706.240000000002</v>
      </c>
      <c r="AB8451">
        <v>1E-4</v>
      </c>
      <c r="AC8451">
        <v>8</v>
      </c>
      <c r="AD8451" s="5">
        <v>4.9156448792856855</v>
      </c>
      <c r="AE8451" s="5">
        <v>2.1254185910108174</v>
      </c>
      <c r="AF8451">
        <v>1</v>
      </c>
    </row>
    <row r="8452" spans="27:32" x14ac:dyDescent="0.3">
      <c r="AA8452" s="3">
        <v>-7341.67</v>
      </c>
      <c r="AB8452">
        <v>1E-4</v>
      </c>
      <c r="AC8452">
        <v>9</v>
      </c>
      <c r="AD8452" s="5">
        <v>4.9369528703681187</v>
      </c>
      <c r="AE8452" s="5">
        <v>2.1310740672381199</v>
      </c>
      <c r="AF8452">
        <v>1</v>
      </c>
    </row>
    <row r="8453" spans="27:32" x14ac:dyDescent="0.3">
      <c r="AA8453" s="3">
        <v>7752.97</v>
      </c>
      <c r="AB8453">
        <v>1E-4</v>
      </c>
      <c r="AC8453">
        <v>8</v>
      </c>
      <c r="AD8453" s="5">
        <v>4.9889305391377974</v>
      </c>
      <c r="AE8453" s="5">
        <v>2.2858676612161237</v>
      </c>
      <c r="AF8453">
        <v>1</v>
      </c>
    </row>
    <row r="8454" spans="27:32" x14ac:dyDescent="0.3">
      <c r="AA8454" s="3">
        <v>5870.84</v>
      </c>
      <c r="AB8454">
        <v>1E-4</v>
      </c>
      <c r="AC8454">
        <v>8</v>
      </c>
      <c r="AD8454" s="5">
        <v>4.9249633734528206</v>
      </c>
      <c r="AE8454" s="5">
        <v>2.2442437878917945</v>
      </c>
      <c r="AF8454">
        <v>1</v>
      </c>
    </row>
    <row r="8455" spans="27:32" x14ac:dyDescent="0.3">
      <c r="AA8455" s="3">
        <v>32687.62</v>
      </c>
      <c r="AB8455">
        <v>1E-4</v>
      </c>
      <c r="AC8455">
        <v>7</v>
      </c>
      <c r="AD8455" s="5">
        <v>5.0096935990696583</v>
      </c>
      <c r="AE8455" s="5">
        <v>2.1538169068796726</v>
      </c>
      <c r="AF8455">
        <v>1</v>
      </c>
    </row>
    <row r="8456" spans="27:32" x14ac:dyDescent="0.3">
      <c r="AA8456" s="3">
        <v>21414.46</v>
      </c>
      <c r="AB8456">
        <v>1E-4</v>
      </c>
      <c r="AC8456">
        <v>8</v>
      </c>
      <c r="AD8456" s="5">
        <v>4.895329107767779</v>
      </c>
      <c r="AE8456" s="5">
        <v>2.2179025592040702</v>
      </c>
      <c r="AF8456">
        <v>1</v>
      </c>
    </row>
    <row r="8457" spans="27:32" x14ac:dyDescent="0.3">
      <c r="AA8457" s="3">
        <v>-5669.61</v>
      </c>
      <c r="AB8457">
        <v>1E-4</v>
      </c>
      <c r="AC8457">
        <v>9</v>
      </c>
      <c r="AD8457" s="5">
        <v>4.9496330438575287</v>
      </c>
      <c r="AE8457" s="5">
        <v>2.2829178120009379</v>
      </c>
      <c r="AF8457">
        <v>1</v>
      </c>
    </row>
    <row r="8458" spans="27:32" x14ac:dyDescent="0.3">
      <c r="AA8458" s="3">
        <v>15685.05</v>
      </c>
      <c r="AB8458">
        <v>1E-4</v>
      </c>
      <c r="AC8458">
        <v>8</v>
      </c>
      <c r="AD8458" s="5">
        <v>4.9582243318379842</v>
      </c>
      <c r="AE8458" s="5">
        <v>2.1777609885528824</v>
      </c>
      <c r="AF8458">
        <v>1</v>
      </c>
    </row>
    <row r="8459" spans="27:32" x14ac:dyDescent="0.3">
      <c r="AA8459" s="3">
        <v>10113.82</v>
      </c>
      <c r="AB8459">
        <v>1E-4</v>
      </c>
      <c r="AC8459">
        <v>8</v>
      </c>
      <c r="AD8459" s="5">
        <v>4.9695920574398924</v>
      </c>
      <c r="AE8459" s="5">
        <v>2.2182214013019919</v>
      </c>
      <c r="AF8459">
        <v>1</v>
      </c>
    </row>
    <row r="8460" spans="27:32" x14ac:dyDescent="0.3">
      <c r="AA8460" s="3">
        <v>31209.3</v>
      </c>
      <c r="AB8460">
        <v>1E-4</v>
      </c>
      <c r="AC8460">
        <v>8</v>
      </c>
      <c r="AD8460" s="5">
        <v>4.9847637131795803</v>
      </c>
      <c r="AE8460" s="5">
        <v>2.1251390515420607</v>
      </c>
      <c r="AF8460">
        <v>1</v>
      </c>
    </row>
    <row r="8461" spans="27:32" x14ac:dyDescent="0.3">
      <c r="AA8461" s="3">
        <v>8611.93</v>
      </c>
      <c r="AB8461">
        <v>1E-4</v>
      </c>
      <c r="AC8461">
        <v>8</v>
      </c>
      <c r="AD8461" s="5">
        <v>4.8650823513163699</v>
      </c>
      <c r="AE8461" s="5">
        <v>2.1807905542173285</v>
      </c>
      <c r="AF8461">
        <v>1</v>
      </c>
    </row>
    <row r="8462" spans="27:32" x14ac:dyDescent="0.3">
      <c r="AA8462" s="3">
        <v>-9076.6200000000008</v>
      </c>
      <c r="AB8462">
        <v>1E-4</v>
      </c>
      <c r="AC8462">
        <v>9</v>
      </c>
      <c r="AD8462" s="5">
        <v>4.8310854482116063</v>
      </c>
      <c r="AE8462" s="5">
        <v>2.1883411757738025</v>
      </c>
      <c r="AF8462">
        <v>1</v>
      </c>
    </row>
    <row r="8463" spans="27:32" x14ac:dyDescent="0.3">
      <c r="AA8463" s="3">
        <v>8170.51</v>
      </c>
      <c r="AB8463">
        <v>1E-4</v>
      </c>
      <c r="AC8463">
        <v>8</v>
      </c>
      <c r="AD8463" s="5">
        <v>5.0072257149497963</v>
      </c>
      <c r="AE8463" s="5">
        <v>2.1875562020180292</v>
      </c>
      <c r="AF8463">
        <v>1</v>
      </c>
    </row>
    <row r="8464" spans="27:32" x14ac:dyDescent="0.3">
      <c r="AA8464" s="3">
        <v>24676.2</v>
      </c>
      <c r="AB8464">
        <v>1E-4</v>
      </c>
      <c r="AC8464">
        <v>8</v>
      </c>
      <c r="AD8464" s="5">
        <v>5.0508018734826603</v>
      </c>
      <c r="AE8464" s="5">
        <v>2.077563039749279</v>
      </c>
      <c r="AF8464">
        <v>1</v>
      </c>
    </row>
    <row r="8465" spans="27:32" x14ac:dyDescent="0.3">
      <c r="AA8465" s="3">
        <v>20102.580000000002</v>
      </c>
      <c r="AB8465">
        <v>1E-4</v>
      </c>
      <c r="AC8465">
        <v>8</v>
      </c>
      <c r="AD8465" s="5">
        <v>4.9577010449726018</v>
      </c>
      <c r="AE8465" s="5">
        <v>2.1842903790657195</v>
      </c>
      <c r="AF8465">
        <v>1</v>
      </c>
    </row>
    <row r="8466" spans="27:32" x14ac:dyDescent="0.3">
      <c r="AA8466" s="3">
        <v>-23354.16</v>
      </c>
      <c r="AB8466">
        <v>1E-4</v>
      </c>
      <c r="AC8466">
        <v>9</v>
      </c>
      <c r="AD8466" s="5">
        <v>4.979767006822982</v>
      </c>
      <c r="AE8466" s="5">
        <v>2.2891915099962077</v>
      </c>
      <c r="AF8466">
        <v>1</v>
      </c>
    </row>
    <row r="8467" spans="27:32" x14ac:dyDescent="0.3">
      <c r="AA8467" s="3">
        <v>-3760.24</v>
      </c>
      <c r="AB8467">
        <v>1E-4</v>
      </c>
      <c r="AC8467">
        <v>9</v>
      </c>
      <c r="AD8467" s="5">
        <v>4.9884395308910481</v>
      </c>
      <c r="AE8467" s="5">
        <v>2.2527894821800647</v>
      </c>
      <c r="AF8467">
        <v>1</v>
      </c>
    </row>
    <row r="8468" spans="27:32" x14ac:dyDescent="0.3">
      <c r="AA8468" s="3">
        <v>37249.33</v>
      </c>
      <c r="AB8468">
        <v>1E-4</v>
      </c>
      <c r="AC8468">
        <v>7</v>
      </c>
      <c r="AD8468" s="5">
        <v>5.1236868794195596</v>
      </c>
      <c r="AE8468" s="5">
        <v>2.2217166737674034</v>
      </c>
      <c r="AF8468">
        <v>1</v>
      </c>
    </row>
    <row r="8469" spans="27:32" x14ac:dyDescent="0.3">
      <c r="AA8469" s="3">
        <v>18059.150000000001</v>
      </c>
      <c r="AB8469">
        <v>1E-4</v>
      </c>
      <c r="AC8469">
        <v>8</v>
      </c>
      <c r="AD8469" s="5">
        <v>4.8738524582122862</v>
      </c>
      <c r="AE8469" s="5">
        <v>2.1388770775294583</v>
      </c>
      <c r="AF8469">
        <v>1</v>
      </c>
    </row>
    <row r="8470" spans="27:32" x14ac:dyDescent="0.3">
      <c r="AA8470" s="3">
        <v>18385.84</v>
      </c>
      <c r="AB8470">
        <v>1E-4</v>
      </c>
      <c r="AC8470">
        <v>8</v>
      </c>
      <c r="AD8470" s="5">
        <v>4.9917520322047428</v>
      </c>
      <c r="AE8470" s="5">
        <v>2.1379865910344682</v>
      </c>
      <c r="AF8470">
        <v>1</v>
      </c>
    </row>
    <row r="8471" spans="27:32" x14ac:dyDescent="0.3">
      <c r="AA8471" s="3">
        <v>9978.5300000000007</v>
      </c>
      <c r="AB8471">
        <v>1E-4</v>
      </c>
      <c r="AC8471">
        <v>8</v>
      </c>
      <c r="AD8471" s="5">
        <v>4.8756586291180257</v>
      </c>
      <c r="AE8471" s="5">
        <v>2.2027653887139422</v>
      </c>
      <c r="AF8471">
        <v>1</v>
      </c>
    </row>
    <row r="8472" spans="27:32" x14ac:dyDescent="0.3">
      <c r="AA8472" s="3">
        <v>15068.75</v>
      </c>
      <c r="AB8472">
        <v>1E-4</v>
      </c>
      <c r="AC8472">
        <v>8</v>
      </c>
      <c r="AD8472" s="5">
        <v>4.959598826206288</v>
      </c>
      <c r="AE8472" s="5">
        <v>2.2053135290797168</v>
      </c>
      <c r="AF8472">
        <v>1</v>
      </c>
    </row>
    <row r="8473" spans="27:32" x14ac:dyDescent="0.3">
      <c r="AA8473" s="3">
        <v>-8425.4500000000007</v>
      </c>
      <c r="AB8473">
        <v>1E-4</v>
      </c>
      <c r="AC8473">
        <v>9</v>
      </c>
      <c r="AD8473" s="5">
        <v>4.9422279771848006</v>
      </c>
      <c r="AE8473" s="5">
        <v>2.2154420317440686</v>
      </c>
      <c r="AF8473">
        <v>1</v>
      </c>
    </row>
    <row r="8474" spans="27:32" x14ac:dyDescent="0.3">
      <c r="AA8474" s="3">
        <v>4775.43</v>
      </c>
      <c r="AB8474">
        <v>1E-4</v>
      </c>
      <c r="AC8474">
        <v>8</v>
      </c>
      <c r="AD8474" s="5">
        <v>5.012714462502136</v>
      </c>
      <c r="AE8474" s="5">
        <v>2.1482527347286151</v>
      </c>
      <c r="AF8474">
        <v>1</v>
      </c>
    </row>
    <row r="8475" spans="27:32" x14ac:dyDescent="0.3">
      <c r="AA8475" s="3">
        <v>-12958.57</v>
      </c>
      <c r="AB8475">
        <v>1E-4</v>
      </c>
      <c r="AC8475">
        <v>9</v>
      </c>
      <c r="AD8475" s="5">
        <v>4.726696245143919</v>
      </c>
      <c r="AE8475" s="5">
        <v>2.2494596213083762</v>
      </c>
      <c r="AF8475">
        <v>1</v>
      </c>
    </row>
    <row r="8476" spans="27:32" x14ac:dyDescent="0.3">
      <c r="AA8476" s="3">
        <v>18559.77</v>
      </c>
      <c r="AB8476">
        <v>1E-4</v>
      </c>
      <c r="AC8476">
        <v>8</v>
      </c>
      <c r="AD8476" s="5">
        <v>5.0791062717724875</v>
      </c>
      <c r="AE8476" s="5">
        <v>2.2236438996438017</v>
      </c>
      <c r="AF8476">
        <v>1</v>
      </c>
    </row>
    <row r="8477" spans="27:32" x14ac:dyDescent="0.3">
      <c r="AA8477" s="3">
        <v>32746.639999999999</v>
      </c>
      <c r="AB8477">
        <v>1E-4</v>
      </c>
      <c r="AC8477">
        <v>7</v>
      </c>
      <c r="AD8477" s="5">
        <v>5.0076616942059289</v>
      </c>
      <c r="AE8477" s="5">
        <v>2.1700432044325826</v>
      </c>
      <c r="AF8477">
        <v>1</v>
      </c>
    </row>
    <row r="8478" spans="27:32" x14ac:dyDescent="0.3">
      <c r="AA8478" s="3">
        <v>2161.96</v>
      </c>
      <c r="AB8478">
        <v>1E-4</v>
      </c>
      <c r="AC8478">
        <v>8</v>
      </c>
      <c r="AD8478" s="5">
        <v>4.8073374800193198</v>
      </c>
      <c r="AE8478" s="5">
        <v>2.2148340606511687</v>
      </c>
      <c r="AF8478">
        <v>1</v>
      </c>
    </row>
    <row r="8479" spans="27:32" x14ac:dyDescent="0.3">
      <c r="AA8479" s="3">
        <v>20896.52</v>
      </c>
      <c r="AB8479">
        <v>1E-4</v>
      </c>
      <c r="AC8479">
        <v>8</v>
      </c>
      <c r="AD8479" s="5">
        <v>5.0356678067067957</v>
      </c>
      <c r="AE8479" s="5">
        <v>2.1729936346125922</v>
      </c>
      <c r="AF8479">
        <v>1</v>
      </c>
    </row>
    <row r="8480" spans="27:32" x14ac:dyDescent="0.3">
      <c r="AA8480" s="3">
        <v>22710.47</v>
      </c>
      <c r="AB8480">
        <v>1E-4</v>
      </c>
      <c r="AC8480">
        <v>8</v>
      </c>
      <c r="AD8480" s="5">
        <v>4.7883147098011136</v>
      </c>
      <c r="AE8480" s="5">
        <v>2.1465829601607878</v>
      </c>
      <c r="AF8480">
        <v>1</v>
      </c>
    </row>
    <row r="8481" spans="27:32" x14ac:dyDescent="0.3">
      <c r="AA8481" s="3">
        <v>-25820.83</v>
      </c>
      <c r="AB8481">
        <v>1E-4</v>
      </c>
      <c r="AC8481">
        <v>9</v>
      </c>
      <c r="AD8481" s="5">
        <v>4.8333046666098367</v>
      </c>
      <c r="AE8481" s="5">
        <v>2.2538108673164947</v>
      </c>
      <c r="AF8481">
        <v>1</v>
      </c>
    </row>
    <row r="8482" spans="27:32" x14ac:dyDescent="0.3">
      <c r="AA8482" s="3">
        <v>15445.17</v>
      </c>
      <c r="AB8482">
        <v>1E-4</v>
      </c>
      <c r="AC8482">
        <v>8</v>
      </c>
      <c r="AD8482" s="5">
        <v>4.9750445684953046</v>
      </c>
      <c r="AE8482" s="5">
        <v>2.1736138085201375</v>
      </c>
      <c r="AF8482">
        <v>1</v>
      </c>
    </row>
    <row r="8483" spans="27:32" x14ac:dyDescent="0.3">
      <c r="AA8483" s="3">
        <v>-4868.8999999999996</v>
      </c>
      <c r="AB8483">
        <v>1E-4</v>
      </c>
      <c r="AC8483">
        <v>9</v>
      </c>
      <c r="AD8483" s="5">
        <v>4.9622233803328157</v>
      </c>
      <c r="AE8483" s="5">
        <v>2.1826575069612262</v>
      </c>
      <c r="AF8483">
        <v>1</v>
      </c>
    </row>
    <row r="8484" spans="27:32" x14ac:dyDescent="0.3">
      <c r="AA8484" s="3">
        <v>-254.37</v>
      </c>
      <c r="AB8484">
        <v>1E-4</v>
      </c>
      <c r="AC8484">
        <v>9</v>
      </c>
      <c r="AD8484" s="5">
        <v>4.937994739628361</v>
      </c>
      <c r="AE8484" s="5">
        <v>2.188728331833981</v>
      </c>
      <c r="AF8484">
        <v>1</v>
      </c>
    </row>
    <row r="8485" spans="27:32" x14ac:dyDescent="0.3">
      <c r="AA8485" s="3">
        <v>-12488.33854574838</v>
      </c>
      <c r="AB8485">
        <v>1E-4</v>
      </c>
      <c r="AC8485">
        <v>8</v>
      </c>
      <c r="AD8485" s="5">
        <v>4.8450353360851732</v>
      </c>
      <c r="AE8485" s="5">
        <v>2.0555840402709347</v>
      </c>
      <c r="AF8485">
        <v>0</v>
      </c>
    </row>
    <row r="8486" spans="27:32" x14ac:dyDescent="0.3">
      <c r="AA8486" s="3">
        <v>15243.14</v>
      </c>
      <c r="AB8486">
        <v>1E-4</v>
      </c>
      <c r="AC8486">
        <v>8</v>
      </c>
      <c r="AD8486" s="5">
        <v>4.9815181218727309</v>
      </c>
      <c r="AE8486" s="5">
        <v>2.2435544244045884</v>
      </c>
      <c r="AF8486">
        <v>1</v>
      </c>
    </row>
    <row r="8487" spans="27:32" x14ac:dyDescent="0.3">
      <c r="AA8487" s="3">
        <v>52363.26</v>
      </c>
      <c r="AB8487">
        <v>1E-4</v>
      </c>
      <c r="AC8487">
        <v>6</v>
      </c>
      <c r="AD8487" s="5">
        <v>4.9286639886229482</v>
      </c>
      <c r="AE8487" s="5">
        <v>2.2015295379406385</v>
      </c>
      <c r="AF8487">
        <v>1</v>
      </c>
    </row>
    <row r="8488" spans="27:32" x14ac:dyDescent="0.3">
      <c r="AA8488" s="3">
        <v>27401.119999999999</v>
      </c>
      <c r="AB8488">
        <v>1E-4</v>
      </c>
      <c r="AC8488">
        <v>8</v>
      </c>
      <c r="AD8488" s="5">
        <v>4.8683813712963522</v>
      </c>
      <c r="AE8488" s="5">
        <v>2.2809559916392148</v>
      </c>
      <c r="AF8488">
        <v>1</v>
      </c>
    </row>
    <row r="8489" spans="27:32" x14ac:dyDescent="0.3">
      <c r="AA8489" s="3">
        <v>49449.09</v>
      </c>
      <c r="AB8489">
        <v>1E-4</v>
      </c>
      <c r="AC8489">
        <v>6</v>
      </c>
      <c r="AD8489" s="5">
        <v>4.9969976377686818</v>
      </c>
      <c r="AE8489" s="5">
        <v>2.1806817187292902</v>
      </c>
      <c r="AF8489">
        <v>1</v>
      </c>
    </row>
    <row r="8490" spans="27:32" x14ac:dyDescent="0.3">
      <c r="AA8490" s="3">
        <v>44989.42</v>
      </c>
      <c r="AB8490">
        <v>1E-4</v>
      </c>
      <c r="AC8490">
        <v>7</v>
      </c>
      <c r="AD8490" s="5">
        <v>5.0234489814712466</v>
      </c>
      <c r="AE8490" s="5">
        <v>2.2134588789390963</v>
      </c>
      <c r="AF8490">
        <v>1</v>
      </c>
    </row>
    <row r="8491" spans="27:32" x14ac:dyDescent="0.3">
      <c r="AA8491" s="3">
        <v>347.42</v>
      </c>
      <c r="AB8491">
        <v>1E-4</v>
      </c>
      <c r="AC8491">
        <v>8</v>
      </c>
      <c r="AD8491" s="5">
        <v>4.9598026087474372</v>
      </c>
      <c r="AE8491" s="5">
        <v>2.2384596573126085</v>
      </c>
      <c r="AF8491">
        <v>1</v>
      </c>
    </row>
    <row r="8492" spans="27:32" x14ac:dyDescent="0.3">
      <c r="AA8492" s="3">
        <v>7103.15</v>
      </c>
      <c r="AB8492">
        <v>1E-4</v>
      </c>
      <c r="AC8492">
        <v>8</v>
      </c>
      <c r="AD8492" s="5">
        <v>4.9756773149470641</v>
      </c>
      <c r="AE8492" s="5">
        <v>2.2408757972882398</v>
      </c>
      <c r="AF8492">
        <v>1</v>
      </c>
    </row>
    <row r="8493" spans="27:32" x14ac:dyDescent="0.3">
      <c r="AA8493" s="3">
        <v>-9210.8700000000008</v>
      </c>
      <c r="AB8493">
        <v>1E-4</v>
      </c>
      <c r="AC8493">
        <v>9</v>
      </c>
      <c r="AD8493" s="5">
        <v>4.9537083276385969</v>
      </c>
      <c r="AE8493" s="5">
        <v>2.1779657787579461</v>
      </c>
      <c r="AF8493">
        <v>1</v>
      </c>
    </row>
    <row r="8494" spans="27:32" x14ac:dyDescent="0.3">
      <c r="AA8494" s="3">
        <v>34758.300000000003</v>
      </c>
      <c r="AB8494">
        <v>1E-4</v>
      </c>
      <c r="AC8494">
        <v>7</v>
      </c>
      <c r="AD8494" s="5">
        <v>5.1517365081929238</v>
      </c>
      <c r="AE8494" s="5">
        <v>2.1910421056149483</v>
      </c>
      <c r="AF8494">
        <v>1</v>
      </c>
    </row>
    <row r="8495" spans="27:32" x14ac:dyDescent="0.3">
      <c r="AA8495" s="3">
        <v>39249.919999999998</v>
      </c>
      <c r="AB8495">
        <v>1E-4</v>
      </c>
      <c r="AC8495">
        <v>7</v>
      </c>
      <c r="AD8495" s="5">
        <v>5.0806642179302663</v>
      </c>
      <c r="AE8495" s="5">
        <v>2.1799902788014114</v>
      </c>
      <c r="AF8495">
        <v>1</v>
      </c>
    </row>
    <row r="8496" spans="27:32" x14ac:dyDescent="0.3">
      <c r="AA8496" s="3">
        <v>23972.240000000002</v>
      </c>
      <c r="AB8496">
        <v>1E-4</v>
      </c>
      <c r="AC8496">
        <v>8</v>
      </c>
      <c r="AD8496" s="5">
        <v>4.8859099993341095</v>
      </c>
      <c r="AE8496" s="5">
        <v>2.0420920618217697</v>
      </c>
      <c r="AF8496">
        <v>1</v>
      </c>
    </row>
    <row r="8497" spans="27:32" x14ac:dyDescent="0.3">
      <c r="AA8497" s="3">
        <v>-17888.565319652324</v>
      </c>
      <c r="AB8497">
        <v>1E-4</v>
      </c>
      <c r="AC8497">
        <v>9</v>
      </c>
      <c r="AD8497" s="5">
        <v>4.9138377355516214</v>
      </c>
      <c r="AE8497" s="5">
        <v>2.1505262803478535</v>
      </c>
      <c r="AF8497">
        <v>0</v>
      </c>
    </row>
    <row r="8498" spans="27:32" x14ac:dyDescent="0.3">
      <c r="AA8498" s="3">
        <v>23886.880000000001</v>
      </c>
      <c r="AB8498">
        <v>1E-4</v>
      </c>
      <c r="AC8498">
        <v>8</v>
      </c>
      <c r="AD8498" s="5">
        <v>4.9722108680346935</v>
      </c>
      <c r="AE8498" s="5">
        <v>2.2489006372335454</v>
      </c>
      <c r="AF8498">
        <v>1</v>
      </c>
    </row>
    <row r="8499" spans="27:32" x14ac:dyDescent="0.3">
      <c r="AA8499" s="3">
        <v>4071.76</v>
      </c>
      <c r="AB8499">
        <v>1E-4</v>
      </c>
      <c r="AC8499">
        <v>8</v>
      </c>
      <c r="AD8499" s="5">
        <v>5.0459280082825337</v>
      </c>
      <c r="AE8499" s="5">
        <v>2.1629949682210738</v>
      </c>
      <c r="AF8499">
        <v>1</v>
      </c>
    </row>
    <row r="8500" spans="27:32" x14ac:dyDescent="0.3">
      <c r="AA8500" s="3">
        <v>13300.74</v>
      </c>
      <c r="AB8500">
        <v>1E-4</v>
      </c>
      <c r="AC8500">
        <v>8</v>
      </c>
      <c r="AD8500" s="5">
        <v>4.9771971306882454</v>
      </c>
      <c r="AE8500" s="5">
        <v>2.2067349598033137</v>
      </c>
      <c r="AF8500">
        <v>1</v>
      </c>
    </row>
    <row r="8501" spans="27:32" x14ac:dyDescent="0.3">
      <c r="AA8501" s="3">
        <v>32001.53</v>
      </c>
      <c r="AB8501">
        <v>1E-4</v>
      </c>
      <c r="AC8501">
        <v>7</v>
      </c>
      <c r="AD8501" s="5">
        <v>4.9560407657236185</v>
      </c>
      <c r="AE8501" s="5">
        <v>2.2459882545033185</v>
      </c>
      <c r="AF8501">
        <v>1</v>
      </c>
    </row>
    <row r="8502" spans="27:32" x14ac:dyDescent="0.3">
      <c r="AA8502" s="3">
        <v>30439.05</v>
      </c>
      <c r="AB8502">
        <v>1E-4</v>
      </c>
      <c r="AC8502">
        <v>8</v>
      </c>
      <c r="AD8502" s="5">
        <v>5.0239110934431341</v>
      </c>
      <c r="AE8502" s="5">
        <v>2.2183406017898251</v>
      </c>
      <c r="AF8502">
        <v>1</v>
      </c>
    </row>
    <row r="8503" spans="27:32" x14ac:dyDescent="0.3">
      <c r="AA8503" s="3">
        <v>25934.2</v>
      </c>
      <c r="AB8503">
        <v>1E-4</v>
      </c>
      <c r="AC8503">
        <v>8</v>
      </c>
      <c r="AD8503" s="5">
        <v>5.0724663240626207</v>
      </c>
      <c r="AE8503" s="5">
        <v>2.232328962197017</v>
      </c>
      <c r="AF8503">
        <v>1</v>
      </c>
    </row>
    <row r="8504" spans="27:32" x14ac:dyDescent="0.3">
      <c r="AA8504" s="3">
        <v>36877.11</v>
      </c>
      <c r="AB8504">
        <v>1E-4</v>
      </c>
      <c r="AC8504">
        <v>7</v>
      </c>
      <c r="AD8504" s="5">
        <v>5.055759415884129</v>
      </c>
      <c r="AE8504" s="5">
        <v>2.1678551351317927</v>
      </c>
      <c r="AF8504">
        <v>1</v>
      </c>
    </row>
    <row r="8505" spans="27:32" x14ac:dyDescent="0.3">
      <c r="AA8505" s="3">
        <v>14379.68</v>
      </c>
      <c r="AB8505">
        <v>1E-4</v>
      </c>
      <c r="AC8505">
        <v>8</v>
      </c>
      <c r="AD8505" s="5">
        <v>5.0512693717250654</v>
      </c>
      <c r="AE8505" s="5">
        <v>2.1589310437901745</v>
      </c>
      <c r="AF8505">
        <v>1</v>
      </c>
    </row>
    <row r="8506" spans="27:32" x14ac:dyDescent="0.3">
      <c r="AA8506" s="3">
        <v>23440.59</v>
      </c>
      <c r="AB8506">
        <v>1E-4</v>
      </c>
      <c r="AC8506">
        <v>8</v>
      </c>
      <c r="AD8506" s="5">
        <v>5.0698757885546213</v>
      </c>
      <c r="AE8506" s="5">
        <v>2.1287048227743459</v>
      </c>
      <c r="AF8506">
        <v>1</v>
      </c>
    </row>
    <row r="8507" spans="27:32" x14ac:dyDescent="0.3">
      <c r="AA8507" s="3">
        <v>45206.16</v>
      </c>
      <c r="AB8507">
        <v>1E-4</v>
      </c>
      <c r="AC8507">
        <v>7</v>
      </c>
      <c r="AD8507" s="5">
        <v>4.9636699777885571</v>
      </c>
      <c r="AE8507" s="5">
        <v>2.2648953776945033</v>
      </c>
      <c r="AF8507">
        <v>1</v>
      </c>
    </row>
    <row r="8508" spans="27:32" x14ac:dyDescent="0.3">
      <c r="AA8508" s="3">
        <v>9940.18</v>
      </c>
      <c r="AB8508">
        <v>1E-4</v>
      </c>
      <c r="AC8508">
        <v>8</v>
      </c>
      <c r="AD8508" s="5">
        <v>4.9195940757337544</v>
      </c>
      <c r="AE8508" s="5">
        <v>2.2257838944501751</v>
      </c>
      <c r="AF8508">
        <v>1</v>
      </c>
    </row>
    <row r="8509" spans="27:32" x14ac:dyDescent="0.3">
      <c r="AA8509" s="3">
        <v>27522.61</v>
      </c>
      <c r="AB8509">
        <v>1E-4</v>
      </c>
      <c r="AC8509">
        <v>8</v>
      </c>
      <c r="AD8509" s="5">
        <v>5.0101373992051013</v>
      </c>
      <c r="AE8509" s="5">
        <v>2.1338996463894935</v>
      </c>
      <c r="AF8509">
        <v>1</v>
      </c>
    </row>
    <row r="8510" spans="27:32" x14ac:dyDescent="0.3">
      <c r="AA8510" s="3">
        <v>27127.83</v>
      </c>
      <c r="AB8510">
        <v>1E-4</v>
      </c>
      <c r="AC8510">
        <v>8</v>
      </c>
      <c r="AD8510" s="5">
        <v>5.1929272350347686</v>
      </c>
      <c r="AE8510" s="5">
        <v>2.1815335205406363</v>
      </c>
      <c r="AF8510">
        <v>1</v>
      </c>
    </row>
    <row r="8511" spans="27:32" x14ac:dyDescent="0.3">
      <c r="AA8511" s="3">
        <v>43806.62</v>
      </c>
      <c r="AB8511">
        <v>1E-4</v>
      </c>
      <c r="AC8511">
        <v>7</v>
      </c>
      <c r="AD8511" s="5">
        <v>5.0400593838972947</v>
      </c>
      <c r="AE8511" s="5">
        <v>2.2174731519861366</v>
      </c>
      <c r="AF8511">
        <v>1</v>
      </c>
    </row>
    <row r="8512" spans="27:32" x14ac:dyDescent="0.3">
      <c r="AA8512" s="3">
        <v>3486.44</v>
      </c>
      <c r="AB8512">
        <v>1E-4</v>
      </c>
      <c r="AC8512">
        <v>8</v>
      </c>
      <c r="AD8512" s="5">
        <v>4.9719275768545748</v>
      </c>
      <c r="AE8512" s="5">
        <v>2.275993349690236</v>
      </c>
      <c r="AF8512">
        <v>1</v>
      </c>
    </row>
    <row r="8513" spans="27:32" x14ac:dyDescent="0.3">
      <c r="AA8513" s="3">
        <v>-12101.34</v>
      </c>
      <c r="AB8513">
        <v>1E-4</v>
      </c>
      <c r="AC8513">
        <v>9</v>
      </c>
      <c r="AD8513" s="5">
        <v>4.897587120191516</v>
      </c>
      <c r="AE8513" s="5">
        <v>2.1825178337073901</v>
      </c>
      <c r="AF8513">
        <v>1</v>
      </c>
    </row>
    <row r="8514" spans="27:32" x14ac:dyDescent="0.3">
      <c r="AA8514" s="3">
        <v>15782.86</v>
      </c>
      <c r="AB8514">
        <v>1E-4</v>
      </c>
      <c r="AC8514">
        <v>8</v>
      </c>
      <c r="AD8514" s="5">
        <v>5.1708335348748076</v>
      </c>
      <c r="AE8514" s="5">
        <v>2.170127920965538</v>
      </c>
      <c r="AF8514">
        <v>1</v>
      </c>
    </row>
    <row r="8515" spans="27:32" x14ac:dyDescent="0.3">
      <c r="AA8515" s="3">
        <v>26252.080000000002</v>
      </c>
      <c r="AB8515">
        <v>1E-4</v>
      </c>
      <c r="AC8515">
        <v>8</v>
      </c>
      <c r="AD8515" s="5">
        <v>5.0676302402064168</v>
      </c>
      <c r="AE8515" s="5">
        <v>2.2046385987789328</v>
      </c>
      <c r="AF8515">
        <v>1</v>
      </c>
    </row>
    <row r="8516" spans="27:32" x14ac:dyDescent="0.3">
      <c r="AA8516" s="3">
        <v>17780.29</v>
      </c>
      <c r="AB8516">
        <v>1E-4</v>
      </c>
      <c r="AC8516">
        <v>8</v>
      </c>
      <c r="AD8516" s="5">
        <v>4.9509346310662377</v>
      </c>
      <c r="AE8516" s="5">
        <v>2.2040079089297846</v>
      </c>
      <c r="AF8516">
        <v>1</v>
      </c>
    </row>
    <row r="8517" spans="27:32" x14ac:dyDescent="0.3">
      <c r="AA8517" s="3">
        <v>23800.720000000001</v>
      </c>
      <c r="AB8517">
        <v>1E-4</v>
      </c>
      <c r="AC8517">
        <v>8</v>
      </c>
      <c r="AD8517" s="5">
        <v>5.0846081496117232</v>
      </c>
      <c r="AE8517" s="5">
        <v>2.1675048323047457</v>
      </c>
      <c r="AF8517">
        <v>1</v>
      </c>
    </row>
    <row r="8518" spans="27:32" x14ac:dyDescent="0.3">
      <c r="AA8518" s="3">
        <v>-4220.41</v>
      </c>
      <c r="AB8518">
        <v>1E-4</v>
      </c>
      <c r="AC8518">
        <v>9</v>
      </c>
      <c r="AD8518" s="5">
        <v>4.9251804883789205</v>
      </c>
      <c r="AE8518" s="5">
        <v>2.1343948611186407</v>
      </c>
      <c r="AF8518">
        <v>1</v>
      </c>
    </row>
    <row r="8519" spans="27:32" x14ac:dyDescent="0.3">
      <c r="AA8519" s="3">
        <v>19173.77</v>
      </c>
      <c r="AB8519">
        <v>1E-4</v>
      </c>
      <c r="AC8519">
        <v>8</v>
      </c>
      <c r="AD8519" s="5">
        <v>5.0561135251805336</v>
      </c>
      <c r="AE8519" s="5">
        <v>2.1841675747096572</v>
      </c>
      <c r="AF8519">
        <v>1</v>
      </c>
    </row>
    <row r="8520" spans="27:32" x14ac:dyDescent="0.3">
      <c r="AA8520" s="3">
        <v>9122.61</v>
      </c>
      <c r="AB8520">
        <v>1E-4</v>
      </c>
      <c r="AC8520">
        <v>8</v>
      </c>
      <c r="AD8520" s="5">
        <v>4.8936472856712117</v>
      </c>
      <c r="AE8520" s="5">
        <v>2.1595289922858063</v>
      </c>
      <c r="AF8520">
        <v>1</v>
      </c>
    </row>
    <row r="8521" spans="27:32" x14ac:dyDescent="0.3">
      <c r="AA8521" s="3">
        <v>-2759.7</v>
      </c>
      <c r="AB8521">
        <v>1E-4</v>
      </c>
      <c r="AC8521">
        <v>9</v>
      </c>
      <c r="AD8521" s="5">
        <v>4.8229861270651071</v>
      </c>
      <c r="AE8521" s="5">
        <v>2.1978721759102968</v>
      </c>
      <c r="AF8521">
        <v>1</v>
      </c>
    </row>
    <row r="8522" spans="27:32" x14ac:dyDescent="0.3">
      <c r="AA8522" s="3">
        <v>6792.74</v>
      </c>
      <c r="AB8522">
        <v>1E-4</v>
      </c>
      <c r="AC8522">
        <v>8</v>
      </c>
      <c r="AD8522" s="5">
        <v>4.9083082845594452</v>
      </c>
      <c r="AE8522" s="5">
        <v>2.1986606874288097</v>
      </c>
      <c r="AF8522">
        <v>1</v>
      </c>
    </row>
    <row r="8523" spans="27:32" x14ac:dyDescent="0.3">
      <c r="AA8523" s="3">
        <v>51903.03</v>
      </c>
      <c r="AB8523">
        <v>1E-4</v>
      </c>
      <c r="AC8523">
        <v>6</v>
      </c>
      <c r="AD8523" s="5">
        <v>5.2272924993184251</v>
      </c>
      <c r="AE8523" s="5">
        <v>2.0937241162469493</v>
      </c>
      <c r="AF8523">
        <v>1</v>
      </c>
    </row>
    <row r="8524" spans="27:32" x14ac:dyDescent="0.3">
      <c r="AA8524" s="3">
        <v>24844.82</v>
      </c>
      <c r="AB8524">
        <v>1E-4</v>
      </c>
      <c r="AC8524">
        <v>8</v>
      </c>
      <c r="AD8524" s="5">
        <v>5.0402160729056691</v>
      </c>
      <c r="AE8524" s="5">
        <v>2.2568275602858305</v>
      </c>
      <c r="AF8524">
        <v>1</v>
      </c>
    </row>
    <row r="8525" spans="27:32" x14ac:dyDescent="0.3">
      <c r="AA8525" s="3">
        <v>6254.72</v>
      </c>
      <c r="AB8525">
        <v>1E-4</v>
      </c>
      <c r="AC8525">
        <v>8</v>
      </c>
      <c r="AD8525" s="5">
        <v>4.8462615423304802</v>
      </c>
      <c r="AE8525" s="5">
        <v>2.2388055745511757</v>
      </c>
      <c r="AF8525">
        <v>1</v>
      </c>
    </row>
    <row r="8526" spans="27:32" x14ac:dyDescent="0.3">
      <c r="AA8526" s="3">
        <v>16935.41</v>
      </c>
      <c r="AB8526">
        <v>1E-4</v>
      </c>
      <c r="AC8526">
        <v>8</v>
      </c>
      <c r="AD8526" s="5">
        <v>5.0361407760520942</v>
      </c>
      <c r="AE8526" s="5">
        <v>2.2905712678128971</v>
      </c>
      <c r="AF8526">
        <v>1</v>
      </c>
    </row>
    <row r="8527" spans="27:32" x14ac:dyDescent="0.3">
      <c r="AA8527" s="3">
        <v>32272.15</v>
      </c>
      <c r="AB8527">
        <v>1E-4</v>
      </c>
      <c r="AC8527">
        <v>7</v>
      </c>
      <c r="AD8527" s="5">
        <v>4.9396771658818093</v>
      </c>
      <c r="AE8527" s="5">
        <v>2.1330988878254629</v>
      </c>
      <c r="AF8527">
        <v>1</v>
      </c>
    </row>
    <row r="8528" spans="27:32" x14ac:dyDescent="0.3">
      <c r="AA8528" s="3">
        <v>41432.97</v>
      </c>
      <c r="AB8528">
        <v>1E-4</v>
      </c>
      <c r="AC8528">
        <v>7</v>
      </c>
      <c r="AD8528" s="5">
        <v>5.1543271927177612</v>
      </c>
      <c r="AE8528" s="5">
        <v>2.1465740786056626</v>
      </c>
      <c r="AF8528">
        <v>1</v>
      </c>
    </row>
    <row r="8529" spans="27:32" x14ac:dyDescent="0.3">
      <c r="AA8529" s="3">
        <v>26603.31</v>
      </c>
      <c r="AB8529">
        <v>1E-4</v>
      </c>
      <c r="AC8529">
        <v>8</v>
      </c>
      <c r="AD8529" s="5">
        <v>5.1584897984309999</v>
      </c>
      <c r="AE8529" s="5">
        <v>2.1667030194925023</v>
      </c>
      <c r="AF8529">
        <v>1</v>
      </c>
    </row>
    <row r="8530" spans="27:32" x14ac:dyDescent="0.3">
      <c r="AA8530" s="3">
        <v>20456.189999999999</v>
      </c>
      <c r="AB8530">
        <v>1E-4</v>
      </c>
      <c r="AC8530">
        <v>8</v>
      </c>
      <c r="AD8530" s="5">
        <v>4.983092294555358</v>
      </c>
      <c r="AE8530" s="5">
        <v>2.2169524844281665</v>
      </c>
      <c r="AF8530">
        <v>1</v>
      </c>
    </row>
    <row r="8531" spans="27:32" x14ac:dyDescent="0.3">
      <c r="AA8531" s="3">
        <v>10704.98</v>
      </c>
      <c r="AB8531">
        <v>1E-4</v>
      </c>
      <c r="AC8531">
        <v>8</v>
      </c>
      <c r="AD8531" s="5">
        <v>4.9385303204621751</v>
      </c>
      <c r="AE8531" s="5">
        <v>2.0750244313342199</v>
      </c>
      <c r="AF8531">
        <v>1</v>
      </c>
    </row>
    <row r="8532" spans="27:32" x14ac:dyDescent="0.3">
      <c r="AA8532" s="3">
        <v>34435.06</v>
      </c>
      <c r="AB8532">
        <v>1E-4</v>
      </c>
      <c r="AC8532">
        <v>7</v>
      </c>
      <c r="AD8532" s="5">
        <v>5.0468174324068196</v>
      </c>
      <c r="AE8532" s="5">
        <v>2.1802696092815244</v>
      </c>
      <c r="AF8532">
        <v>1</v>
      </c>
    </row>
    <row r="8533" spans="27:32" x14ac:dyDescent="0.3">
      <c r="AA8533" s="3">
        <v>43873.62</v>
      </c>
      <c r="AB8533">
        <v>1E-4</v>
      </c>
      <c r="AC8533">
        <v>7</v>
      </c>
      <c r="AD8533" s="5">
        <v>5.0310446950520245</v>
      </c>
      <c r="AE8533" s="5">
        <v>2.1893238245683149</v>
      </c>
      <c r="AF8533">
        <v>1</v>
      </c>
    </row>
    <row r="8534" spans="27:32" x14ac:dyDescent="0.3">
      <c r="AA8534" s="3">
        <v>26768.87</v>
      </c>
      <c r="AB8534">
        <v>1E-4</v>
      </c>
      <c r="AC8534">
        <v>8</v>
      </c>
      <c r="AD8534" s="5">
        <v>4.9564331230440501</v>
      </c>
      <c r="AE8534" s="5">
        <v>2.1957036648573309</v>
      </c>
      <c r="AF8534">
        <v>1</v>
      </c>
    </row>
    <row r="8535" spans="27:32" x14ac:dyDescent="0.3">
      <c r="AA8535" s="3">
        <v>44828.07</v>
      </c>
      <c r="AB8535">
        <v>1E-4</v>
      </c>
      <c r="AC8535">
        <v>7</v>
      </c>
      <c r="AD8535" s="5">
        <v>5.031226439698238</v>
      </c>
      <c r="AE8535" s="5">
        <v>2.1871124135054139</v>
      </c>
      <c r="AF8535">
        <v>1</v>
      </c>
    </row>
    <row r="8536" spans="27:32" x14ac:dyDescent="0.3">
      <c r="AA8536" s="3">
        <v>17524.439999999999</v>
      </c>
      <c r="AB8536">
        <v>1E-4</v>
      </c>
      <c r="AC8536">
        <v>8</v>
      </c>
      <c r="AD8536" s="5">
        <v>5.0373814845768319</v>
      </c>
      <c r="AE8536" s="5">
        <v>2.2958963055692077</v>
      </c>
      <c r="AF8536">
        <v>1</v>
      </c>
    </row>
    <row r="8537" spans="27:32" x14ac:dyDescent="0.3">
      <c r="AA8537" s="3">
        <v>20965.349999999999</v>
      </c>
      <c r="AB8537">
        <v>1E-4</v>
      </c>
      <c r="AC8537">
        <v>8</v>
      </c>
      <c r="AD8537" s="5">
        <v>4.9583413054233061</v>
      </c>
      <c r="AE8537" s="5">
        <v>2.2472216791546509</v>
      </c>
      <c r="AF8537">
        <v>1</v>
      </c>
    </row>
    <row r="8538" spans="27:32" x14ac:dyDescent="0.3">
      <c r="AA8538" s="3">
        <v>-5199.1899999999996</v>
      </c>
      <c r="AB8538">
        <v>1E-4</v>
      </c>
      <c r="AC8538">
        <v>9</v>
      </c>
      <c r="AD8538" s="5">
        <v>4.8968176546598752</v>
      </c>
      <c r="AE8538" s="5">
        <v>2.2544520003821567</v>
      </c>
      <c r="AF8538">
        <v>1</v>
      </c>
    </row>
    <row r="8539" spans="27:32" x14ac:dyDescent="0.3">
      <c r="AA8539" s="3">
        <v>13222.77</v>
      </c>
      <c r="AB8539">
        <v>1E-4</v>
      </c>
      <c r="AC8539">
        <v>8</v>
      </c>
      <c r="AD8539" s="5">
        <v>4.9188278727702617</v>
      </c>
      <c r="AE8539" s="5">
        <v>2.1953949911546613</v>
      </c>
      <c r="AF8539">
        <v>1</v>
      </c>
    </row>
    <row r="8540" spans="27:32" x14ac:dyDescent="0.3">
      <c r="AA8540" s="3">
        <v>17274.63</v>
      </c>
      <c r="AB8540">
        <v>1E-4</v>
      </c>
      <c r="AC8540">
        <v>8</v>
      </c>
      <c r="AD8540" s="5">
        <v>4.9900238448101684</v>
      </c>
      <c r="AE8540" s="5">
        <v>2.2966740616771713</v>
      </c>
      <c r="AF8540">
        <v>1</v>
      </c>
    </row>
    <row r="8541" spans="27:32" x14ac:dyDescent="0.3">
      <c r="AA8541" s="3">
        <v>-21450.51</v>
      </c>
      <c r="AB8541">
        <v>1E-4</v>
      </c>
      <c r="AC8541">
        <v>9</v>
      </c>
      <c r="AD8541" s="5">
        <v>4.869335388797932</v>
      </c>
      <c r="AE8541" s="5">
        <v>2.2222705644345639</v>
      </c>
      <c r="AF8541">
        <v>1</v>
      </c>
    </row>
    <row r="8542" spans="27:32" x14ac:dyDescent="0.3">
      <c r="AA8542" s="3">
        <v>4639.04</v>
      </c>
      <c r="AB8542">
        <v>1E-4</v>
      </c>
      <c r="AC8542">
        <v>8</v>
      </c>
      <c r="AD8542" s="5">
        <v>4.9759205327970948</v>
      </c>
      <c r="AE8542" s="5">
        <v>2.1968369093841433</v>
      </c>
      <c r="AF8542">
        <v>1</v>
      </c>
    </row>
    <row r="8543" spans="27:32" x14ac:dyDescent="0.3">
      <c r="AA8543" s="3">
        <v>26535.67</v>
      </c>
      <c r="AB8543">
        <v>1E-4</v>
      </c>
      <c r="AC8543">
        <v>8</v>
      </c>
      <c r="AD8543" s="5">
        <v>4.9862650956764307</v>
      </c>
      <c r="AE8543" s="5">
        <v>2.2697893885610836</v>
      </c>
      <c r="AF8543">
        <v>1</v>
      </c>
    </row>
    <row r="8544" spans="27:32" x14ac:dyDescent="0.3">
      <c r="AA8544" s="3">
        <v>2681.91</v>
      </c>
      <c r="AB8544">
        <v>1E-4</v>
      </c>
      <c r="AC8544">
        <v>8</v>
      </c>
      <c r="AD8544" s="5">
        <v>4.871741314367859</v>
      </c>
      <c r="AE8544" s="5">
        <v>2.1196278437344884</v>
      </c>
      <c r="AF8544">
        <v>1</v>
      </c>
    </row>
    <row r="8545" spans="27:32" x14ac:dyDescent="0.3">
      <c r="AA8545" s="3">
        <v>26084.26</v>
      </c>
      <c r="AB8545">
        <v>1E-4</v>
      </c>
      <c r="AC8545">
        <v>8</v>
      </c>
      <c r="AD8545" s="5">
        <v>5.10096973348183</v>
      </c>
      <c r="AE8545" s="5">
        <v>2.1193045897887828</v>
      </c>
      <c r="AF8545">
        <v>1</v>
      </c>
    </row>
    <row r="8546" spans="27:32" x14ac:dyDescent="0.3">
      <c r="AA8546" s="3">
        <v>16294.31</v>
      </c>
      <c r="AB8546">
        <v>1E-4</v>
      </c>
      <c r="AC8546">
        <v>8</v>
      </c>
      <c r="AD8546" s="5">
        <v>4.9073713656340541</v>
      </c>
      <c r="AE8546" s="5">
        <v>2.2345185398840561</v>
      </c>
      <c r="AF8546">
        <v>1</v>
      </c>
    </row>
    <row r="8547" spans="27:32" x14ac:dyDescent="0.3">
      <c r="AA8547" s="3">
        <v>28095.95</v>
      </c>
      <c r="AB8547">
        <v>1E-4</v>
      </c>
      <c r="AC8547">
        <v>7</v>
      </c>
      <c r="AD8547" s="5">
        <v>4.9125211368949362</v>
      </c>
      <c r="AE8547" s="5">
        <v>2.2738725847697974</v>
      </c>
      <c r="AF8547">
        <v>1</v>
      </c>
    </row>
    <row r="8548" spans="27:32" x14ac:dyDescent="0.3">
      <c r="AA8548" s="3">
        <v>40805.17</v>
      </c>
      <c r="AB8548">
        <v>1E-4</v>
      </c>
      <c r="AC8548">
        <v>7</v>
      </c>
      <c r="AD8548" s="5">
        <v>5.1628060521360553</v>
      </c>
      <c r="AE8548" s="5">
        <v>2.1952661422934714</v>
      </c>
      <c r="AF8548">
        <v>1</v>
      </c>
    </row>
    <row r="8549" spans="27:32" x14ac:dyDescent="0.3">
      <c r="AA8549" s="3">
        <v>37062.51</v>
      </c>
      <c r="AB8549">
        <v>1E-4</v>
      </c>
      <c r="AC8549">
        <v>7</v>
      </c>
      <c r="AD8549" s="5">
        <v>4.9507276791708863</v>
      </c>
      <c r="AE8549" s="5">
        <v>2.056521217635463</v>
      </c>
      <c r="AF8549">
        <v>1</v>
      </c>
    </row>
    <row r="8550" spans="27:32" x14ac:dyDescent="0.3">
      <c r="AA8550" s="3">
        <v>30590.17</v>
      </c>
      <c r="AB8550">
        <v>1E-4</v>
      </c>
      <c r="AC8550">
        <v>7</v>
      </c>
      <c r="AD8550" s="5">
        <v>4.9315961955725847</v>
      </c>
      <c r="AE8550" s="5">
        <v>2.2031646001109277</v>
      </c>
      <c r="AF8550">
        <v>1</v>
      </c>
    </row>
    <row r="8551" spans="27:32" x14ac:dyDescent="0.3">
      <c r="AA8551" s="3">
        <v>11855.73</v>
      </c>
      <c r="AB8551">
        <v>1E-4</v>
      </c>
      <c r="AC8551">
        <v>8</v>
      </c>
      <c r="AD8551" s="5">
        <v>4.9447321235234112</v>
      </c>
      <c r="AE8551" s="5">
        <v>2.181412967221295</v>
      </c>
      <c r="AF8551">
        <v>1</v>
      </c>
    </row>
    <row r="8552" spans="27:32" x14ac:dyDescent="0.3">
      <c r="AA8552" s="3">
        <v>10799.46</v>
      </c>
      <c r="AB8552">
        <v>1E-4</v>
      </c>
      <c r="AC8552">
        <v>8</v>
      </c>
      <c r="AD8552" s="5">
        <v>5.0613561590308622</v>
      </c>
      <c r="AE8552" s="5">
        <v>2.2726024538420559</v>
      </c>
      <c r="AF8552">
        <v>1</v>
      </c>
    </row>
    <row r="8553" spans="27:32" x14ac:dyDescent="0.3">
      <c r="AA8553" s="3">
        <v>20855.39</v>
      </c>
      <c r="AB8553">
        <v>1E-4</v>
      </c>
      <c r="AC8553">
        <v>8</v>
      </c>
      <c r="AD8553" s="5">
        <v>5.0775608205137663</v>
      </c>
      <c r="AE8553" s="5">
        <v>2.2263717435050094</v>
      </c>
      <c r="AF8553">
        <v>1</v>
      </c>
    </row>
    <row r="8554" spans="27:32" x14ac:dyDescent="0.3">
      <c r="AA8554" s="3">
        <v>-6083.79</v>
      </c>
      <c r="AB8554">
        <v>1E-4</v>
      </c>
      <c r="AC8554">
        <v>9</v>
      </c>
      <c r="AD8554" s="5">
        <v>4.9873486620466965</v>
      </c>
      <c r="AE8554" s="5">
        <v>2.1908982295360784</v>
      </c>
      <c r="AF8554">
        <v>1</v>
      </c>
    </row>
    <row r="8555" spans="27:32" x14ac:dyDescent="0.3">
      <c r="AA8555" s="3">
        <v>1989.36</v>
      </c>
      <c r="AB8555">
        <v>1E-4</v>
      </c>
      <c r="AC8555">
        <v>8</v>
      </c>
      <c r="AD8555" s="5">
        <v>4.844004032008173</v>
      </c>
      <c r="AE8555" s="5">
        <v>2.1775561259570853</v>
      </c>
      <c r="AF8555">
        <v>1</v>
      </c>
    </row>
    <row r="8556" spans="27:32" x14ac:dyDescent="0.3">
      <c r="AA8556" s="3">
        <v>15600.7</v>
      </c>
      <c r="AB8556">
        <v>1E-4</v>
      </c>
      <c r="AC8556">
        <v>8</v>
      </c>
      <c r="AD8556" s="5">
        <v>4.965631756081538</v>
      </c>
      <c r="AE8556" s="5">
        <v>2.195236228206487</v>
      </c>
      <c r="AF8556">
        <v>1</v>
      </c>
    </row>
    <row r="8557" spans="27:32" x14ac:dyDescent="0.3">
      <c r="AA8557" s="3">
        <v>18802.16</v>
      </c>
      <c r="AB8557">
        <v>1E-4</v>
      </c>
      <c r="AC8557">
        <v>8</v>
      </c>
      <c r="AD8557" s="5">
        <v>5.0288179805017217</v>
      </c>
      <c r="AE8557" s="5">
        <v>2.2747071261675731</v>
      </c>
      <c r="AF8557">
        <v>1</v>
      </c>
    </row>
    <row r="8558" spans="27:32" x14ac:dyDescent="0.3">
      <c r="AA8558" s="3">
        <v>7241.43</v>
      </c>
      <c r="AB8558">
        <v>1E-4</v>
      </c>
      <c r="AC8558">
        <v>8</v>
      </c>
      <c r="AD8558" s="5">
        <v>4.8939307772862479</v>
      </c>
      <c r="AE8558" s="5">
        <v>2.3077180153027412</v>
      </c>
      <c r="AF8558">
        <v>1</v>
      </c>
    </row>
    <row r="8559" spans="27:32" x14ac:dyDescent="0.3">
      <c r="AA8559" s="3">
        <v>37696.18</v>
      </c>
      <c r="AB8559">
        <v>1E-4</v>
      </c>
      <c r="AC8559">
        <v>7</v>
      </c>
      <c r="AD8559" s="5">
        <v>5.1659977236996015</v>
      </c>
      <c r="AE8559" s="5">
        <v>2.2714275982702663</v>
      </c>
      <c r="AF8559">
        <v>1</v>
      </c>
    </row>
    <row r="8560" spans="27:32" x14ac:dyDescent="0.3">
      <c r="AA8560" s="3">
        <v>-13170.72</v>
      </c>
      <c r="AB8560">
        <v>1E-4</v>
      </c>
      <c r="AC8560">
        <v>9</v>
      </c>
      <c r="AD8560" s="5">
        <v>5.037220307528667</v>
      </c>
      <c r="AE8560" s="5">
        <v>2.2072960290284764</v>
      </c>
      <c r="AF8560">
        <v>1</v>
      </c>
    </row>
    <row r="8561" spans="27:32" x14ac:dyDescent="0.3">
      <c r="AA8561" s="3">
        <v>-1555.84</v>
      </c>
      <c r="AB8561">
        <v>1E-4</v>
      </c>
      <c r="AC8561">
        <v>9</v>
      </c>
      <c r="AD8561" s="5">
        <v>4.9848320168952487</v>
      </c>
      <c r="AE8561" s="5">
        <v>2.2201032327154326</v>
      </c>
      <c r="AF8561">
        <v>1</v>
      </c>
    </row>
    <row r="8562" spans="27:32" x14ac:dyDescent="0.3">
      <c r="AA8562" s="3">
        <v>18577.57</v>
      </c>
      <c r="AB8562">
        <v>1E-4</v>
      </c>
      <c r="AC8562">
        <v>8</v>
      </c>
      <c r="AD8562" s="5">
        <v>4.938384430767198</v>
      </c>
      <c r="AE8562" s="5">
        <v>2.2212427404202781</v>
      </c>
      <c r="AF8562">
        <v>1</v>
      </c>
    </row>
    <row r="8563" spans="27:32" x14ac:dyDescent="0.3">
      <c r="AA8563" s="3">
        <v>6809.21</v>
      </c>
      <c r="AB8563">
        <v>1E-4</v>
      </c>
      <c r="AC8563">
        <v>8</v>
      </c>
      <c r="AD8563" s="5">
        <v>5.1311476763754031</v>
      </c>
      <c r="AE8563" s="5">
        <v>2.301240480483278</v>
      </c>
      <c r="AF8563">
        <v>1</v>
      </c>
    </row>
    <row r="8564" spans="27:32" x14ac:dyDescent="0.3">
      <c r="AA8564" s="3">
        <v>13885.99</v>
      </c>
      <c r="AB8564">
        <v>1E-4</v>
      </c>
      <c r="AC8564">
        <v>8</v>
      </c>
      <c r="AD8564" s="5">
        <v>5.0290891096061729</v>
      </c>
      <c r="AE8564" s="5">
        <v>2.1415985987855595</v>
      </c>
      <c r="AF8564">
        <v>1</v>
      </c>
    </row>
    <row r="8565" spans="27:32" x14ac:dyDescent="0.3">
      <c r="AA8565" s="3">
        <v>11218.83</v>
      </c>
      <c r="AB8565">
        <v>1E-4</v>
      </c>
      <c r="AC8565">
        <v>8</v>
      </c>
      <c r="AD8565" s="5">
        <v>4.8582524314224456</v>
      </c>
      <c r="AE8565" s="5">
        <v>2.2309500735397236</v>
      </c>
      <c r="AF8565">
        <v>1</v>
      </c>
    </row>
    <row r="8566" spans="27:32" x14ac:dyDescent="0.3">
      <c r="AA8566" s="3">
        <v>20080.830000000002</v>
      </c>
      <c r="AB8566">
        <v>1E-4</v>
      </c>
      <c r="AC8566">
        <v>8</v>
      </c>
      <c r="AD8566" s="5">
        <v>4.9157367879977416</v>
      </c>
      <c r="AE8566" s="5">
        <v>2.2076905709052972</v>
      </c>
      <c r="AF8566">
        <v>1</v>
      </c>
    </row>
    <row r="8567" spans="27:32" x14ac:dyDescent="0.3">
      <c r="AA8567" s="3">
        <v>1352.66</v>
      </c>
      <c r="AB8567">
        <v>1E-4</v>
      </c>
      <c r="AC8567">
        <v>8</v>
      </c>
      <c r="AD8567" s="5">
        <v>5.1228450306367366</v>
      </c>
      <c r="AE8567" s="5">
        <v>2.2376780169584691</v>
      </c>
      <c r="AF8567">
        <v>1</v>
      </c>
    </row>
    <row r="8568" spans="27:32" x14ac:dyDescent="0.3">
      <c r="AA8568" s="3">
        <v>12735.52</v>
      </c>
      <c r="AB8568">
        <v>1E-4</v>
      </c>
      <c r="AC8568">
        <v>8</v>
      </c>
      <c r="AD8568" s="5">
        <v>4.9015480797699924</v>
      </c>
      <c r="AE8568" s="5">
        <v>2.1252452441216749</v>
      </c>
      <c r="AF8568">
        <v>1</v>
      </c>
    </row>
    <row r="8569" spans="27:32" x14ac:dyDescent="0.3">
      <c r="AA8569" s="3">
        <v>15362.38</v>
      </c>
      <c r="AB8569">
        <v>1E-4</v>
      </c>
      <c r="AC8569">
        <v>8</v>
      </c>
      <c r="AD8569" s="5">
        <v>4.9535868858871659</v>
      </c>
      <c r="AE8569" s="5">
        <v>2.227570305539488</v>
      </c>
      <c r="AF8569">
        <v>1</v>
      </c>
    </row>
    <row r="8570" spans="27:32" x14ac:dyDescent="0.3">
      <c r="AA8570" s="3">
        <v>23500.05</v>
      </c>
      <c r="AB8570">
        <v>1E-4</v>
      </c>
      <c r="AC8570">
        <v>8</v>
      </c>
      <c r="AD8570" s="5">
        <v>5.2020301869690773</v>
      </c>
      <c r="AE8570" s="5">
        <v>2.2152684708673744</v>
      </c>
      <c r="AF8570">
        <v>1</v>
      </c>
    </row>
    <row r="8571" spans="27:32" x14ac:dyDescent="0.3">
      <c r="AA8571" s="3">
        <v>12763.82</v>
      </c>
      <c r="AB8571">
        <v>1E-4</v>
      </c>
      <c r="AC8571">
        <v>8</v>
      </c>
      <c r="AD8571" s="5">
        <v>5.0273705301879135</v>
      </c>
      <c r="AE8571" s="5">
        <v>2.2037164739640818</v>
      </c>
      <c r="AF8571">
        <v>1</v>
      </c>
    </row>
    <row r="8572" spans="27:32" x14ac:dyDescent="0.3">
      <c r="AA8572" s="3">
        <v>41994.21</v>
      </c>
      <c r="AB8572">
        <v>1E-4</v>
      </c>
      <c r="AC8572">
        <v>7</v>
      </c>
      <c r="AD8572" s="5">
        <v>5.0354188477110533</v>
      </c>
      <c r="AE8572" s="5">
        <v>2.255495908583951</v>
      </c>
      <c r="AF8572">
        <v>1</v>
      </c>
    </row>
    <row r="8573" spans="27:32" x14ac:dyDescent="0.3">
      <c r="AA8573" s="3">
        <v>14875.47</v>
      </c>
      <c r="AB8573">
        <v>1E-4</v>
      </c>
      <c r="AC8573">
        <v>8</v>
      </c>
      <c r="AD8573" s="5">
        <v>4.9630190297989705</v>
      </c>
      <c r="AE8573" s="5">
        <v>2.0841687821463535</v>
      </c>
      <c r="AF8573">
        <v>1</v>
      </c>
    </row>
    <row r="8574" spans="27:32" x14ac:dyDescent="0.3">
      <c r="AA8574" s="3">
        <v>25232.85</v>
      </c>
      <c r="AB8574">
        <v>1E-4</v>
      </c>
      <c r="AC8574">
        <v>8</v>
      </c>
      <c r="AD8574" s="5">
        <v>4.9714023627972441</v>
      </c>
      <c r="AE8574" s="5">
        <v>2.2078991627967643</v>
      </c>
      <c r="AF8574">
        <v>1</v>
      </c>
    </row>
    <row r="8575" spans="27:32" x14ac:dyDescent="0.3">
      <c r="AA8575" s="3">
        <v>3952.17</v>
      </c>
      <c r="AB8575">
        <v>1E-4</v>
      </c>
      <c r="AC8575">
        <v>8</v>
      </c>
      <c r="AD8575" s="5">
        <v>4.8769877663066934</v>
      </c>
      <c r="AE8575" s="5">
        <v>2.1822755628495374</v>
      </c>
      <c r="AF8575">
        <v>1</v>
      </c>
    </row>
    <row r="8576" spans="27:32" x14ac:dyDescent="0.3">
      <c r="AA8576" s="3">
        <v>27375.07</v>
      </c>
      <c r="AB8576">
        <v>1E-4</v>
      </c>
      <c r="AC8576">
        <v>8</v>
      </c>
      <c r="AD8576" s="5">
        <v>5.1571281642862736</v>
      </c>
      <c r="AE8576" s="5">
        <v>2.2521235665307202</v>
      </c>
      <c r="AF8576">
        <v>1</v>
      </c>
    </row>
    <row r="8577" spans="27:32" x14ac:dyDescent="0.3">
      <c r="AA8577" s="3">
        <v>-14530.67</v>
      </c>
      <c r="AB8577">
        <v>1E-4</v>
      </c>
      <c r="AC8577">
        <v>9</v>
      </c>
      <c r="AD8577" s="5">
        <v>4.9936585168647358</v>
      </c>
      <c r="AE8577" s="5">
        <v>2.197340316356303</v>
      </c>
      <c r="AF8577">
        <v>1</v>
      </c>
    </row>
    <row r="8578" spans="27:32" x14ac:dyDescent="0.3">
      <c r="AA8578" s="3">
        <v>55466.54</v>
      </c>
      <c r="AB8578">
        <v>1E-4</v>
      </c>
      <c r="AC8578">
        <v>6</v>
      </c>
      <c r="AD8578" s="5">
        <v>5.0546582607183144</v>
      </c>
      <c r="AE8578" s="5">
        <v>2.253650792764013</v>
      </c>
      <c r="AF8578">
        <v>1</v>
      </c>
    </row>
    <row r="8579" spans="27:32" x14ac:dyDescent="0.3">
      <c r="AA8579" s="3">
        <v>-22446.91</v>
      </c>
      <c r="AB8579">
        <v>1E-4</v>
      </c>
      <c r="AC8579">
        <v>9</v>
      </c>
      <c r="AD8579" s="5">
        <v>4.9111995620077007</v>
      </c>
      <c r="AE8579" s="5">
        <v>2.0670637209332487</v>
      </c>
      <c r="AF8579">
        <v>1</v>
      </c>
    </row>
    <row r="8580" spans="27:32" x14ac:dyDescent="0.3">
      <c r="AA8580" s="3">
        <v>36401.06</v>
      </c>
      <c r="AB8580">
        <v>1E-4</v>
      </c>
      <c r="AC8580">
        <v>7</v>
      </c>
      <c r="AD8580" s="5">
        <v>5.0022226770109919</v>
      </c>
      <c r="AE8580" s="5">
        <v>2.1550841142181132</v>
      </c>
      <c r="AF8580">
        <v>1</v>
      </c>
    </row>
    <row r="8581" spans="27:32" x14ac:dyDescent="0.3">
      <c r="AA8581" s="3">
        <v>7679.9</v>
      </c>
      <c r="AB8581">
        <v>1E-4</v>
      </c>
      <c r="AC8581">
        <v>8</v>
      </c>
      <c r="AD8581" s="5">
        <v>5.1046784212860823</v>
      </c>
      <c r="AE8581" s="5">
        <v>2.1891131432701303</v>
      </c>
      <c r="AF8581">
        <v>1</v>
      </c>
    </row>
    <row r="8582" spans="27:32" x14ac:dyDescent="0.3">
      <c r="AA8582" s="3">
        <v>35416.68</v>
      </c>
      <c r="AB8582">
        <v>1E-4</v>
      </c>
      <c r="AC8582">
        <v>7</v>
      </c>
      <c r="AD8582" s="5">
        <v>4.8965770875193853</v>
      </c>
      <c r="AE8582" s="5">
        <v>2.3173831451182081</v>
      </c>
      <c r="AF8582">
        <v>1</v>
      </c>
    </row>
    <row r="8583" spans="27:32" x14ac:dyDescent="0.3">
      <c r="AA8583" s="3">
        <v>19627.8</v>
      </c>
      <c r="AB8583">
        <v>1E-4</v>
      </c>
      <c r="AC8583">
        <v>8</v>
      </c>
      <c r="AD8583" s="5">
        <v>5.0470520283146367</v>
      </c>
      <c r="AE8583" s="5">
        <v>2.2032031313443197</v>
      </c>
      <c r="AF8583">
        <v>1</v>
      </c>
    </row>
    <row r="8584" spans="27:32" x14ac:dyDescent="0.3">
      <c r="AA8584" s="3">
        <v>-9673.32</v>
      </c>
      <c r="AB8584">
        <v>1E-4</v>
      </c>
      <c r="AC8584">
        <v>9</v>
      </c>
      <c r="AD8584" s="5">
        <v>4.9538960249888788</v>
      </c>
      <c r="AE8584" s="5">
        <v>2.2135227407272797</v>
      </c>
      <c r="AF8584">
        <v>1</v>
      </c>
    </row>
    <row r="8585" spans="27:32" x14ac:dyDescent="0.3">
      <c r="AA8585" s="3">
        <v>42769.55</v>
      </c>
      <c r="AB8585">
        <v>1E-4</v>
      </c>
      <c r="AC8585">
        <v>7</v>
      </c>
      <c r="AD8585" s="5">
        <v>4.857795288085315</v>
      </c>
      <c r="AE8585" s="5">
        <v>2.1555274633600181</v>
      </c>
      <c r="AF8585">
        <v>1</v>
      </c>
    </row>
    <row r="8586" spans="27:32" x14ac:dyDescent="0.3">
      <c r="AA8586" s="3">
        <v>10213.459999999999</v>
      </c>
      <c r="AB8586">
        <v>1E-4</v>
      </c>
      <c r="AC8586">
        <v>8</v>
      </c>
      <c r="AD8586" s="5">
        <v>5.0319742283318742</v>
      </c>
      <c r="AE8586" s="5">
        <v>2.1459645616347665</v>
      </c>
      <c r="AF8586">
        <v>1</v>
      </c>
    </row>
    <row r="8587" spans="27:32" x14ac:dyDescent="0.3">
      <c r="AA8587" s="3">
        <v>12502.54</v>
      </c>
      <c r="AB8587">
        <v>1E-4</v>
      </c>
      <c r="AC8587">
        <v>8</v>
      </c>
      <c r="AD8587" s="5">
        <v>5.0655532623805621</v>
      </c>
      <c r="AE8587" s="5">
        <v>2.1872285580396924</v>
      </c>
      <c r="AF8587">
        <v>1</v>
      </c>
    </row>
    <row r="8588" spans="27:32" x14ac:dyDescent="0.3">
      <c r="AA8588" s="3">
        <v>21070.73</v>
      </c>
      <c r="AB8588">
        <v>1E-4</v>
      </c>
      <c r="AC8588">
        <v>8</v>
      </c>
      <c r="AD8588" s="5">
        <v>4.9718475249208129</v>
      </c>
      <c r="AE8588" s="5">
        <v>2.1877420332089179</v>
      </c>
      <c r="AF8588">
        <v>1</v>
      </c>
    </row>
    <row r="8589" spans="27:32" x14ac:dyDescent="0.3">
      <c r="AA8589" s="3">
        <v>6459.43</v>
      </c>
      <c r="AB8589">
        <v>1E-4</v>
      </c>
      <c r="AC8589">
        <v>8</v>
      </c>
      <c r="AD8589" s="5">
        <v>4.915982214966407</v>
      </c>
      <c r="AE8589" s="5">
        <v>2.2169440224052779</v>
      </c>
      <c r="AF8589">
        <v>1</v>
      </c>
    </row>
    <row r="8590" spans="27:32" x14ac:dyDescent="0.3">
      <c r="AA8590" s="3">
        <v>10531.15</v>
      </c>
      <c r="AB8590">
        <v>1E-4</v>
      </c>
      <c r="AC8590">
        <v>8</v>
      </c>
      <c r="AD8590" s="5">
        <v>5.0062972930684486</v>
      </c>
      <c r="AE8590" s="5">
        <v>2.1819882379045108</v>
      </c>
      <c r="AF8590">
        <v>1</v>
      </c>
    </row>
    <row r="8591" spans="27:32" x14ac:dyDescent="0.3">
      <c r="AA8591" s="3">
        <v>26310.57</v>
      </c>
      <c r="AB8591">
        <v>1E-4</v>
      </c>
      <c r="AC8591">
        <v>8</v>
      </c>
      <c r="AD8591" s="5">
        <v>5.0313256457422879</v>
      </c>
      <c r="AE8591" s="5">
        <v>2.1796176383630921</v>
      </c>
      <c r="AF8591">
        <v>1</v>
      </c>
    </row>
    <row r="8592" spans="27:32" x14ac:dyDescent="0.3">
      <c r="AA8592" s="3">
        <v>27057.759999999998</v>
      </c>
      <c r="AB8592">
        <v>1E-4</v>
      </c>
      <c r="AC8592">
        <v>8</v>
      </c>
      <c r="AD8592" s="5">
        <v>5.097322340816195</v>
      </c>
      <c r="AE8592" s="5">
        <v>2.2353557475348986</v>
      </c>
      <c r="AF8592">
        <v>1</v>
      </c>
    </row>
    <row r="8593" spans="27:32" x14ac:dyDescent="0.3">
      <c r="AA8593" s="3">
        <v>9724.4699999999993</v>
      </c>
      <c r="AB8593">
        <v>1E-4</v>
      </c>
      <c r="AC8593">
        <v>8</v>
      </c>
      <c r="AD8593" s="5">
        <v>5.2173840660852457</v>
      </c>
      <c r="AE8593" s="5">
        <v>2.2504992216858781</v>
      </c>
      <c r="AF8593">
        <v>1</v>
      </c>
    </row>
    <row r="8594" spans="27:32" x14ac:dyDescent="0.3">
      <c r="AA8594" s="3">
        <v>17235.080000000002</v>
      </c>
      <c r="AB8594">
        <v>1E-4</v>
      </c>
      <c r="AC8594">
        <v>8</v>
      </c>
      <c r="AD8594" s="5">
        <v>4.8075748220388199</v>
      </c>
      <c r="AE8594" s="5">
        <v>2.108922263086404</v>
      </c>
      <c r="AF8594">
        <v>1</v>
      </c>
    </row>
    <row r="8595" spans="27:32" x14ac:dyDescent="0.3">
      <c r="AA8595" s="3">
        <v>42666.23</v>
      </c>
      <c r="AB8595">
        <v>1E-4</v>
      </c>
      <c r="AC8595">
        <v>7</v>
      </c>
      <c r="AD8595" s="5">
        <v>4.932281423945482</v>
      </c>
      <c r="AE8595" s="5">
        <v>2.1657801347919849</v>
      </c>
      <c r="AF8595">
        <v>1</v>
      </c>
    </row>
    <row r="8596" spans="27:32" x14ac:dyDescent="0.3">
      <c r="AA8596" s="3">
        <v>40825.72</v>
      </c>
      <c r="AB8596">
        <v>1E-4</v>
      </c>
      <c r="AC8596">
        <v>7</v>
      </c>
      <c r="AD8596" s="5">
        <v>4.75365566916979</v>
      </c>
      <c r="AE8596" s="5">
        <v>2.1623146932504955</v>
      </c>
      <c r="AF8596">
        <v>1</v>
      </c>
    </row>
    <row r="8597" spans="27:32" x14ac:dyDescent="0.3">
      <c r="AA8597" s="3">
        <v>76260.2</v>
      </c>
      <c r="AB8597">
        <v>1E-4</v>
      </c>
      <c r="AC8597">
        <v>5</v>
      </c>
      <c r="AD8597" s="5">
        <v>5.2866236699654516</v>
      </c>
      <c r="AE8597" s="5">
        <v>2.1769460640436291</v>
      </c>
      <c r="AF8597">
        <v>1</v>
      </c>
    </row>
    <row r="8598" spans="27:32" x14ac:dyDescent="0.3">
      <c r="AA8598" s="3">
        <v>-2603.48</v>
      </c>
      <c r="AB8598">
        <v>1E-4</v>
      </c>
      <c r="AC8598">
        <v>9</v>
      </c>
      <c r="AD8598" s="5">
        <v>5.0654801506245031</v>
      </c>
      <c r="AE8598" s="5">
        <v>2.1806004907487337</v>
      </c>
      <c r="AF8598">
        <v>1</v>
      </c>
    </row>
    <row r="8599" spans="27:32" x14ac:dyDescent="0.3">
      <c r="AA8599" s="3">
        <v>28447.09</v>
      </c>
      <c r="AB8599">
        <v>1E-4</v>
      </c>
      <c r="AC8599">
        <v>8</v>
      </c>
      <c r="AD8599" s="5">
        <v>4.9606969182472787</v>
      </c>
      <c r="AE8599" s="5">
        <v>2.1361659816960494</v>
      </c>
      <c r="AF8599">
        <v>1</v>
      </c>
    </row>
    <row r="8600" spans="27:32" x14ac:dyDescent="0.3">
      <c r="AA8600" s="3">
        <v>30234.19</v>
      </c>
      <c r="AB8600">
        <v>1E-4</v>
      </c>
      <c r="AC8600">
        <v>8</v>
      </c>
      <c r="AD8600" s="5">
        <v>4.9722644777146625</v>
      </c>
      <c r="AE8600" s="5">
        <v>2.1738246316495959</v>
      </c>
      <c r="AF8600">
        <v>1</v>
      </c>
    </row>
    <row r="8601" spans="27:32" x14ac:dyDescent="0.3">
      <c r="AA8601" s="3">
        <v>2203.11</v>
      </c>
      <c r="AB8601">
        <v>1E-4</v>
      </c>
      <c r="AC8601">
        <v>8</v>
      </c>
      <c r="AD8601" s="5">
        <v>5.0613286926863328</v>
      </c>
      <c r="AE8601" s="5">
        <v>2.214332111916602</v>
      </c>
      <c r="AF8601">
        <v>1</v>
      </c>
    </row>
    <row r="8602" spans="27:32" x14ac:dyDescent="0.3">
      <c r="AA8602" s="3">
        <v>23428.74</v>
      </c>
      <c r="AB8602">
        <v>1E-4</v>
      </c>
      <c r="AC8602">
        <v>8</v>
      </c>
      <c r="AD8602" s="5">
        <v>4.9141762994309408</v>
      </c>
      <c r="AE8602" s="5">
        <v>2.3546777819038045</v>
      </c>
      <c r="AF8602">
        <v>1</v>
      </c>
    </row>
    <row r="8603" spans="27:32" x14ac:dyDescent="0.3">
      <c r="AA8603" s="3">
        <v>12487.58</v>
      </c>
      <c r="AB8603">
        <v>1E-4</v>
      </c>
      <c r="AC8603">
        <v>8</v>
      </c>
      <c r="AD8603" s="5">
        <v>5.1135796471680983</v>
      </c>
      <c r="AE8603" s="5">
        <v>2.2335707335207489</v>
      </c>
      <c r="AF8603">
        <v>1</v>
      </c>
    </row>
    <row r="8604" spans="27:32" x14ac:dyDescent="0.3">
      <c r="AA8604" s="3">
        <v>38269.599999999999</v>
      </c>
      <c r="AB8604">
        <v>1E-4</v>
      </c>
      <c r="AC8604">
        <v>7</v>
      </c>
      <c r="AD8604" s="5">
        <v>5.0308777514304319</v>
      </c>
      <c r="AE8604" s="5">
        <v>2.1768165599717677</v>
      </c>
      <c r="AF8604">
        <v>1</v>
      </c>
    </row>
    <row r="8605" spans="27:32" x14ac:dyDescent="0.3">
      <c r="AA8605" s="3">
        <v>14889.05</v>
      </c>
      <c r="AB8605">
        <v>1E-4</v>
      </c>
      <c r="AC8605">
        <v>8</v>
      </c>
      <c r="AD8605" s="5">
        <v>5.0043370495187212</v>
      </c>
      <c r="AE8605" s="5">
        <v>2.2306761107467725</v>
      </c>
      <c r="AF8605">
        <v>1</v>
      </c>
    </row>
    <row r="8606" spans="27:32" x14ac:dyDescent="0.3">
      <c r="AA8606" s="3">
        <v>6224</v>
      </c>
      <c r="AB8606">
        <v>1E-4</v>
      </c>
      <c r="AC8606">
        <v>8</v>
      </c>
      <c r="AD8606" s="5">
        <v>5.135571927570985</v>
      </c>
      <c r="AE8606" s="5">
        <v>2.2835748978384864</v>
      </c>
      <c r="AF8606">
        <v>1</v>
      </c>
    </row>
    <row r="8607" spans="27:32" x14ac:dyDescent="0.3">
      <c r="AA8607" s="3">
        <v>14609.74</v>
      </c>
      <c r="AB8607">
        <v>1E-4</v>
      </c>
      <c r="AC8607">
        <v>8</v>
      </c>
      <c r="AD8607" s="5">
        <v>5.0133378265410604</v>
      </c>
      <c r="AE8607" s="5">
        <v>2.1963273283720359</v>
      </c>
      <c r="AF8607">
        <v>1</v>
      </c>
    </row>
    <row r="8608" spans="27:32" x14ac:dyDescent="0.3">
      <c r="AA8608" s="3">
        <v>-1019.15</v>
      </c>
      <c r="AB8608">
        <v>1E-4</v>
      </c>
      <c r="AC8608">
        <v>9</v>
      </c>
      <c r="AD8608" s="5">
        <v>4.9669404989626083</v>
      </c>
      <c r="AE8608" s="5">
        <v>2.2474021569026381</v>
      </c>
      <c r="AF8608">
        <v>1</v>
      </c>
    </row>
    <row r="8609" spans="27:32" x14ac:dyDescent="0.3">
      <c r="AA8609" s="3">
        <v>20472.07</v>
      </c>
      <c r="AB8609">
        <v>1E-4</v>
      </c>
      <c r="AC8609">
        <v>8</v>
      </c>
      <c r="AD8609" s="5">
        <v>5.1662378661766271</v>
      </c>
      <c r="AE8609" s="5">
        <v>2.1292401519587112</v>
      </c>
      <c r="AF8609">
        <v>1</v>
      </c>
    </row>
    <row r="8610" spans="27:32" x14ac:dyDescent="0.3">
      <c r="AA8610" s="3">
        <v>17734.47</v>
      </c>
      <c r="AB8610">
        <v>1E-4</v>
      </c>
      <c r="AC8610">
        <v>8</v>
      </c>
      <c r="AD8610" s="5">
        <v>4.8719851982784856</v>
      </c>
      <c r="AE8610" s="5">
        <v>2.190075516471341</v>
      </c>
      <c r="AF8610">
        <v>1</v>
      </c>
    </row>
    <row r="8611" spans="27:32" x14ac:dyDescent="0.3">
      <c r="AA8611" s="3">
        <v>36136.800000000003</v>
      </c>
      <c r="AB8611">
        <v>1E-4</v>
      </c>
      <c r="AC8611">
        <v>7</v>
      </c>
      <c r="AD8611" s="5">
        <v>5.0710768617329034</v>
      </c>
      <c r="AE8611" s="5">
        <v>2.1586566246575689</v>
      </c>
      <c r="AF8611">
        <v>1</v>
      </c>
    </row>
    <row r="8612" spans="27:32" x14ac:dyDescent="0.3">
      <c r="AA8612" s="3">
        <v>37951.74</v>
      </c>
      <c r="AB8612">
        <v>1E-4</v>
      </c>
      <c r="AC8612">
        <v>7</v>
      </c>
      <c r="AD8612" s="5">
        <v>5.0899073315310188</v>
      </c>
      <c r="AE8612" s="5">
        <v>2.2293300062483974</v>
      </c>
      <c r="AF8612">
        <v>1</v>
      </c>
    </row>
    <row r="8613" spans="27:32" x14ac:dyDescent="0.3">
      <c r="AA8613" s="3">
        <v>18144.259999999998</v>
      </c>
      <c r="AB8613">
        <v>1E-4</v>
      </c>
      <c r="AC8613">
        <v>8</v>
      </c>
      <c r="AD8613" s="5">
        <v>4.9331317010660483</v>
      </c>
      <c r="AE8613" s="5">
        <v>2.1747465597469073</v>
      </c>
      <c r="AF8613">
        <v>1</v>
      </c>
    </row>
    <row r="8614" spans="27:32" x14ac:dyDescent="0.3">
      <c r="AA8614" s="3">
        <v>25142.26</v>
      </c>
      <c r="AB8614">
        <v>1E-4</v>
      </c>
      <c r="AC8614">
        <v>7</v>
      </c>
      <c r="AD8614" s="5">
        <v>5.0109067524535877</v>
      </c>
      <c r="AE8614" s="5">
        <v>2.2754573343553619</v>
      </c>
      <c r="AF8614">
        <v>1</v>
      </c>
    </row>
    <row r="8615" spans="27:32" x14ac:dyDescent="0.3">
      <c r="AA8615" s="3">
        <v>-2219.98</v>
      </c>
      <c r="AB8615">
        <v>1E-4</v>
      </c>
      <c r="AC8615">
        <v>9</v>
      </c>
      <c r="AD8615" s="5">
        <v>4.9919042694913234</v>
      </c>
      <c r="AE8615" s="5">
        <v>2.16426825490265</v>
      </c>
      <c r="AF8615">
        <v>1</v>
      </c>
    </row>
    <row r="8616" spans="27:32" x14ac:dyDescent="0.3">
      <c r="AA8616" s="3">
        <v>23105.71</v>
      </c>
      <c r="AB8616">
        <v>1E-4</v>
      </c>
      <c r="AC8616">
        <v>8</v>
      </c>
      <c r="AD8616" s="5">
        <v>5.022483673440143</v>
      </c>
      <c r="AE8616" s="5">
        <v>2.1984921941426174</v>
      </c>
      <c r="AF8616">
        <v>1</v>
      </c>
    </row>
    <row r="8617" spans="27:32" x14ac:dyDescent="0.3">
      <c r="AA8617" s="3">
        <v>15589.1</v>
      </c>
      <c r="AB8617">
        <v>1E-4</v>
      </c>
      <c r="AC8617">
        <v>8</v>
      </c>
      <c r="AD8617" s="5">
        <v>5.0520076065915758</v>
      </c>
      <c r="AE8617" s="5">
        <v>2.2204238313109648</v>
      </c>
      <c r="AF8617">
        <v>1</v>
      </c>
    </row>
    <row r="8618" spans="27:32" x14ac:dyDescent="0.3">
      <c r="AA8618" s="3">
        <v>8172.23</v>
      </c>
      <c r="AB8618">
        <v>1E-4</v>
      </c>
      <c r="AC8618">
        <v>8</v>
      </c>
      <c r="AD8618" s="5">
        <v>4.9372776683704052</v>
      </c>
      <c r="AE8618" s="5">
        <v>2.1587004520111712</v>
      </c>
      <c r="AF8618">
        <v>1</v>
      </c>
    </row>
    <row r="8619" spans="27:32" x14ac:dyDescent="0.3">
      <c r="AA8619" s="3">
        <v>26531.3</v>
      </c>
      <c r="AB8619">
        <v>1E-4</v>
      </c>
      <c r="AC8619">
        <v>8</v>
      </c>
      <c r="AD8619" s="5">
        <v>4.8942982369831123</v>
      </c>
      <c r="AE8619" s="5">
        <v>2.169951592457394</v>
      </c>
      <c r="AF8619">
        <v>1</v>
      </c>
    </row>
    <row r="8620" spans="27:32" x14ac:dyDescent="0.3">
      <c r="AA8620" s="3">
        <v>33924.07</v>
      </c>
      <c r="AB8620">
        <v>1E-4</v>
      </c>
      <c r="AC8620">
        <v>7</v>
      </c>
      <c r="AD8620" s="5">
        <v>4.9915868734547857</v>
      </c>
      <c r="AE8620" s="5">
        <v>2.2102966631832719</v>
      </c>
      <c r="AF8620">
        <v>1</v>
      </c>
    </row>
    <row r="8621" spans="27:32" x14ac:dyDescent="0.3">
      <c r="AA8621" s="3">
        <v>35894.01</v>
      </c>
      <c r="AB8621">
        <v>1E-4</v>
      </c>
      <c r="AC8621">
        <v>7</v>
      </c>
      <c r="AD8621" s="5">
        <v>5.0964962449557261</v>
      </c>
      <c r="AE8621" s="5">
        <v>2.1989964697835283</v>
      </c>
      <c r="AF8621">
        <v>1</v>
      </c>
    </row>
    <row r="8622" spans="27:32" x14ac:dyDescent="0.3">
      <c r="AA8622" s="3">
        <v>14084.49</v>
      </c>
      <c r="AB8622">
        <v>1E-4</v>
      </c>
      <c r="AC8622">
        <v>8</v>
      </c>
      <c r="AD8622" s="5">
        <v>5.1029572358656035</v>
      </c>
      <c r="AE8622" s="5">
        <v>2.1386065524081892</v>
      </c>
      <c r="AF8622">
        <v>1</v>
      </c>
    </row>
    <row r="8623" spans="27:32" x14ac:dyDescent="0.3">
      <c r="AA8623" s="3">
        <v>23880</v>
      </c>
      <c r="AB8623">
        <v>1E-4</v>
      </c>
      <c r="AC8623">
        <v>8</v>
      </c>
      <c r="AD8623" s="5">
        <v>5.0145755021934715</v>
      </c>
      <c r="AE8623" s="5">
        <v>2.1856418080374267</v>
      </c>
      <c r="AF8623">
        <v>1</v>
      </c>
    </row>
    <row r="8624" spans="27:32" x14ac:dyDescent="0.3">
      <c r="AA8624" s="3">
        <v>8175.28</v>
      </c>
      <c r="AB8624">
        <v>1E-4</v>
      </c>
      <c r="AC8624">
        <v>8</v>
      </c>
      <c r="AD8624" s="5">
        <v>4.9906719014747249</v>
      </c>
      <c r="AE8624" s="5">
        <v>2.2404470803888885</v>
      </c>
      <c r="AF8624">
        <v>1</v>
      </c>
    </row>
    <row r="8625" spans="27:32" x14ac:dyDescent="0.3">
      <c r="AA8625" s="3">
        <v>7612.33</v>
      </c>
      <c r="AB8625">
        <v>1E-4</v>
      </c>
      <c r="AC8625">
        <v>8</v>
      </c>
      <c r="AD8625" s="5">
        <v>4.8735196533936689</v>
      </c>
      <c r="AE8625" s="5">
        <v>2.234376308479106</v>
      </c>
      <c r="AF8625">
        <v>1</v>
      </c>
    </row>
    <row r="8626" spans="27:32" x14ac:dyDescent="0.3">
      <c r="AA8626" s="3">
        <v>-2358.11</v>
      </c>
      <c r="AB8626">
        <v>1E-4</v>
      </c>
      <c r="AC8626">
        <v>9</v>
      </c>
      <c r="AD8626" s="5">
        <v>4.9968184308645966</v>
      </c>
      <c r="AE8626" s="5">
        <v>2.2502074061907789</v>
      </c>
      <c r="AF8626">
        <v>1</v>
      </c>
    </row>
    <row r="8627" spans="27:32" x14ac:dyDescent="0.3">
      <c r="AA8627" s="3">
        <v>25995.51</v>
      </c>
      <c r="AB8627">
        <v>1E-4</v>
      </c>
      <c r="AC8627">
        <v>8</v>
      </c>
      <c r="AD8627" s="5">
        <v>4.9615908770223065</v>
      </c>
      <c r="AE8627" s="5">
        <v>2.1506898980680749</v>
      </c>
      <c r="AF8627">
        <v>1</v>
      </c>
    </row>
    <row r="8628" spans="27:32" x14ac:dyDescent="0.3">
      <c r="AA8628" s="3">
        <v>20486.419999999998</v>
      </c>
      <c r="AB8628">
        <v>1E-4</v>
      </c>
      <c r="AC8628">
        <v>8</v>
      </c>
      <c r="AD8628" s="5">
        <v>4.968848939876124</v>
      </c>
      <c r="AE8628" s="5">
        <v>2.2090630020699562</v>
      </c>
      <c r="AF8628">
        <v>1</v>
      </c>
    </row>
    <row r="8629" spans="27:32" x14ac:dyDescent="0.3">
      <c r="AA8629" s="3">
        <v>10772.64</v>
      </c>
      <c r="AB8629">
        <v>1E-4</v>
      </c>
      <c r="AC8629">
        <v>8</v>
      </c>
      <c r="AD8629" s="5">
        <v>4.9290660777385229</v>
      </c>
      <c r="AE8629" s="5">
        <v>2.1771845403124468</v>
      </c>
      <c r="AF8629">
        <v>1</v>
      </c>
    </row>
    <row r="8630" spans="27:32" x14ac:dyDescent="0.3">
      <c r="AA8630" s="3">
        <v>9901.09</v>
      </c>
      <c r="AB8630">
        <v>1E-4</v>
      </c>
      <c r="AC8630">
        <v>8</v>
      </c>
      <c r="AD8630" s="5">
        <v>5.0716279328850566</v>
      </c>
      <c r="AE8630" s="5">
        <v>2.0771177443794948</v>
      </c>
      <c r="AF8630">
        <v>1</v>
      </c>
    </row>
    <row r="8631" spans="27:32" x14ac:dyDescent="0.3">
      <c r="AA8631" s="3">
        <v>23125.74</v>
      </c>
      <c r="AB8631">
        <v>1E-4</v>
      </c>
      <c r="AC8631">
        <v>8</v>
      </c>
      <c r="AD8631" s="5">
        <v>4.9722149975346772</v>
      </c>
      <c r="AE8631" s="5">
        <v>2.1981201102083667</v>
      </c>
      <c r="AF8631">
        <v>1</v>
      </c>
    </row>
    <row r="8632" spans="27:32" x14ac:dyDescent="0.3">
      <c r="AA8632" s="3">
        <v>47306.93</v>
      </c>
      <c r="AB8632">
        <v>1E-4</v>
      </c>
      <c r="AC8632">
        <v>7</v>
      </c>
      <c r="AD8632" s="5">
        <v>4.9951709460978657</v>
      </c>
      <c r="AE8632" s="5">
        <v>2.273193916834968</v>
      </c>
      <c r="AF8632">
        <v>1</v>
      </c>
    </row>
    <row r="8633" spans="27:32" x14ac:dyDescent="0.3">
      <c r="AA8633" s="3">
        <v>40559.68</v>
      </c>
      <c r="AB8633">
        <v>1E-4</v>
      </c>
      <c r="AC8633">
        <v>7</v>
      </c>
      <c r="AD8633" s="5">
        <v>5.0282901188940601</v>
      </c>
      <c r="AE8633" s="5">
        <v>2.0900819674806468</v>
      </c>
      <c r="AF8633">
        <v>1</v>
      </c>
    </row>
    <row r="8634" spans="27:32" x14ac:dyDescent="0.3">
      <c r="AA8634" s="3">
        <v>15111.74</v>
      </c>
      <c r="AB8634">
        <v>1E-4</v>
      </c>
      <c r="AC8634">
        <v>8</v>
      </c>
      <c r="AD8634" s="5">
        <v>4.8688663781236974</v>
      </c>
      <c r="AE8634" s="5">
        <v>2.1675607430658412</v>
      </c>
      <c r="AF8634">
        <v>1</v>
      </c>
    </row>
    <row r="8635" spans="27:32" x14ac:dyDescent="0.3">
      <c r="AA8635" s="3">
        <v>39078.74</v>
      </c>
      <c r="AB8635">
        <v>1E-4</v>
      </c>
      <c r="AC8635">
        <v>6</v>
      </c>
      <c r="AD8635" s="5">
        <v>5.1336678560515692</v>
      </c>
      <c r="AE8635" s="5">
        <v>2.1659325630417281</v>
      </c>
      <c r="AF8635">
        <v>1</v>
      </c>
    </row>
    <row r="8636" spans="27:32" x14ac:dyDescent="0.3">
      <c r="AA8636" s="3">
        <v>12243.02</v>
      </c>
      <c r="AB8636">
        <v>1E-4</v>
      </c>
      <c r="AC8636">
        <v>8</v>
      </c>
      <c r="AD8636" s="5">
        <v>5.1479766106360687</v>
      </c>
      <c r="AE8636" s="5">
        <v>2.2672810547073365</v>
      </c>
      <c r="AF8636">
        <v>1</v>
      </c>
    </row>
    <row r="8637" spans="27:32" x14ac:dyDescent="0.3">
      <c r="AA8637" s="3">
        <v>8540.69</v>
      </c>
      <c r="AB8637">
        <v>1E-4</v>
      </c>
      <c r="AC8637">
        <v>8</v>
      </c>
      <c r="AD8637" s="5">
        <v>5.0863059629066765</v>
      </c>
      <c r="AE8637" s="5">
        <v>2.181812168607062</v>
      </c>
      <c r="AF8637">
        <v>1</v>
      </c>
    </row>
    <row r="8638" spans="27:32" x14ac:dyDescent="0.3">
      <c r="AA8638" s="3">
        <v>33314.730000000003</v>
      </c>
      <c r="AB8638">
        <v>1E-4</v>
      </c>
      <c r="AC8638">
        <v>7</v>
      </c>
      <c r="AD8638" s="5">
        <v>5.1191198209389341</v>
      </c>
      <c r="AE8638" s="5">
        <v>2.3160088726056096</v>
      </c>
      <c r="AF8638">
        <v>1</v>
      </c>
    </row>
    <row r="8639" spans="27:32" x14ac:dyDescent="0.3">
      <c r="AA8639" s="3">
        <v>10968.39</v>
      </c>
      <c r="AB8639">
        <v>1E-4</v>
      </c>
      <c r="AC8639">
        <v>8</v>
      </c>
      <c r="AD8639" s="5">
        <v>4.7901225330795727</v>
      </c>
      <c r="AE8639" s="5">
        <v>2.2176723126190145</v>
      </c>
      <c r="AF8639">
        <v>1</v>
      </c>
    </row>
    <row r="8640" spans="27:32" x14ac:dyDescent="0.3">
      <c r="AA8640" s="3">
        <v>-4409.84</v>
      </c>
      <c r="AB8640">
        <v>1E-4</v>
      </c>
      <c r="AC8640">
        <v>9</v>
      </c>
      <c r="AD8640" s="5">
        <v>4.9109780599597102</v>
      </c>
      <c r="AE8640" s="5">
        <v>2.2643970442102144</v>
      </c>
      <c r="AF8640">
        <v>1</v>
      </c>
    </row>
    <row r="8641" spans="27:32" x14ac:dyDescent="0.3">
      <c r="AA8641" s="3">
        <v>7384.17</v>
      </c>
      <c r="AB8641">
        <v>1E-4</v>
      </c>
      <c r="AC8641">
        <v>8</v>
      </c>
      <c r="AD8641" s="5">
        <v>4.934489417069206</v>
      </c>
      <c r="AE8641" s="5">
        <v>2.1967247729219062</v>
      </c>
      <c r="AF8641">
        <v>1</v>
      </c>
    </row>
    <row r="8642" spans="27:32" x14ac:dyDescent="0.3">
      <c r="AA8642" s="3">
        <v>-9997.49</v>
      </c>
      <c r="AB8642">
        <v>1E-4</v>
      </c>
      <c r="AC8642">
        <v>9</v>
      </c>
      <c r="AD8642" s="5">
        <v>4.8719198488180151</v>
      </c>
      <c r="AE8642" s="5">
        <v>2.1657166217629147</v>
      </c>
      <c r="AF8642">
        <v>1</v>
      </c>
    </row>
    <row r="8643" spans="27:32" x14ac:dyDescent="0.3">
      <c r="AA8643" s="3">
        <v>4550.8500000000004</v>
      </c>
      <c r="AB8643">
        <v>1E-4</v>
      </c>
      <c r="AC8643">
        <v>8</v>
      </c>
      <c r="AD8643" s="5">
        <v>5.0324155105675876</v>
      </c>
      <c r="AE8643" s="5">
        <v>2.2751107312725738</v>
      </c>
      <c r="AF8643">
        <v>1</v>
      </c>
    </row>
    <row r="8644" spans="27:32" x14ac:dyDescent="0.3">
      <c r="AA8644" s="3">
        <v>22629.62</v>
      </c>
      <c r="AB8644">
        <v>1E-4</v>
      </c>
      <c r="AC8644">
        <v>8</v>
      </c>
      <c r="AD8644" s="5">
        <v>5.0262851612348056</v>
      </c>
      <c r="AE8644" s="5">
        <v>2.2564188071955158</v>
      </c>
      <c r="AF8644">
        <v>1</v>
      </c>
    </row>
    <row r="8645" spans="27:32" x14ac:dyDescent="0.3">
      <c r="AA8645" s="3">
        <v>-13832.72</v>
      </c>
      <c r="AB8645">
        <v>1E-4</v>
      </c>
      <c r="AC8645">
        <v>9</v>
      </c>
      <c r="AD8645" s="5">
        <v>4.9996562133950819</v>
      </c>
      <c r="AE8645" s="5">
        <v>2.2212984009614734</v>
      </c>
      <c r="AF8645">
        <v>1</v>
      </c>
    </row>
    <row r="8646" spans="27:32" x14ac:dyDescent="0.3">
      <c r="AA8646" s="3">
        <v>-3423.2056205081517</v>
      </c>
      <c r="AB8646">
        <v>1E-4</v>
      </c>
      <c r="AC8646">
        <v>8</v>
      </c>
      <c r="AD8646" s="5">
        <v>4.9598749775886413</v>
      </c>
      <c r="AE8646" s="5">
        <v>2.1670398123605219</v>
      </c>
      <c r="AF8646">
        <v>0</v>
      </c>
    </row>
    <row r="8647" spans="27:32" x14ac:dyDescent="0.3">
      <c r="AA8647" s="3">
        <v>-3265.89</v>
      </c>
      <c r="AB8647">
        <v>1E-4</v>
      </c>
      <c r="AC8647">
        <v>9</v>
      </c>
      <c r="AD8647" s="5">
        <v>5.0035437540944097</v>
      </c>
      <c r="AE8647" s="5">
        <v>2.1787487955262641</v>
      </c>
      <c r="AF8647">
        <v>1</v>
      </c>
    </row>
    <row r="8648" spans="27:32" x14ac:dyDescent="0.3">
      <c r="AA8648" s="3">
        <v>31448.41</v>
      </c>
      <c r="AB8648">
        <v>1E-4</v>
      </c>
      <c r="AC8648">
        <v>7</v>
      </c>
      <c r="AD8648" s="5">
        <v>5.1030671070114968</v>
      </c>
      <c r="AE8648" s="5">
        <v>2.1688749735448347</v>
      </c>
      <c r="AF8648">
        <v>1</v>
      </c>
    </row>
    <row r="8649" spans="27:32" x14ac:dyDescent="0.3">
      <c r="AA8649" s="3">
        <v>34563.1</v>
      </c>
      <c r="AB8649">
        <v>1E-4</v>
      </c>
      <c r="AC8649">
        <v>7</v>
      </c>
      <c r="AD8649" s="5">
        <v>4.8896119259181248</v>
      </c>
      <c r="AE8649" s="5">
        <v>2.1898058181021973</v>
      </c>
      <c r="AF8649">
        <v>1</v>
      </c>
    </row>
    <row r="8650" spans="27:32" x14ac:dyDescent="0.3">
      <c r="AA8650" s="3">
        <v>4828.5200000000004</v>
      </c>
      <c r="AB8650">
        <v>1E-4</v>
      </c>
      <c r="AC8650">
        <v>8</v>
      </c>
      <c r="AD8650" s="5">
        <v>5.0938954017409968</v>
      </c>
      <c r="AE8650" s="5">
        <v>2.1781655975675491</v>
      </c>
      <c r="AF8650">
        <v>1</v>
      </c>
    </row>
    <row r="8651" spans="27:32" x14ac:dyDescent="0.3">
      <c r="AA8651" s="3">
        <v>6483.82</v>
      </c>
      <c r="AB8651">
        <v>1E-4</v>
      </c>
      <c r="AC8651">
        <v>8</v>
      </c>
      <c r="AD8651" s="5">
        <v>4.8780953099657829</v>
      </c>
      <c r="AE8651" s="5">
        <v>2.2088771097629483</v>
      </c>
      <c r="AF8651">
        <v>1</v>
      </c>
    </row>
    <row r="8652" spans="27:32" x14ac:dyDescent="0.3">
      <c r="AA8652" s="3">
        <v>60134.8</v>
      </c>
      <c r="AB8652">
        <v>1E-4</v>
      </c>
      <c r="AC8652">
        <v>6</v>
      </c>
      <c r="AD8652" s="5">
        <v>5.087200732749813</v>
      </c>
      <c r="AE8652" s="5">
        <v>2.1571146036071331</v>
      </c>
      <c r="AF8652">
        <v>1</v>
      </c>
    </row>
    <row r="8653" spans="27:32" x14ac:dyDescent="0.3">
      <c r="AA8653" s="3">
        <v>6254.95</v>
      </c>
      <c r="AB8653">
        <v>1E-4</v>
      </c>
      <c r="AC8653">
        <v>8</v>
      </c>
      <c r="AD8653" s="5">
        <v>4.9921796292857801</v>
      </c>
      <c r="AE8653" s="5">
        <v>2.1781785886071554</v>
      </c>
      <c r="AF8653">
        <v>1</v>
      </c>
    </row>
    <row r="8654" spans="27:32" x14ac:dyDescent="0.3">
      <c r="AA8654" s="3">
        <v>3672.22</v>
      </c>
      <c r="AB8654">
        <v>1E-4</v>
      </c>
      <c r="AC8654">
        <v>8</v>
      </c>
      <c r="AD8654" s="5">
        <v>4.9775803115833472</v>
      </c>
      <c r="AE8654" s="5">
        <v>2.1372828794425005</v>
      </c>
      <c r="AF8654">
        <v>1</v>
      </c>
    </row>
    <row r="8655" spans="27:32" x14ac:dyDescent="0.3">
      <c r="AA8655" s="3">
        <v>16260.74</v>
      </c>
      <c r="AB8655">
        <v>1E-4</v>
      </c>
      <c r="AC8655">
        <v>8</v>
      </c>
      <c r="AD8655" s="5">
        <v>4.8864674126468426</v>
      </c>
      <c r="AE8655" s="5">
        <v>2.2523215147603564</v>
      </c>
      <c r="AF8655">
        <v>1</v>
      </c>
    </row>
    <row r="8656" spans="27:32" x14ac:dyDescent="0.3">
      <c r="AA8656" s="3">
        <v>1334.33</v>
      </c>
      <c r="AB8656">
        <v>1E-4</v>
      </c>
      <c r="AC8656">
        <v>8</v>
      </c>
      <c r="AD8656" s="5">
        <v>4.9548815071480954</v>
      </c>
      <c r="AE8656" s="5">
        <v>2.3223986099098601</v>
      </c>
      <c r="AF8656">
        <v>1</v>
      </c>
    </row>
    <row r="8657" spans="27:32" x14ac:dyDescent="0.3">
      <c r="AA8657" s="3">
        <v>12754.57</v>
      </c>
      <c r="AB8657">
        <v>1E-4</v>
      </c>
      <c r="AC8657">
        <v>8</v>
      </c>
      <c r="AD8657" s="5">
        <v>4.9902228245599245</v>
      </c>
      <c r="AE8657" s="5">
        <v>2.2363421037934872</v>
      </c>
      <c r="AF8657">
        <v>1</v>
      </c>
    </row>
    <row r="8658" spans="27:32" x14ac:dyDescent="0.3">
      <c r="AA8658" s="3">
        <v>8004.71</v>
      </c>
      <c r="AB8658">
        <v>1E-4</v>
      </c>
      <c r="AC8658">
        <v>8</v>
      </c>
      <c r="AD8658" s="5">
        <v>4.9764145889684652</v>
      </c>
      <c r="AE8658" s="5">
        <v>2.2080320515943672</v>
      </c>
      <c r="AF8658">
        <v>1</v>
      </c>
    </row>
    <row r="8659" spans="27:32" x14ac:dyDescent="0.3">
      <c r="AA8659" s="3">
        <v>-1025.4000000000001</v>
      </c>
      <c r="AB8659">
        <v>1E-4</v>
      </c>
      <c r="AC8659">
        <v>9</v>
      </c>
      <c r="AD8659" s="5">
        <v>4.9497307007833458</v>
      </c>
      <c r="AE8659" s="5">
        <v>2.2428296910897374</v>
      </c>
      <c r="AF8659">
        <v>1</v>
      </c>
    </row>
    <row r="8660" spans="27:32" x14ac:dyDescent="0.3">
      <c r="AA8660" s="3">
        <v>17941.91</v>
      </c>
      <c r="AB8660">
        <v>1E-4</v>
      </c>
      <c r="AC8660">
        <v>8</v>
      </c>
      <c r="AD8660" s="5">
        <v>4.931993644096381</v>
      </c>
      <c r="AE8660" s="5">
        <v>2.1120268573001812</v>
      </c>
      <c r="AF8660">
        <v>1</v>
      </c>
    </row>
    <row r="8661" spans="27:32" x14ac:dyDescent="0.3">
      <c r="AA8661" s="3">
        <v>13860.81</v>
      </c>
      <c r="AB8661">
        <v>1E-4</v>
      </c>
      <c r="AC8661">
        <v>8</v>
      </c>
      <c r="AD8661" s="5">
        <v>5.0781806574393702</v>
      </c>
      <c r="AE8661" s="5">
        <v>2.2356396396675557</v>
      </c>
      <c r="AF8661">
        <v>1</v>
      </c>
    </row>
    <row r="8662" spans="27:32" x14ac:dyDescent="0.3">
      <c r="AA8662" s="3">
        <v>-3404.35</v>
      </c>
      <c r="AB8662">
        <v>1E-4</v>
      </c>
      <c r="AC8662">
        <v>9</v>
      </c>
      <c r="AD8662" s="5">
        <v>4.9564758209677331</v>
      </c>
      <c r="AE8662" s="5">
        <v>2.1567940738074585</v>
      </c>
      <c r="AF8662">
        <v>1</v>
      </c>
    </row>
    <row r="8663" spans="27:32" x14ac:dyDescent="0.3">
      <c r="AA8663" s="3">
        <v>38400.81</v>
      </c>
      <c r="AB8663">
        <v>1E-4</v>
      </c>
      <c r="AC8663">
        <v>7</v>
      </c>
      <c r="AD8663" s="5">
        <v>5.1080288191497569</v>
      </c>
      <c r="AE8663" s="5">
        <v>2.2726778986414788</v>
      </c>
      <c r="AF8663">
        <v>1</v>
      </c>
    </row>
    <row r="8664" spans="27:32" x14ac:dyDescent="0.3">
      <c r="AA8664" s="3">
        <v>9946.5</v>
      </c>
      <c r="AB8664">
        <v>1E-4</v>
      </c>
      <c r="AC8664">
        <v>8</v>
      </c>
      <c r="AD8664" s="5">
        <v>5.149897912007261</v>
      </c>
      <c r="AE8664" s="5">
        <v>2.1563252224646021</v>
      </c>
      <c r="AF8664">
        <v>1</v>
      </c>
    </row>
    <row r="8665" spans="27:32" x14ac:dyDescent="0.3">
      <c r="AA8665" s="3">
        <v>-15428.4</v>
      </c>
      <c r="AB8665">
        <v>1E-4</v>
      </c>
      <c r="AC8665">
        <v>9</v>
      </c>
      <c r="AD8665" s="5">
        <v>4.8998347846546455</v>
      </c>
      <c r="AE8665" s="5">
        <v>2.2017941882585887</v>
      </c>
      <c r="AF8665">
        <v>1</v>
      </c>
    </row>
    <row r="8666" spans="27:32" x14ac:dyDescent="0.3">
      <c r="AA8666" s="3">
        <v>5917.26</v>
      </c>
      <c r="AB8666">
        <v>1E-4</v>
      </c>
      <c r="AC8666">
        <v>8</v>
      </c>
      <c r="AD8666" s="5">
        <v>4.9125946525275443</v>
      </c>
      <c r="AE8666" s="5">
        <v>2.1918012790517931</v>
      </c>
      <c r="AF8666">
        <v>1</v>
      </c>
    </row>
    <row r="8667" spans="27:32" x14ac:dyDescent="0.3">
      <c r="AA8667" s="3">
        <v>-21717.19</v>
      </c>
      <c r="AB8667">
        <v>1E-4</v>
      </c>
      <c r="AC8667">
        <v>9</v>
      </c>
      <c r="AD8667" s="5">
        <v>4.9115053815967888</v>
      </c>
      <c r="AE8667" s="5">
        <v>2.2416040573294258</v>
      </c>
      <c r="AF8667">
        <v>1</v>
      </c>
    </row>
    <row r="8668" spans="27:32" x14ac:dyDescent="0.3">
      <c r="AA8668" s="3">
        <v>-20244.8</v>
      </c>
      <c r="AB8668">
        <v>1E-4</v>
      </c>
      <c r="AC8668">
        <v>9</v>
      </c>
      <c r="AD8668" s="5">
        <v>4.8415851595427108</v>
      </c>
      <c r="AE8668" s="5">
        <v>2.141499311526855</v>
      </c>
      <c r="AF8668">
        <v>1</v>
      </c>
    </row>
    <row r="8669" spans="27:32" x14ac:dyDescent="0.3">
      <c r="AA8669" s="3">
        <v>61924.75</v>
      </c>
      <c r="AB8669">
        <v>1E-4</v>
      </c>
      <c r="AC8669">
        <v>6</v>
      </c>
      <c r="AD8669" s="5">
        <v>4.972256537731865</v>
      </c>
      <c r="AE8669" s="5">
        <v>2.1688506641898688</v>
      </c>
      <c r="AF8669">
        <v>1</v>
      </c>
    </row>
    <row r="8670" spans="27:32" x14ac:dyDescent="0.3">
      <c r="AA8670" s="3">
        <v>5835.25</v>
      </c>
      <c r="AB8670">
        <v>1E-4</v>
      </c>
      <c r="AC8670">
        <v>8</v>
      </c>
      <c r="AD8670" s="5">
        <v>4.9806178673405759</v>
      </c>
      <c r="AE8670" s="5">
        <v>2.1568702407191283</v>
      </c>
      <c r="AF8670">
        <v>1</v>
      </c>
    </row>
    <row r="8671" spans="27:32" x14ac:dyDescent="0.3">
      <c r="AA8671" s="3">
        <v>14024.82</v>
      </c>
      <c r="AB8671">
        <v>1E-4</v>
      </c>
      <c r="AC8671">
        <v>8</v>
      </c>
      <c r="AD8671" s="5">
        <v>4.961251830013734</v>
      </c>
      <c r="AE8671" s="5">
        <v>2.1485465149092047</v>
      </c>
      <c r="AF8671">
        <v>1</v>
      </c>
    </row>
    <row r="8672" spans="27:32" x14ac:dyDescent="0.3">
      <c r="AA8672" s="3">
        <v>57629.17</v>
      </c>
      <c r="AB8672">
        <v>1E-4</v>
      </c>
      <c r="AC8672">
        <v>6</v>
      </c>
      <c r="AD8672" s="5">
        <v>5.2080401154553542</v>
      </c>
      <c r="AE8672" s="5">
        <v>2.1243099768861247</v>
      </c>
      <c r="AF8672">
        <v>1</v>
      </c>
    </row>
    <row r="8673" spans="27:32" x14ac:dyDescent="0.3">
      <c r="AA8673" s="3">
        <v>-884.07</v>
      </c>
      <c r="AB8673">
        <v>1E-4</v>
      </c>
      <c r="AC8673">
        <v>9</v>
      </c>
      <c r="AD8673" s="5">
        <v>4.8537116710446409</v>
      </c>
      <c r="AE8673" s="5">
        <v>2.1696567299677314</v>
      </c>
      <c r="AF8673">
        <v>1</v>
      </c>
    </row>
    <row r="8674" spans="27:32" x14ac:dyDescent="0.3">
      <c r="AA8674" s="3">
        <v>33839.129999999997</v>
      </c>
      <c r="AB8674">
        <v>1E-4</v>
      </c>
      <c r="AC8674">
        <v>7</v>
      </c>
      <c r="AD8674" s="5">
        <v>5.05095593051424</v>
      </c>
      <c r="AE8674" s="5">
        <v>2.1460129210741736</v>
      </c>
      <c r="AF8674">
        <v>1</v>
      </c>
    </row>
    <row r="8675" spans="27:32" x14ac:dyDescent="0.3">
      <c r="AA8675" s="3">
        <v>22817.84</v>
      </c>
      <c r="AB8675">
        <v>1E-4</v>
      </c>
      <c r="AC8675">
        <v>8</v>
      </c>
      <c r="AD8675" s="5">
        <v>5.187533993200093</v>
      </c>
      <c r="AE8675" s="5">
        <v>2.20477799000802</v>
      </c>
      <c r="AF8675">
        <v>1</v>
      </c>
    </row>
    <row r="8676" spans="27:32" x14ac:dyDescent="0.3">
      <c r="AA8676" s="3">
        <v>10060.56</v>
      </c>
      <c r="AB8676">
        <v>1E-4</v>
      </c>
      <c r="AC8676">
        <v>8</v>
      </c>
      <c r="AD8676" s="5">
        <v>5.0530994025811919</v>
      </c>
      <c r="AE8676" s="5">
        <v>2.2444336554347002</v>
      </c>
      <c r="AF8676">
        <v>1</v>
      </c>
    </row>
    <row r="8677" spans="27:32" x14ac:dyDescent="0.3">
      <c r="AA8677" s="3">
        <v>-1906.5685242786458</v>
      </c>
      <c r="AB8677">
        <v>1E-4</v>
      </c>
      <c r="AC8677">
        <v>8</v>
      </c>
      <c r="AD8677" s="5">
        <v>4.7793679533462932</v>
      </c>
      <c r="AE8677" s="5">
        <v>2.2960428980726961</v>
      </c>
      <c r="AF8677">
        <v>0</v>
      </c>
    </row>
    <row r="8678" spans="27:32" x14ac:dyDescent="0.3">
      <c r="AA8678" s="3">
        <v>41423.64</v>
      </c>
      <c r="AB8678">
        <v>1E-4</v>
      </c>
      <c r="AC8678">
        <v>7</v>
      </c>
      <c r="AD8678" s="5">
        <v>5.0119634902714365</v>
      </c>
      <c r="AE8678" s="5">
        <v>2.0426972051685777</v>
      </c>
      <c r="AF8678">
        <v>1</v>
      </c>
    </row>
    <row r="8679" spans="27:32" x14ac:dyDescent="0.3">
      <c r="AA8679" s="3">
        <v>6758.67</v>
      </c>
      <c r="AB8679">
        <v>1E-4</v>
      </c>
      <c r="AC8679">
        <v>8</v>
      </c>
      <c r="AD8679" s="5">
        <v>4.7788811768071797</v>
      </c>
      <c r="AE8679" s="5">
        <v>2.2204149054042306</v>
      </c>
      <c r="AF8679">
        <v>1</v>
      </c>
    </row>
    <row r="8680" spans="27:32" x14ac:dyDescent="0.3">
      <c r="AA8680" s="3">
        <v>10007.08</v>
      </c>
      <c r="AB8680">
        <v>1E-4</v>
      </c>
      <c r="AC8680">
        <v>8</v>
      </c>
      <c r="AD8680" s="5">
        <v>5.0257167446634705</v>
      </c>
      <c r="AE8680" s="5">
        <v>2.1610029700461637</v>
      </c>
      <c r="AF8680">
        <v>1</v>
      </c>
    </row>
    <row r="8681" spans="27:32" x14ac:dyDescent="0.3">
      <c r="AA8681" s="3">
        <v>15536.04</v>
      </c>
      <c r="AB8681">
        <v>1E-4</v>
      </c>
      <c r="AC8681">
        <v>8</v>
      </c>
      <c r="AD8681" s="5">
        <v>5.0913600586554395</v>
      </c>
      <c r="AE8681" s="5">
        <v>2.2171602216642512</v>
      </c>
      <c r="AF8681">
        <v>1</v>
      </c>
    </row>
    <row r="8682" spans="27:32" x14ac:dyDescent="0.3">
      <c r="AA8682" s="3">
        <v>24628.59</v>
      </c>
      <c r="AB8682">
        <v>1E-4</v>
      </c>
      <c r="AC8682">
        <v>8</v>
      </c>
      <c r="AD8682" s="5">
        <v>4.9985707959075976</v>
      </c>
      <c r="AE8682" s="5">
        <v>2.2485408194601813</v>
      </c>
      <c r="AF8682">
        <v>1</v>
      </c>
    </row>
    <row r="8683" spans="27:32" x14ac:dyDescent="0.3">
      <c r="AA8683" s="3">
        <v>28748.83</v>
      </c>
      <c r="AB8683">
        <v>1E-4</v>
      </c>
      <c r="AC8683">
        <v>8</v>
      </c>
      <c r="AD8683" s="5">
        <v>5.0199817291321134</v>
      </c>
      <c r="AE8683" s="5">
        <v>2.1900070160459961</v>
      </c>
      <c r="AF8683">
        <v>1</v>
      </c>
    </row>
    <row r="8684" spans="27:32" x14ac:dyDescent="0.3">
      <c r="AA8684" s="3">
        <v>17154.11</v>
      </c>
      <c r="AB8684">
        <v>1E-4</v>
      </c>
      <c r="AC8684">
        <v>8</v>
      </c>
      <c r="AD8684" s="5">
        <v>5.0114069703121826</v>
      </c>
      <c r="AE8684" s="5">
        <v>2.1499751659388413</v>
      </c>
      <c r="AF8684">
        <v>1</v>
      </c>
    </row>
    <row r="8685" spans="27:32" x14ac:dyDescent="0.3">
      <c r="AA8685" s="3">
        <v>5998.84</v>
      </c>
      <c r="AB8685">
        <v>1E-4</v>
      </c>
      <c r="AC8685">
        <v>8</v>
      </c>
      <c r="AD8685" s="5">
        <v>4.8781733797230196</v>
      </c>
      <c r="AE8685" s="5">
        <v>2.1517025656420214</v>
      </c>
      <c r="AF8685">
        <v>1</v>
      </c>
    </row>
    <row r="8686" spans="27:32" x14ac:dyDescent="0.3">
      <c r="AA8686" s="3">
        <v>5032.92</v>
      </c>
      <c r="AB8686">
        <v>1E-4</v>
      </c>
      <c r="AC8686">
        <v>8</v>
      </c>
      <c r="AD8686" s="5">
        <v>4.9361205148333447</v>
      </c>
      <c r="AE8686" s="5">
        <v>2.1873190345869267</v>
      </c>
      <c r="AF8686">
        <v>1</v>
      </c>
    </row>
    <row r="8687" spans="27:32" x14ac:dyDescent="0.3">
      <c r="AA8687" s="3">
        <v>13980.36</v>
      </c>
      <c r="AB8687">
        <v>1E-4</v>
      </c>
      <c r="AC8687">
        <v>8</v>
      </c>
      <c r="AD8687" s="5">
        <v>4.9525453998840092</v>
      </c>
      <c r="AE8687" s="5">
        <v>2.1135168128977049</v>
      </c>
      <c r="AF8687">
        <v>1</v>
      </c>
    </row>
    <row r="8688" spans="27:32" x14ac:dyDescent="0.3">
      <c r="AA8688" s="3">
        <v>32703.59</v>
      </c>
      <c r="AB8688">
        <v>1E-4</v>
      </c>
      <c r="AC8688">
        <v>7</v>
      </c>
      <c r="AD8688" s="5">
        <v>4.9789260516002463</v>
      </c>
      <c r="AE8688" s="5">
        <v>2.201195754617352</v>
      </c>
      <c r="AF8688">
        <v>1</v>
      </c>
    </row>
    <row r="8689" spans="27:32" x14ac:dyDescent="0.3">
      <c r="AA8689" s="3">
        <v>16105.97</v>
      </c>
      <c r="AB8689">
        <v>1E-4</v>
      </c>
      <c r="AC8689">
        <v>8</v>
      </c>
      <c r="AD8689" s="5">
        <v>4.916509490930804</v>
      </c>
      <c r="AE8689" s="5">
        <v>2.2179661191839135</v>
      </c>
      <c r="AF8689">
        <v>1</v>
      </c>
    </row>
    <row r="8690" spans="27:32" x14ac:dyDescent="0.3">
      <c r="AA8690" s="3">
        <v>25717.79</v>
      </c>
      <c r="AB8690">
        <v>1E-4</v>
      </c>
      <c r="AC8690">
        <v>8</v>
      </c>
      <c r="AD8690" s="5">
        <v>4.9834952763802152</v>
      </c>
      <c r="AE8690" s="5">
        <v>2.1852485346186272</v>
      </c>
      <c r="AF8690">
        <v>1</v>
      </c>
    </row>
    <row r="8691" spans="27:32" x14ac:dyDescent="0.3">
      <c r="AA8691" s="3">
        <v>29817.07</v>
      </c>
      <c r="AB8691">
        <v>1E-4</v>
      </c>
      <c r="AC8691">
        <v>8</v>
      </c>
      <c r="AD8691" s="5">
        <v>5.1123878552712538</v>
      </c>
      <c r="AE8691" s="5">
        <v>2.1939980629795874</v>
      </c>
      <c r="AF8691">
        <v>1</v>
      </c>
    </row>
    <row r="8692" spans="27:32" x14ac:dyDescent="0.3">
      <c r="AA8692" s="3">
        <v>4907.3900000000003</v>
      </c>
      <c r="AB8692">
        <v>1E-4</v>
      </c>
      <c r="AC8692">
        <v>8</v>
      </c>
      <c r="AD8692" s="5">
        <v>4.9570543422864661</v>
      </c>
      <c r="AE8692" s="5">
        <v>2.1533579704313168</v>
      </c>
      <c r="AF8692">
        <v>1</v>
      </c>
    </row>
    <row r="8693" spans="27:32" x14ac:dyDescent="0.3">
      <c r="AA8693" s="3">
        <v>31863.759999999998</v>
      </c>
      <c r="AB8693">
        <v>1E-4</v>
      </c>
      <c r="AC8693">
        <v>7</v>
      </c>
      <c r="AD8693" s="5">
        <v>4.9635706590572344</v>
      </c>
      <c r="AE8693" s="5">
        <v>2.2024759470926107</v>
      </c>
      <c r="AF8693">
        <v>1</v>
      </c>
    </row>
    <row r="8694" spans="27:32" x14ac:dyDescent="0.3">
      <c r="AA8694" s="3">
        <v>-17122.59</v>
      </c>
      <c r="AB8694">
        <v>1E-4</v>
      </c>
      <c r="AC8694">
        <v>9</v>
      </c>
      <c r="AD8694" s="5">
        <v>5.0250419762921155</v>
      </c>
      <c r="AE8694" s="5">
        <v>2.2629027486791271</v>
      </c>
      <c r="AF8694">
        <v>1</v>
      </c>
    </row>
    <row r="8695" spans="27:32" x14ac:dyDescent="0.3">
      <c r="AA8695" s="3">
        <v>15034.52</v>
      </c>
      <c r="AB8695">
        <v>1E-4</v>
      </c>
      <c r="AC8695">
        <v>8</v>
      </c>
      <c r="AD8695" s="5">
        <v>4.8405521836071079</v>
      </c>
      <c r="AE8695" s="5">
        <v>2.1572983058756399</v>
      </c>
      <c r="AF8695">
        <v>1</v>
      </c>
    </row>
    <row r="8696" spans="27:32" x14ac:dyDescent="0.3">
      <c r="AA8696" s="3">
        <v>25799.45</v>
      </c>
      <c r="AB8696">
        <v>1E-4</v>
      </c>
      <c r="AC8696">
        <v>8</v>
      </c>
      <c r="AD8696" s="5">
        <v>5.1418907747247529</v>
      </c>
      <c r="AE8696" s="5">
        <v>2.2286507520677041</v>
      </c>
      <c r="AF8696">
        <v>1</v>
      </c>
    </row>
    <row r="8697" spans="27:32" x14ac:dyDescent="0.3">
      <c r="AA8697" s="3">
        <v>-12813.12</v>
      </c>
      <c r="AB8697">
        <v>1E-4</v>
      </c>
      <c r="AC8697">
        <v>9</v>
      </c>
      <c r="AD8697" s="5">
        <v>4.8249496364668394</v>
      </c>
      <c r="AE8697" s="5">
        <v>2.2084615446053624</v>
      </c>
      <c r="AF8697">
        <v>1</v>
      </c>
    </row>
    <row r="8698" spans="27:32" x14ac:dyDescent="0.3">
      <c r="AA8698" s="3">
        <v>17803.189999999999</v>
      </c>
      <c r="AB8698">
        <v>1E-4</v>
      </c>
      <c r="AC8698">
        <v>8</v>
      </c>
      <c r="AD8698" s="5">
        <v>5.0031409170631553</v>
      </c>
      <c r="AE8698" s="5">
        <v>2.1576816951967204</v>
      </c>
      <c r="AF8698">
        <v>1</v>
      </c>
    </row>
    <row r="8699" spans="27:32" x14ac:dyDescent="0.3">
      <c r="AA8699" s="3">
        <v>27783.49</v>
      </c>
      <c r="AB8699">
        <v>1E-4</v>
      </c>
      <c r="AC8699">
        <v>8</v>
      </c>
      <c r="AD8699" s="5">
        <v>4.9688595366355814</v>
      </c>
      <c r="AE8699" s="5">
        <v>2.1521986980258356</v>
      </c>
      <c r="AF8699">
        <v>1</v>
      </c>
    </row>
    <row r="8700" spans="27:32" x14ac:dyDescent="0.3">
      <c r="AA8700" s="3">
        <v>4119.79</v>
      </c>
      <c r="AB8700">
        <v>1E-4</v>
      </c>
      <c r="AC8700">
        <v>8</v>
      </c>
      <c r="AD8700" s="5">
        <v>4.8494530494813937</v>
      </c>
      <c r="AE8700" s="5">
        <v>2.1798937263690328</v>
      </c>
      <c r="AF8700">
        <v>1</v>
      </c>
    </row>
    <row r="8701" spans="27:32" x14ac:dyDescent="0.3">
      <c r="AA8701" s="3">
        <v>-2572.79</v>
      </c>
      <c r="AB8701">
        <v>1E-4</v>
      </c>
      <c r="AC8701">
        <v>9</v>
      </c>
      <c r="AD8701" s="5">
        <v>4.9591304412970532</v>
      </c>
      <c r="AE8701" s="5">
        <v>2.2702785978538156</v>
      </c>
      <c r="AF8701">
        <v>1</v>
      </c>
    </row>
    <row r="8702" spans="27:32" x14ac:dyDescent="0.3">
      <c r="AA8702" s="3">
        <v>-2924.38</v>
      </c>
      <c r="AB8702">
        <v>1E-4</v>
      </c>
      <c r="AC8702">
        <v>9</v>
      </c>
      <c r="AD8702" s="5">
        <v>4.8485082276889253</v>
      </c>
      <c r="AE8702" s="5">
        <v>2.2416748908794881</v>
      </c>
      <c r="AF8702">
        <v>1</v>
      </c>
    </row>
    <row r="8703" spans="27:32" x14ac:dyDescent="0.3">
      <c r="AA8703" s="3">
        <v>2853.83</v>
      </c>
      <c r="AB8703">
        <v>1E-4</v>
      </c>
      <c r="AC8703">
        <v>8</v>
      </c>
      <c r="AD8703" s="5">
        <v>4.9284511715225552</v>
      </c>
      <c r="AE8703" s="5">
        <v>2.1052382442589388</v>
      </c>
      <c r="AF8703">
        <v>1</v>
      </c>
    </row>
    <row r="8704" spans="27:32" x14ac:dyDescent="0.3">
      <c r="AA8704" s="3">
        <v>7475.91</v>
      </c>
      <c r="AB8704">
        <v>1E-4</v>
      </c>
      <c r="AC8704">
        <v>8</v>
      </c>
      <c r="AD8704" s="5">
        <v>5.0745336417860685</v>
      </c>
      <c r="AE8704" s="5">
        <v>2.146218319824754</v>
      </c>
      <c r="AF8704">
        <v>1</v>
      </c>
    </row>
    <row r="8705" spans="27:32" x14ac:dyDescent="0.3">
      <c r="AA8705" s="3">
        <v>20032.830000000002</v>
      </c>
      <c r="AB8705">
        <v>1E-4</v>
      </c>
      <c r="AC8705">
        <v>8</v>
      </c>
      <c r="AD8705" s="5">
        <v>5.1394592483154158</v>
      </c>
      <c r="AE8705" s="5">
        <v>2.2489502468763134</v>
      </c>
      <c r="AF8705">
        <v>1</v>
      </c>
    </row>
    <row r="8706" spans="27:32" x14ac:dyDescent="0.3">
      <c r="AA8706" s="3">
        <v>5684.61</v>
      </c>
      <c r="AB8706">
        <v>1E-4</v>
      </c>
      <c r="AC8706">
        <v>8</v>
      </c>
      <c r="AD8706" s="5">
        <v>5.0444132216278321</v>
      </c>
      <c r="AE8706" s="5">
        <v>2.2392286779107371</v>
      </c>
      <c r="AF8706">
        <v>1</v>
      </c>
    </row>
    <row r="8707" spans="27:32" x14ac:dyDescent="0.3">
      <c r="AA8707" s="3">
        <v>34693.68</v>
      </c>
      <c r="AB8707">
        <v>1E-4</v>
      </c>
      <c r="AC8707">
        <v>7</v>
      </c>
      <c r="AD8707" s="5">
        <v>5.0089642824730429</v>
      </c>
      <c r="AE8707" s="5">
        <v>2.2057123001511272</v>
      </c>
      <c r="AF8707">
        <v>1</v>
      </c>
    </row>
    <row r="8708" spans="27:32" x14ac:dyDescent="0.3">
      <c r="AA8708" s="3">
        <v>-6710.76</v>
      </c>
      <c r="AB8708">
        <v>1E-4</v>
      </c>
      <c r="AC8708">
        <v>9</v>
      </c>
      <c r="AD8708" s="5">
        <v>4.7786718056651347</v>
      </c>
      <c r="AE8708" s="5">
        <v>2.1439306234325799</v>
      </c>
      <c r="AF8708">
        <v>1</v>
      </c>
    </row>
    <row r="8709" spans="27:32" x14ac:dyDescent="0.3">
      <c r="AA8709" s="3">
        <v>20941.62</v>
      </c>
      <c r="AB8709">
        <v>1E-4</v>
      </c>
      <c r="AC8709">
        <v>8</v>
      </c>
      <c r="AD8709" s="5">
        <v>4.9868443695723688</v>
      </c>
      <c r="AE8709" s="5">
        <v>2.2362858950906852</v>
      </c>
      <c r="AF8709">
        <v>1</v>
      </c>
    </row>
    <row r="8710" spans="27:32" x14ac:dyDescent="0.3">
      <c r="AA8710" s="3">
        <v>16948.87</v>
      </c>
      <c r="AB8710">
        <v>1E-4</v>
      </c>
      <c r="AC8710">
        <v>8</v>
      </c>
      <c r="AD8710" s="5">
        <v>4.9934915739282779</v>
      </c>
      <c r="AE8710" s="5">
        <v>2.2922758865458817</v>
      </c>
      <c r="AF8710">
        <v>1</v>
      </c>
    </row>
    <row r="8711" spans="27:32" x14ac:dyDescent="0.3">
      <c r="AA8711" s="3">
        <v>1031.55</v>
      </c>
      <c r="AB8711">
        <v>1E-4</v>
      </c>
      <c r="AC8711">
        <v>8</v>
      </c>
      <c r="AD8711" s="5">
        <v>5.0148410407868793</v>
      </c>
      <c r="AE8711" s="5">
        <v>2.2089766230434615</v>
      </c>
      <c r="AF8711">
        <v>1</v>
      </c>
    </row>
    <row r="8712" spans="27:32" x14ac:dyDescent="0.3">
      <c r="AA8712" s="3">
        <v>12693.35</v>
      </c>
      <c r="AB8712">
        <v>1E-4</v>
      </c>
      <c r="AC8712">
        <v>8</v>
      </c>
      <c r="AD8712" s="5">
        <v>5.0694131560221187</v>
      </c>
      <c r="AE8712" s="5">
        <v>2.2329027808424233</v>
      </c>
      <c r="AF8712">
        <v>1</v>
      </c>
    </row>
    <row r="8713" spans="27:32" x14ac:dyDescent="0.3">
      <c r="AA8713" s="3">
        <v>21458.87</v>
      </c>
      <c r="AB8713">
        <v>1E-4</v>
      </c>
      <c r="AC8713">
        <v>8</v>
      </c>
      <c r="AD8713" s="5">
        <v>5.0286365993345647</v>
      </c>
      <c r="AE8713" s="5">
        <v>2.2211983589046032</v>
      </c>
      <c r="AF8713">
        <v>1</v>
      </c>
    </row>
    <row r="8714" spans="27:32" x14ac:dyDescent="0.3">
      <c r="AA8714" s="3">
        <v>26978.79</v>
      </c>
      <c r="AB8714">
        <v>1E-4</v>
      </c>
      <c r="AC8714">
        <v>8</v>
      </c>
      <c r="AD8714" s="5">
        <v>4.8914780210211832</v>
      </c>
      <c r="AE8714" s="5">
        <v>2.1932828350645974</v>
      </c>
      <c r="AF8714">
        <v>1</v>
      </c>
    </row>
    <row r="8715" spans="27:32" x14ac:dyDescent="0.3">
      <c r="AA8715" s="3">
        <v>17744.75</v>
      </c>
      <c r="AB8715">
        <v>1E-4</v>
      </c>
      <c r="AC8715">
        <v>8</v>
      </c>
      <c r="AD8715" s="5">
        <v>4.8989177759264022</v>
      </c>
      <c r="AE8715" s="5">
        <v>2.152188594781443</v>
      </c>
      <c r="AF8715">
        <v>1</v>
      </c>
    </row>
    <row r="8716" spans="27:32" x14ac:dyDescent="0.3">
      <c r="AA8716" s="3">
        <v>-9794.59</v>
      </c>
      <c r="AB8716">
        <v>1E-4</v>
      </c>
      <c r="AC8716">
        <v>9</v>
      </c>
      <c r="AD8716" s="5">
        <v>4.9468149876312051</v>
      </c>
      <c r="AE8716" s="5">
        <v>2.2244864506133935</v>
      </c>
      <c r="AF8716">
        <v>1</v>
      </c>
    </row>
    <row r="8717" spans="27:32" x14ac:dyDescent="0.3">
      <c r="AA8717" s="3">
        <v>16541.71</v>
      </c>
      <c r="AB8717">
        <v>1E-4</v>
      </c>
      <c r="AC8717">
        <v>8</v>
      </c>
      <c r="AD8717" s="5">
        <v>5.0461683817879424</v>
      </c>
      <c r="AE8717" s="5">
        <v>2.1742980695410594</v>
      </c>
      <c r="AF8717">
        <v>1</v>
      </c>
    </row>
    <row r="8718" spans="27:32" x14ac:dyDescent="0.3">
      <c r="AA8718" s="3">
        <v>13755.76</v>
      </c>
      <c r="AB8718">
        <v>1E-4</v>
      </c>
      <c r="AC8718">
        <v>8</v>
      </c>
      <c r="AD8718" s="5">
        <v>4.8409887306825343</v>
      </c>
      <c r="AE8718" s="5">
        <v>2.2243662147590402</v>
      </c>
      <c r="AF8718">
        <v>1</v>
      </c>
    </row>
    <row r="8719" spans="27:32" x14ac:dyDescent="0.3">
      <c r="AA8719" s="3">
        <v>15368.12</v>
      </c>
      <c r="AB8719">
        <v>1E-4</v>
      </c>
      <c r="AC8719">
        <v>8</v>
      </c>
      <c r="AD8719" s="5">
        <v>4.920133664693715</v>
      </c>
      <c r="AE8719" s="5">
        <v>2.1584910736694134</v>
      </c>
      <c r="AF8719">
        <v>1</v>
      </c>
    </row>
    <row r="8720" spans="27:32" x14ac:dyDescent="0.3">
      <c r="AA8720" s="3">
        <v>24726.52</v>
      </c>
      <c r="AB8720">
        <v>1E-4</v>
      </c>
      <c r="AC8720">
        <v>8</v>
      </c>
      <c r="AD8720" s="5">
        <v>5.0105509545177025</v>
      </c>
      <c r="AE8720" s="5">
        <v>2.2541067329349014</v>
      </c>
      <c r="AF8720">
        <v>1</v>
      </c>
    </row>
    <row r="8721" spans="27:32" x14ac:dyDescent="0.3">
      <c r="AA8721" s="3">
        <v>39543.29</v>
      </c>
      <c r="AB8721">
        <v>1E-4</v>
      </c>
      <c r="AC8721">
        <v>7</v>
      </c>
      <c r="AD8721" s="5">
        <v>4.8944552907195504</v>
      </c>
      <c r="AE8721" s="5">
        <v>2.1888427353408328</v>
      </c>
      <c r="AF8721">
        <v>1</v>
      </c>
    </row>
    <row r="8722" spans="27:32" x14ac:dyDescent="0.3">
      <c r="AA8722" s="3">
        <v>9843.67</v>
      </c>
      <c r="AB8722">
        <v>1E-4</v>
      </c>
      <c r="AC8722">
        <v>8</v>
      </c>
      <c r="AD8722" s="5">
        <v>4.953012265124813</v>
      </c>
      <c r="AE8722" s="5">
        <v>2.3310862747464047</v>
      </c>
      <c r="AF8722">
        <v>1</v>
      </c>
    </row>
    <row r="8723" spans="27:32" x14ac:dyDescent="0.3">
      <c r="AA8723" s="3">
        <v>17012.91</v>
      </c>
      <c r="AB8723">
        <v>1E-4</v>
      </c>
      <c r="AC8723">
        <v>8</v>
      </c>
      <c r="AD8723" s="5">
        <v>5.1510700523773743</v>
      </c>
      <c r="AE8723" s="5">
        <v>2.178230889172883</v>
      </c>
      <c r="AF8723">
        <v>1</v>
      </c>
    </row>
    <row r="8724" spans="27:32" x14ac:dyDescent="0.3">
      <c r="AA8724" s="3">
        <v>20821.52</v>
      </c>
      <c r="AB8724">
        <v>1E-4</v>
      </c>
      <c r="AC8724">
        <v>8</v>
      </c>
      <c r="AD8724" s="5">
        <v>5.0683674193244102</v>
      </c>
      <c r="AE8724" s="5">
        <v>2.2041226632590671</v>
      </c>
      <c r="AF8724">
        <v>1</v>
      </c>
    </row>
    <row r="8725" spans="27:32" x14ac:dyDescent="0.3">
      <c r="AA8725" s="3">
        <v>19730.46</v>
      </c>
      <c r="AB8725">
        <v>1E-4</v>
      </c>
      <c r="AC8725">
        <v>8</v>
      </c>
      <c r="AD8725" s="5">
        <v>5.0102531156899399</v>
      </c>
      <c r="AE8725" s="5">
        <v>2.1482851437659005</v>
      </c>
      <c r="AF8725">
        <v>1</v>
      </c>
    </row>
    <row r="8726" spans="27:32" x14ac:dyDescent="0.3">
      <c r="AA8726" s="3">
        <v>17016.79</v>
      </c>
      <c r="AB8726">
        <v>1E-4</v>
      </c>
      <c r="AC8726">
        <v>8</v>
      </c>
      <c r="AD8726" s="5">
        <v>4.9795997470715303</v>
      </c>
      <c r="AE8726" s="5">
        <v>2.2657861987404937</v>
      </c>
      <c r="AF8726">
        <v>1</v>
      </c>
    </row>
    <row r="8727" spans="27:32" x14ac:dyDescent="0.3">
      <c r="AA8727" s="3">
        <v>-9836.42</v>
      </c>
      <c r="AB8727">
        <v>1E-4</v>
      </c>
      <c r="AC8727">
        <v>9</v>
      </c>
      <c r="AD8727" s="5">
        <v>4.9193182672059592</v>
      </c>
      <c r="AE8727" s="5">
        <v>2.2071959052821599</v>
      </c>
      <c r="AF8727">
        <v>1</v>
      </c>
    </row>
    <row r="8728" spans="27:32" x14ac:dyDescent="0.3">
      <c r="AA8728" s="3">
        <v>13667.57</v>
      </c>
      <c r="AB8728">
        <v>1E-4</v>
      </c>
      <c r="AC8728">
        <v>8</v>
      </c>
      <c r="AD8728" s="5">
        <v>5.0542539877565389</v>
      </c>
      <c r="AE8728" s="5">
        <v>2.2204876712145207</v>
      </c>
      <c r="AF8728">
        <v>1</v>
      </c>
    </row>
    <row r="8729" spans="27:32" x14ac:dyDescent="0.3">
      <c r="AA8729" s="3">
        <v>35066.629999999997</v>
      </c>
      <c r="AB8729">
        <v>1E-4</v>
      </c>
      <c r="AC8729">
        <v>7</v>
      </c>
      <c r="AD8729" s="5">
        <v>5.0433798967755674</v>
      </c>
      <c r="AE8729" s="5">
        <v>2.1792567268200198</v>
      </c>
      <c r="AF8729">
        <v>1</v>
      </c>
    </row>
    <row r="8730" spans="27:32" x14ac:dyDescent="0.3">
      <c r="AA8730" s="3">
        <v>22672.51</v>
      </c>
      <c r="AB8730">
        <v>1E-4</v>
      </c>
      <c r="AC8730">
        <v>8</v>
      </c>
      <c r="AD8730" s="5">
        <v>5.0701042808017611</v>
      </c>
      <c r="AE8730" s="5">
        <v>2.1887280085926992</v>
      </c>
      <c r="AF8730">
        <v>1</v>
      </c>
    </row>
    <row r="8731" spans="27:32" x14ac:dyDescent="0.3">
      <c r="AA8731" s="3">
        <v>33968.31</v>
      </c>
      <c r="AB8731">
        <v>1E-4</v>
      </c>
      <c r="AC8731">
        <v>7</v>
      </c>
      <c r="AD8731" s="5">
        <v>4.9487108185014153</v>
      </c>
      <c r="AE8731" s="5">
        <v>2.2424282830374382</v>
      </c>
      <c r="AF8731">
        <v>1</v>
      </c>
    </row>
    <row r="8732" spans="27:32" x14ac:dyDescent="0.3">
      <c r="AA8732" s="3">
        <v>20885</v>
      </c>
      <c r="AB8732">
        <v>1E-4</v>
      </c>
      <c r="AC8732">
        <v>8</v>
      </c>
      <c r="AD8732" s="5">
        <v>4.9633099031963379</v>
      </c>
      <c r="AE8732" s="5">
        <v>2.2023837799829269</v>
      </c>
      <c r="AF8732">
        <v>1</v>
      </c>
    </row>
    <row r="8733" spans="27:32" x14ac:dyDescent="0.3">
      <c r="AA8733" s="3">
        <v>6067.66</v>
      </c>
      <c r="AB8733">
        <v>1E-4</v>
      </c>
      <c r="AC8733">
        <v>8</v>
      </c>
      <c r="AD8733" s="5">
        <v>5.0784201906400073</v>
      </c>
      <c r="AE8733" s="5">
        <v>2.238414856407366</v>
      </c>
      <c r="AF8733">
        <v>1</v>
      </c>
    </row>
    <row r="8734" spans="27:32" x14ac:dyDescent="0.3">
      <c r="AA8734" s="3">
        <v>19370.36</v>
      </c>
      <c r="AB8734">
        <v>1E-4</v>
      </c>
      <c r="AC8734">
        <v>8</v>
      </c>
      <c r="AD8734" s="5">
        <v>4.9574538331156139</v>
      </c>
      <c r="AE8734" s="5">
        <v>2.1465413805322702</v>
      </c>
      <c r="AF8734">
        <v>1</v>
      </c>
    </row>
    <row r="8735" spans="27:32" x14ac:dyDescent="0.3">
      <c r="AA8735" s="3">
        <v>45541.95</v>
      </c>
      <c r="AB8735">
        <v>1E-4</v>
      </c>
      <c r="AC8735">
        <v>7</v>
      </c>
      <c r="AD8735" s="5">
        <v>5.1609816483105213</v>
      </c>
      <c r="AE8735" s="5">
        <v>2.1464561542182641</v>
      </c>
      <c r="AF8735">
        <v>1</v>
      </c>
    </row>
    <row r="8736" spans="27:32" x14ac:dyDescent="0.3">
      <c r="AA8736" s="3">
        <v>-13952.9</v>
      </c>
      <c r="AB8736">
        <v>1E-4</v>
      </c>
      <c r="AC8736">
        <v>9</v>
      </c>
      <c r="AD8736" s="5">
        <v>5.0870172528942943</v>
      </c>
      <c r="AE8736" s="5">
        <v>2.2708346748316397</v>
      </c>
      <c r="AF8736">
        <v>1</v>
      </c>
    </row>
    <row r="8737" spans="27:32" x14ac:dyDescent="0.3">
      <c r="AA8737" s="3">
        <v>3989.41</v>
      </c>
      <c r="AB8737">
        <v>1E-4</v>
      </c>
      <c r="AC8737">
        <v>8</v>
      </c>
      <c r="AD8737" s="5">
        <v>5.0368148604287706</v>
      </c>
      <c r="AE8737" s="5">
        <v>2.1885169720458868</v>
      </c>
      <c r="AF8737">
        <v>1</v>
      </c>
    </row>
    <row r="8738" spans="27:32" x14ac:dyDescent="0.3">
      <c r="AA8738" s="3">
        <v>17859.66</v>
      </c>
      <c r="AB8738">
        <v>1E-4</v>
      </c>
      <c r="AC8738">
        <v>8</v>
      </c>
      <c r="AD8738" s="5">
        <v>4.945110788723226</v>
      </c>
      <c r="AE8738" s="5">
        <v>2.287118810728042</v>
      </c>
      <c r="AF8738">
        <v>1</v>
      </c>
    </row>
    <row r="8739" spans="27:32" x14ac:dyDescent="0.3">
      <c r="AA8739" s="3">
        <v>4949.78</v>
      </c>
      <c r="AB8739">
        <v>1E-4</v>
      </c>
      <c r="AC8739">
        <v>8</v>
      </c>
      <c r="AD8739" s="5">
        <v>4.9732301034964683</v>
      </c>
      <c r="AE8739" s="5">
        <v>2.274727987651024</v>
      </c>
      <c r="AF8739">
        <v>1</v>
      </c>
    </row>
    <row r="8740" spans="27:32" x14ac:dyDescent="0.3">
      <c r="AA8740" s="3">
        <v>20395.82</v>
      </c>
      <c r="AB8740">
        <v>1E-4</v>
      </c>
      <c r="AC8740">
        <v>8</v>
      </c>
      <c r="AD8740" s="5">
        <v>4.9178899480927054</v>
      </c>
      <c r="AE8740" s="5">
        <v>2.2112968365753116</v>
      </c>
      <c r="AF8740">
        <v>1</v>
      </c>
    </row>
    <row r="8741" spans="27:32" x14ac:dyDescent="0.3">
      <c r="AA8741" s="3">
        <v>-2079.88</v>
      </c>
      <c r="AB8741">
        <v>1E-4</v>
      </c>
      <c r="AC8741">
        <v>9</v>
      </c>
      <c r="AD8741" s="5">
        <v>4.8516178930844589</v>
      </c>
      <c r="AE8741" s="5">
        <v>2.2143020572879117</v>
      </c>
      <c r="AF8741">
        <v>1</v>
      </c>
    </row>
    <row r="8742" spans="27:32" x14ac:dyDescent="0.3">
      <c r="AA8742" s="3">
        <v>16027.78</v>
      </c>
      <c r="AB8742">
        <v>1E-4</v>
      </c>
      <c r="AC8742">
        <v>8</v>
      </c>
      <c r="AD8742" s="5">
        <v>5.0493826346721757</v>
      </c>
      <c r="AE8742" s="5">
        <v>2.2286588182624891</v>
      </c>
      <c r="AF8742">
        <v>1</v>
      </c>
    </row>
    <row r="8743" spans="27:32" x14ac:dyDescent="0.3">
      <c r="AA8743" s="3">
        <v>26393.66</v>
      </c>
      <c r="AB8743">
        <v>1E-4</v>
      </c>
      <c r="AC8743">
        <v>8</v>
      </c>
      <c r="AD8743" s="5">
        <v>4.980342174170981</v>
      </c>
      <c r="AE8743" s="5">
        <v>2.1952686433687907</v>
      </c>
      <c r="AF8743">
        <v>1</v>
      </c>
    </row>
    <row r="8744" spans="27:32" x14ac:dyDescent="0.3">
      <c r="AA8744" s="3">
        <v>21328.65</v>
      </c>
      <c r="AB8744">
        <v>1E-4</v>
      </c>
      <c r="AC8744">
        <v>8</v>
      </c>
      <c r="AD8744" s="5">
        <v>5.0483201440190779</v>
      </c>
      <c r="AE8744" s="5">
        <v>2.1329872840177635</v>
      </c>
      <c r="AF8744">
        <v>1</v>
      </c>
    </row>
    <row r="8745" spans="27:32" x14ac:dyDescent="0.3">
      <c r="AA8745" s="3">
        <v>-28947.62</v>
      </c>
      <c r="AB8745">
        <v>1E-4</v>
      </c>
      <c r="AC8745">
        <v>9</v>
      </c>
      <c r="AD8745" s="5">
        <v>4.8140310193268565</v>
      </c>
      <c r="AE8745" s="5">
        <v>2.1710247072126299</v>
      </c>
      <c r="AF8745">
        <v>1</v>
      </c>
    </row>
    <row r="8746" spans="27:32" x14ac:dyDescent="0.3">
      <c r="AA8746" s="3">
        <v>37144.879999999997</v>
      </c>
      <c r="AB8746">
        <v>1E-4</v>
      </c>
      <c r="AC8746">
        <v>7</v>
      </c>
      <c r="AD8746" s="5">
        <v>4.9213930213325421</v>
      </c>
      <c r="AE8746" s="5">
        <v>2.1171979199961712</v>
      </c>
      <c r="AF8746">
        <v>1</v>
      </c>
    </row>
    <row r="8747" spans="27:32" x14ac:dyDescent="0.3">
      <c r="AA8747" s="3">
        <v>21281.83</v>
      </c>
      <c r="AB8747">
        <v>1E-4</v>
      </c>
      <c r="AC8747">
        <v>8</v>
      </c>
      <c r="AD8747" s="5">
        <v>5.0921229491354101</v>
      </c>
      <c r="AE8747" s="5">
        <v>2.1853033454652429</v>
      </c>
      <c r="AF8747">
        <v>1</v>
      </c>
    </row>
    <row r="8748" spans="27:32" x14ac:dyDescent="0.3">
      <c r="AA8748" s="3">
        <v>13273.09</v>
      </c>
      <c r="AB8748">
        <v>1E-4</v>
      </c>
      <c r="AC8748">
        <v>8</v>
      </c>
      <c r="AD8748" s="5">
        <v>4.9085545571846394</v>
      </c>
      <c r="AE8748" s="5">
        <v>2.1827797715451167</v>
      </c>
      <c r="AF8748">
        <v>1</v>
      </c>
    </row>
    <row r="8749" spans="27:32" x14ac:dyDescent="0.3">
      <c r="AA8749" s="3">
        <v>10212.799999999999</v>
      </c>
      <c r="AB8749">
        <v>1E-4</v>
      </c>
      <c r="AC8749">
        <v>8</v>
      </c>
      <c r="AD8749" s="5">
        <v>4.9209413471255443</v>
      </c>
      <c r="AE8749" s="5">
        <v>2.1534135674995665</v>
      </c>
      <c r="AF8749">
        <v>1</v>
      </c>
    </row>
    <row r="8750" spans="27:32" x14ac:dyDescent="0.3">
      <c r="AA8750" s="3">
        <v>19256.75</v>
      </c>
      <c r="AB8750">
        <v>1E-4</v>
      </c>
      <c r="AC8750">
        <v>8</v>
      </c>
      <c r="AD8750" s="5">
        <v>5.0589564662957622</v>
      </c>
      <c r="AE8750" s="5">
        <v>2.1825799706756599</v>
      </c>
      <c r="AF8750">
        <v>1</v>
      </c>
    </row>
    <row r="8751" spans="27:32" x14ac:dyDescent="0.3">
      <c r="AA8751" s="3">
        <v>13691.5</v>
      </c>
      <c r="AB8751">
        <v>1E-4</v>
      </c>
      <c r="AC8751">
        <v>8</v>
      </c>
      <c r="AD8751" s="5">
        <v>5.0060898001918552</v>
      </c>
      <c r="AE8751" s="5">
        <v>2.2359346497099826</v>
      </c>
      <c r="AF8751">
        <v>1</v>
      </c>
    </row>
    <row r="8752" spans="27:32" x14ac:dyDescent="0.3">
      <c r="AA8752" s="3">
        <v>14266.4</v>
      </c>
      <c r="AB8752">
        <v>1E-4</v>
      </c>
      <c r="AC8752">
        <v>8</v>
      </c>
      <c r="AD8752" s="5">
        <v>5.0264983031816231</v>
      </c>
      <c r="AE8752" s="5">
        <v>2.2172248341617329</v>
      </c>
      <c r="AF8752">
        <v>1</v>
      </c>
    </row>
    <row r="8753" spans="27:32" x14ac:dyDescent="0.3">
      <c r="AA8753" s="3">
        <v>20739.3</v>
      </c>
      <c r="AB8753">
        <v>1E-4</v>
      </c>
      <c r="AC8753">
        <v>8</v>
      </c>
      <c r="AD8753" s="5">
        <v>4.9574445676939343</v>
      </c>
      <c r="AE8753" s="5">
        <v>2.1921991199879289</v>
      </c>
      <c r="AF8753">
        <v>1</v>
      </c>
    </row>
    <row r="8754" spans="27:32" x14ac:dyDescent="0.3">
      <c r="AA8754" s="3">
        <v>28177.919999999998</v>
      </c>
      <c r="AB8754">
        <v>1E-4</v>
      </c>
      <c r="AC8754">
        <v>8</v>
      </c>
      <c r="AD8754" s="5">
        <v>4.9622058142739567</v>
      </c>
      <c r="AE8754" s="5">
        <v>2.188110690283926</v>
      </c>
      <c r="AF8754">
        <v>1</v>
      </c>
    </row>
    <row r="8755" spans="27:32" x14ac:dyDescent="0.3">
      <c r="AA8755" s="3">
        <v>10776.05</v>
      </c>
      <c r="AB8755">
        <v>1E-4</v>
      </c>
      <c r="AC8755">
        <v>8</v>
      </c>
      <c r="AD8755" s="5">
        <v>4.938779372801684</v>
      </c>
      <c r="AE8755" s="5">
        <v>2.1807433623019672</v>
      </c>
      <c r="AF8755">
        <v>1</v>
      </c>
    </row>
    <row r="8756" spans="27:32" x14ac:dyDescent="0.3">
      <c r="AA8756" s="3">
        <v>-12991.43</v>
      </c>
      <c r="AB8756">
        <v>1E-4</v>
      </c>
      <c r="AC8756">
        <v>9</v>
      </c>
      <c r="AD8756" s="5">
        <v>4.9200147087117037</v>
      </c>
      <c r="AE8756" s="5">
        <v>2.2547663558919298</v>
      </c>
      <c r="AF8756">
        <v>1</v>
      </c>
    </row>
    <row r="8757" spans="27:32" x14ac:dyDescent="0.3">
      <c r="AA8757" s="3">
        <v>21304.93</v>
      </c>
      <c r="AB8757">
        <v>1E-4</v>
      </c>
      <c r="AC8757">
        <v>8</v>
      </c>
      <c r="AD8757" s="5">
        <v>5.0200477172025373</v>
      </c>
      <c r="AE8757" s="5">
        <v>2.272085799950605</v>
      </c>
      <c r="AF8757">
        <v>1</v>
      </c>
    </row>
    <row r="8758" spans="27:32" x14ac:dyDescent="0.3">
      <c r="AA8758" s="3">
        <v>-5042.34</v>
      </c>
      <c r="AB8758">
        <v>1E-4</v>
      </c>
      <c r="AC8758">
        <v>9</v>
      </c>
      <c r="AD8758" s="5">
        <v>4.8242241583113499</v>
      </c>
      <c r="AE8758" s="5">
        <v>2.1947891445137202</v>
      </c>
      <c r="AF8758">
        <v>1</v>
      </c>
    </row>
    <row r="8759" spans="27:32" x14ac:dyDescent="0.3">
      <c r="AA8759" s="3">
        <v>25363.13</v>
      </c>
      <c r="AB8759">
        <v>1E-4</v>
      </c>
      <c r="AC8759">
        <v>8</v>
      </c>
      <c r="AD8759" s="5">
        <v>5.1545995854493984</v>
      </c>
      <c r="AE8759" s="5">
        <v>2.1423202271896131</v>
      </c>
      <c r="AF8759">
        <v>1</v>
      </c>
    </row>
    <row r="8760" spans="27:32" x14ac:dyDescent="0.3">
      <c r="AA8760" s="3">
        <v>33428.699999999997</v>
      </c>
      <c r="AB8760">
        <v>1E-4</v>
      </c>
      <c r="AC8760">
        <v>7</v>
      </c>
      <c r="AD8760" s="5">
        <v>5.01894108863676</v>
      </c>
      <c r="AE8760" s="5">
        <v>2.1891035426408068</v>
      </c>
      <c r="AF8760">
        <v>1</v>
      </c>
    </row>
    <row r="8761" spans="27:32" x14ac:dyDescent="0.3">
      <c r="AA8761" s="3">
        <v>9063.14</v>
      </c>
      <c r="AB8761">
        <v>1E-4</v>
      </c>
      <c r="AC8761">
        <v>8</v>
      </c>
      <c r="AD8761" s="5">
        <v>5.0664894086766186</v>
      </c>
      <c r="AE8761" s="5">
        <v>2.1701405687802411</v>
      </c>
      <c r="AF8761">
        <v>1</v>
      </c>
    </row>
    <row r="8762" spans="27:32" x14ac:dyDescent="0.3">
      <c r="AA8762" s="3">
        <v>21139.58</v>
      </c>
      <c r="AB8762">
        <v>1E-4</v>
      </c>
      <c r="AC8762">
        <v>8</v>
      </c>
      <c r="AD8762" s="5">
        <v>4.8693247855186055</v>
      </c>
      <c r="AE8762" s="5">
        <v>2.1227146525021516</v>
      </c>
      <c r="AF8762">
        <v>1</v>
      </c>
    </row>
    <row r="8763" spans="27:32" x14ac:dyDescent="0.3">
      <c r="AA8763" s="3">
        <v>9486.86</v>
      </c>
      <c r="AB8763">
        <v>1E-4</v>
      </c>
      <c r="AC8763">
        <v>8</v>
      </c>
      <c r="AD8763" s="5">
        <v>4.9578117339328482</v>
      </c>
      <c r="AE8763" s="5">
        <v>2.2337863270349141</v>
      </c>
      <c r="AF8763">
        <v>1</v>
      </c>
    </row>
    <row r="8764" spans="27:32" x14ac:dyDescent="0.3">
      <c r="AA8764" s="3">
        <v>10247.15</v>
      </c>
      <c r="AB8764">
        <v>1E-4</v>
      </c>
      <c r="AC8764">
        <v>8</v>
      </c>
      <c r="AD8764" s="5">
        <v>4.9808306503963919</v>
      </c>
      <c r="AE8764" s="5">
        <v>2.0917513696041539</v>
      </c>
      <c r="AF8764">
        <v>1</v>
      </c>
    </row>
    <row r="8765" spans="27:32" x14ac:dyDescent="0.3">
      <c r="AA8765" s="3">
        <v>32191.69</v>
      </c>
      <c r="AB8765">
        <v>1E-4</v>
      </c>
      <c r="AC8765">
        <v>7</v>
      </c>
      <c r="AD8765" s="5">
        <v>5.0131726389059406</v>
      </c>
      <c r="AE8765" s="5">
        <v>2.1461293705486209</v>
      </c>
      <c r="AF8765">
        <v>1</v>
      </c>
    </row>
    <row r="8766" spans="27:32" x14ac:dyDescent="0.3">
      <c r="AA8766" s="3">
        <v>23310.16</v>
      </c>
      <c r="AB8766">
        <v>1E-4</v>
      </c>
      <c r="AC8766">
        <v>8</v>
      </c>
      <c r="AD8766" s="5">
        <v>5.1204157978833917</v>
      </c>
      <c r="AE8766" s="5">
        <v>2.1967023146931837</v>
      </c>
      <c r="AF8766">
        <v>1</v>
      </c>
    </row>
    <row r="8767" spans="27:32" x14ac:dyDescent="0.3">
      <c r="AA8767" s="3">
        <v>34564.019999999997</v>
      </c>
      <c r="AB8767">
        <v>1E-4</v>
      </c>
      <c r="AC8767">
        <v>7</v>
      </c>
      <c r="AD8767" s="5">
        <v>5.0761572657665086</v>
      </c>
      <c r="AE8767" s="5">
        <v>2.2034931074863193</v>
      </c>
      <c r="AF8767">
        <v>1</v>
      </c>
    </row>
    <row r="8768" spans="27:32" x14ac:dyDescent="0.3">
      <c r="AA8768" s="3">
        <v>-17002.686887258984</v>
      </c>
      <c r="AB8768">
        <v>1E-4</v>
      </c>
      <c r="AC8768">
        <v>8</v>
      </c>
      <c r="AD8768" s="5">
        <v>5.02703287993935</v>
      </c>
      <c r="AE8768" s="5">
        <v>2.2168657884681289</v>
      </c>
      <c r="AF8768">
        <v>0</v>
      </c>
    </row>
    <row r="8769" spans="27:32" x14ac:dyDescent="0.3">
      <c r="AA8769" s="3">
        <v>28251.34</v>
      </c>
      <c r="AB8769">
        <v>1E-4</v>
      </c>
      <c r="AC8769">
        <v>8</v>
      </c>
      <c r="AD8769" s="5">
        <v>5.0751676441401914</v>
      </c>
      <c r="AE8769" s="5">
        <v>2.2369523595801968</v>
      </c>
      <c r="AF8769">
        <v>1</v>
      </c>
    </row>
    <row r="8770" spans="27:32" x14ac:dyDescent="0.3">
      <c r="AA8770" s="3">
        <v>23600.55</v>
      </c>
      <c r="AB8770">
        <v>1E-4</v>
      </c>
      <c r="AC8770">
        <v>8</v>
      </c>
      <c r="AD8770" s="5">
        <v>5.0076194472669115</v>
      </c>
      <c r="AE8770" s="5">
        <v>2.0425883648014467</v>
      </c>
      <c r="AF8770">
        <v>1</v>
      </c>
    </row>
    <row r="8771" spans="27:32" x14ac:dyDescent="0.3">
      <c r="AA8771" s="3">
        <v>615.80999999999995</v>
      </c>
      <c r="AB8771">
        <v>1E-4</v>
      </c>
      <c r="AC8771">
        <v>8</v>
      </c>
      <c r="AD8771" s="5">
        <v>4.9642502615152591</v>
      </c>
      <c r="AE8771" s="5">
        <v>2.2198890990182036</v>
      </c>
      <c r="AF8771">
        <v>1</v>
      </c>
    </row>
    <row r="8772" spans="27:32" x14ac:dyDescent="0.3">
      <c r="AA8772" s="3">
        <v>18631.03</v>
      </c>
      <c r="AB8772">
        <v>1E-4</v>
      </c>
      <c r="AC8772">
        <v>8</v>
      </c>
      <c r="AD8772" s="5">
        <v>5.0327825927215679</v>
      </c>
      <c r="AE8772" s="5">
        <v>2.2359911126185499</v>
      </c>
      <c r="AF8772">
        <v>1</v>
      </c>
    </row>
    <row r="8773" spans="27:32" x14ac:dyDescent="0.3">
      <c r="AA8773" s="3">
        <v>32425.88</v>
      </c>
      <c r="AB8773">
        <v>1E-4</v>
      </c>
      <c r="AC8773">
        <v>7</v>
      </c>
      <c r="AD8773" s="5">
        <v>5.0964536343355826</v>
      </c>
      <c r="AE8773" s="5">
        <v>2.2953558249547461</v>
      </c>
      <c r="AF8773">
        <v>1</v>
      </c>
    </row>
    <row r="8774" spans="27:32" x14ac:dyDescent="0.3">
      <c r="AA8774" s="3">
        <v>24570.81</v>
      </c>
      <c r="AB8774">
        <v>1E-4</v>
      </c>
      <c r="AC8774">
        <v>8</v>
      </c>
      <c r="AD8774" s="5">
        <v>4.8418363722609703</v>
      </c>
      <c r="AE8774" s="5">
        <v>2.2228148756191302</v>
      </c>
      <c r="AF8774">
        <v>1</v>
      </c>
    </row>
    <row r="8775" spans="27:32" x14ac:dyDescent="0.3">
      <c r="AA8775" s="3">
        <v>41652.97</v>
      </c>
      <c r="AB8775">
        <v>1E-4</v>
      </c>
      <c r="AC8775">
        <v>7</v>
      </c>
      <c r="AD8775" s="5">
        <v>4.9703007220866491</v>
      </c>
      <c r="AE8775" s="5">
        <v>2.1355108349620391</v>
      </c>
      <c r="AF8775">
        <v>1</v>
      </c>
    </row>
    <row r="8776" spans="27:32" x14ac:dyDescent="0.3">
      <c r="AA8776" s="3">
        <v>20715</v>
      </c>
      <c r="AB8776">
        <v>1E-4</v>
      </c>
      <c r="AC8776">
        <v>8</v>
      </c>
      <c r="AD8776" s="5">
        <v>5.0814194101376735</v>
      </c>
      <c r="AE8776" s="5">
        <v>2.2132822471784781</v>
      </c>
      <c r="AF8776">
        <v>1</v>
      </c>
    </row>
    <row r="8777" spans="27:32" x14ac:dyDescent="0.3">
      <c r="AA8777" s="3">
        <v>-20688.05769158047</v>
      </c>
      <c r="AB8777">
        <v>1E-4</v>
      </c>
      <c r="AC8777">
        <v>9</v>
      </c>
      <c r="AD8777" s="5">
        <v>4.9537878832507491</v>
      </c>
      <c r="AE8777" s="5">
        <v>2.2725443147317534</v>
      </c>
      <c r="AF8777">
        <v>0</v>
      </c>
    </row>
    <row r="8778" spans="27:32" x14ac:dyDescent="0.3">
      <c r="AA8778" s="3">
        <v>47948.959999999999</v>
      </c>
      <c r="AB8778">
        <v>1E-4</v>
      </c>
      <c r="AC8778">
        <v>6</v>
      </c>
      <c r="AD8778" s="5">
        <v>5.0099176990055376</v>
      </c>
      <c r="AE8778" s="5">
        <v>2.2261380018264334</v>
      </c>
      <c r="AF8778">
        <v>1</v>
      </c>
    </row>
    <row r="8779" spans="27:32" x14ac:dyDescent="0.3">
      <c r="AA8779" s="3">
        <v>324.52999999999997</v>
      </c>
      <c r="AB8779">
        <v>1E-4</v>
      </c>
      <c r="AC8779">
        <v>8</v>
      </c>
      <c r="AD8779" s="5">
        <v>4.8528133087193694</v>
      </c>
      <c r="AE8779" s="5">
        <v>2.278924633487847</v>
      </c>
      <c r="AF8779">
        <v>1</v>
      </c>
    </row>
    <row r="8780" spans="27:32" x14ac:dyDescent="0.3">
      <c r="AA8780" s="3">
        <v>26206.71</v>
      </c>
      <c r="AB8780">
        <v>1E-4</v>
      </c>
      <c r="AC8780">
        <v>8</v>
      </c>
      <c r="AD8780" s="5">
        <v>4.966580360642789</v>
      </c>
      <c r="AE8780" s="5">
        <v>2.2303449924642571</v>
      </c>
      <c r="AF8780">
        <v>1</v>
      </c>
    </row>
    <row r="8781" spans="27:32" x14ac:dyDescent="0.3">
      <c r="AA8781" s="3">
        <v>1871.3</v>
      </c>
      <c r="AB8781">
        <v>1E-4</v>
      </c>
      <c r="AC8781">
        <v>8</v>
      </c>
      <c r="AD8781" s="5">
        <v>5.0220273657985892</v>
      </c>
      <c r="AE8781" s="5">
        <v>2.1756219637803134</v>
      </c>
      <c r="AF8781">
        <v>1</v>
      </c>
    </row>
    <row r="8782" spans="27:32" x14ac:dyDescent="0.3">
      <c r="AA8782" s="3">
        <v>22313.47</v>
      </c>
      <c r="AB8782">
        <v>1E-4</v>
      </c>
      <c r="AC8782">
        <v>8</v>
      </c>
      <c r="AD8782" s="5">
        <v>5.0564550084523114</v>
      </c>
      <c r="AE8782" s="5">
        <v>2.2454035783042956</v>
      </c>
      <c r="AF8782">
        <v>1</v>
      </c>
    </row>
    <row r="8783" spans="27:32" x14ac:dyDescent="0.3">
      <c r="AA8783" s="3">
        <v>7672.55</v>
      </c>
      <c r="AB8783">
        <v>1E-4</v>
      </c>
      <c r="AC8783">
        <v>8</v>
      </c>
      <c r="AD8783" s="5">
        <v>4.9797222485476</v>
      </c>
      <c r="AE8783" s="5">
        <v>2.2351337432204019</v>
      </c>
      <c r="AF8783">
        <v>1</v>
      </c>
    </row>
    <row r="8784" spans="27:32" x14ac:dyDescent="0.3">
      <c r="AA8784" s="3">
        <v>51352.73</v>
      </c>
      <c r="AB8784">
        <v>1E-4</v>
      </c>
      <c r="AC8784">
        <v>6</v>
      </c>
      <c r="AD8784" s="5">
        <v>5.1641136602213233</v>
      </c>
      <c r="AE8784" s="5">
        <v>2.1592735533293714</v>
      </c>
      <c r="AF8784">
        <v>1</v>
      </c>
    </row>
    <row r="8785" spans="27:32" x14ac:dyDescent="0.3">
      <c r="AA8785" s="3">
        <v>29664.36</v>
      </c>
      <c r="AB8785">
        <v>1E-4</v>
      </c>
      <c r="AC8785">
        <v>8</v>
      </c>
      <c r="AD8785" s="5">
        <v>4.8929545318880692</v>
      </c>
      <c r="AE8785" s="5">
        <v>2.2029263055744526</v>
      </c>
      <c r="AF8785">
        <v>1</v>
      </c>
    </row>
    <row r="8786" spans="27:32" x14ac:dyDescent="0.3">
      <c r="AA8786" s="3">
        <v>43274.879999999997</v>
      </c>
      <c r="AB8786">
        <v>1E-4</v>
      </c>
      <c r="AC8786">
        <v>7</v>
      </c>
      <c r="AD8786" s="5">
        <v>5.1277030815357936</v>
      </c>
      <c r="AE8786" s="5">
        <v>2.191715046630744</v>
      </c>
      <c r="AF8786">
        <v>1</v>
      </c>
    </row>
    <row r="8787" spans="27:32" x14ac:dyDescent="0.3">
      <c r="AA8787" s="3">
        <v>8629.82</v>
      </c>
      <c r="AB8787">
        <v>1E-4</v>
      </c>
      <c r="AC8787">
        <v>8</v>
      </c>
      <c r="AD8787" s="5">
        <v>4.890578417141751</v>
      </c>
      <c r="AE8787" s="5">
        <v>2.2560307975057188</v>
      </c>
      <c r="AF8787">
        <v>1</v>
      </c>
    </row>
    <row r="8788" spans="27:32" x14ac:dyDescent="0.3">
      <c r="AA8788" s="3">
        <v>17240.310000000001</v>
      </c>
      <c r="AB8788">
        <v>1E-4</v>
      </c>
      <c r="AC8788">
        <v>8</v>
      </c>
      <c r="AD8788" s="5">
        <v>5.1058700754169228</v>
      </c>
      <c r="AE8788" s="5">
        <v>2.2184454629805264</v>
      </c>
      <c r="AF8788">
        <v>1</v>
      </c>
    </row>
    <row r="8789" spans="27:32" x14ac:dyDescent="0.3">
      <c r="AA8789" s="3">
        <v>28823.01</v>
      </c>
      <c r="AB8789">
        <v>1E-4</v>
      </c>
      <c r="AC8789">
        <v>8</v>
      </c>
      <c r="AD8789" s="5">
        <v>4.9812149575190263</v>
      </c>
      <c r="AE8789" s="5">
        <v>2.2761659231917091</v>
      </c>
      <c r="AF8789">
        <v>1</v>
      </c>
    </row>
    <row r="8790" spans="27:32" x14ac:dyDescent="0.3">
      <c r="AA8790" s="3">
        <v>26142.9</v>
      </c>
      <c r="AB8790">
        <v>1E-4</v>
      </c>
      <c r="AC8790">
        <v>8</v>
      </c>
      <c r="AD8790" s="5">
        <v>5.0525621666128018</v>
      </c>
      <c r="AE8790" s="5">
        <v>2.2097775011236975</v>
      </c>
      <c r="AF8790">
        <v>1</v>
      </c>
    </row>
    <row r="8791" spans="27:32" x14ac:dyDescent="0.3">
      <c r="AA8791" s="3">
        <v>-26919.714927131758</v>
      </c>
      <c r="AB8791">
        <v>1E-4</v>
      </c>
      <c r="AC8791">
        <v>9</v>
      </c>
      <c r="AD8791" s="5">
        <v>4.9752243895302968</v>
      </c>
      <c r="AE8791" s="5">
        <v>2.1532565902968765</v>
      </c>
      <c r="AF8791">
        <v>0</v>
      </c>
    </row>
    <row r="8792" spans="27:32" x14ac:dyDescent="0.3">
      <c r="AA8792" s="3">
        <v>-9317.39</v>
      </c>
      <c r="AB8792">
        <v>1E-4</v>
      </c>
      <c r="AC8792">
        <v>9</v>
      </c>
      <c r="AD8792" s="5">
        <v>4.8482741279043378</v>
      </c>
      <c r="AE8792" s="5">
        <v>2.2192166409942811</v>
      </c>
      <c r="AF8792">
        <v>1</v>
      </c>
    </row>
    <row r="8793" spans="27:32" x14ac:dyDescent="0.3">
      <c r="AA8793" s="3">
        <v>9759.82</v>
      </c>
      <c r="AB8793">
        <v>1E-4</v>
      </c>
      <c r="AC8793">
        <v>8</v>
      </c>
      <c r="AD8793" s="5">
        <v>4.8229867719978774</v>
      </c>
      <c r="AE8793" s="5">
        <v>2.2390303795962572</v>
      </c>
      <c r="AF8793">
        <v>1</v>
      </c>
    </row>
    <row r="8794" spans="27:32" x14ac:dyDescent="0.3">
      <c r="AA8794" s="3">
        <v>8468.16</v>
      </c>
      <c r="AB8794">
        <v>1E-4</v>
      </c>
      <c r="AC8794">
        <v>8</v>
      </c>
      <c r="AD8794" s="5">
        <v>4.9955566660074968</v>
      </c>
      <c r="AE8794" s="5">
        <v>2.2431935692331697</v>
      </c>
      <c r="AF8794">
        <v>1</v>
      </c>
    </row>
    <row r="8795" spans="27:32" x14ac:dyDescent="0.3">
      <c r="AA8795" s="3">
        <v>16305.88</v>
      </c>
      <c r="AB8795">
        <v>1E-4</v>
      </c>
      <c r="AC8795">
        <v>8</v>
      </c>
      <c r="AD8795" s="5">
        <v>5.2178345257022114</v>
      </c>
      <c r="AE8795" s="5">
        <v>2.2214777394498939</v>
      </c>
      <c r="AF8795">
        <v>1</v>
      </c>
    </row>
    <row r="8796" spans="27:32" x14ac:dyDescent="0.3">
      <c r="AA8796" s="3">
        <v>-6143.14</v>
      </c>
      <c r="AB8796">
        <v>1E-4</v>
      </c>
      <c r="AC8796">
        <v>9</v>
      </c>
      <c r="AD8796" s="5">
        <v>5.0747281837631713</v>
      </c>
      <c r="AE8796" s="5">
        <v>2.1562628798443284</v>
      </c>
      <c r="AF8796">
        <v>1</v>
      </c>
    </row>
    <row r="8797" spans="27:32" x14ac:dyDescent="0.3">
      <c r="AA8797" s="3">
        <v>50011.51</v>
      </c>
      <c r="AB8797">
        <v>1E-4</v>
      </c>
      <c r="AC8797">
        <v>7</v>
      </c>
      <c r="AD8797" s="5">
        <v>5.12868522752931</v>
      </c>
      <c r="AE8797" s="5">
        <v>2.2478086152916288</v>
      </c>
      <c r="AF8797">
        <v>1</v>
      </c>
    </row>
    <row r="8798" spans="27:32" x14ac:dyDescent="0.3">
      <c r="AA8798" s="3">
        <v>5865.51</v>
      </c>
      <c r="AB8798">
        <v>1E-4</v>
      </c>
      <c r="AC8798">
        <v>8</v>
      </c>
      <c r="AD8798" s="5">
        <v>4.7851551223865467</v>
      </c>
      <c r="AE8798" s="5">
        <v>2.1590740407963871</v>
      </c>
      <c r="AF8798">
        <v>1</v>
      </c>
    </row>
    <row r="8799" spans="27:32" x14ac:dyDescent="0.3">
      <c r="AA8799" s="3">
        <v>19897.87</v>
      </c>
      <c r="AB8799">
        <v>1E-4</v>
      </c>
      <c r="AC8799">
        <v>8</v>
      </c>
      <c r="AD8799" s="5">
        <v>4.9534340098449974</v>
      </c>
      <c r="AE8799" s="5">
        <v>2.1274289776972823</v>
      </c>
      <c r="AF8799">
        <v>1</v>
      </c>
    </row>
    <row r="8800" spans="27:32" x14ac:dyDescent="0.3">
      <c r="AA8800" s="3">
        <v>8062.33</v>
      </c>
      <c r="AB8800">
        <v>1E-4</v>
      </c>
      <c r="AC8800">
        <v>8</v>
      </c>
      <c r="AD8800" s="5">
        <v>5.0525387735420759</v>
      </c>
      <c r="AE8800" s="5">
        <v>2.2127888474428317</v>
      </c>
      <c r="AF8800">
        <v>1</v>
      </c>
    </row>
    <row r="8801" spans="27:32" x14ac:dyDescent="0.3">
      <c r="AA8801" s="3">
        <v>14703.44</v>
      </c>
      <c r="AB8801">
        <v>1E-4</v>
      </c>
      <c r="AC8801">
        <v>8</v>
      </c>
      <c r="AD8801" s="5">
        <v>5.0808394344642691</v>
      </c>
      <c r="AE8801" s="5">
        <v>2.2563760862126165</v>
      </c>
      <c r="AF8801">
        <v>1</v>
      </c>
    </row>
    <row r="8802" spans="27:32" x14ac:dyDescent="0.3">
      <c r="AA8802" s="3">
        <v>-14499.17</v>
      </c>
      <c r="AB8802">
        <v>1E-4</v>
      </c>
      <c r="AC8802">
        <v>9</v>
      </c>
      <c r="AD8802" s="5">
        <v>4.9728363002641975</v>
      </c>
      <c r="AE8802" s="5">
        <v>2.1171325402594374</v>
      </c>
      <c r="AF8802">
        <v>1</v>
      </c>
    </row>
    <row r="8803" spans="27:32" x14ac:dyDescent="0.3">
      <c r="AA8803" s="3">
        <v>17002.36</v>
      </c>
      <c r="AB8803">
        <v>1E-4</v>
      </c>
      <c r="AC8803">
        <v>8</v>
      </c>
      <c r="AD8803" s="5">
        <v>4.889649594717552</v>
      </c>
      <c r="AE8803" s="5">
        <v>2.1537410609994301</v>
      </c>
      <c r="AF8803">
        <v>1</v>
      </c>
    </row>
    <row r="8804" spans="27:32" x14ac:dyDescent="0.3">
      <c r="AA8804" s="3">
        <v>7963.84</v>
      </c>
      <c r="AB8804">
        <v>1E-4</v>
      </c>
      <c r="AC8804">
        <v>8</v>
      </c>
      <c r="AD8804" s="5">
        <v>5.074852831000741</v>
      </c>
      <c r="AE8804" s="5">
        <v>2.2595274333877802</v>
      </c>
      <c r="AF8804">
        <v>1</v>
      </c>
    </row>
    <row r="8805" spans="27:32" x14ac:dyDescent="0.3">
      <c r="AA8805" s="3">
        <v>37085.879999999997</v>
      </c>
      <c r="AB8805">
        <v>1E-4</v>
      </c>
      <c r="AC8805">
        <v>7</v>
      </c>
      <c r="AD8805" s="5">
        <v>5.1007284714839392</v>
      </c>
      <c r="AE8805" s="5">
        <v>2.222487798489134</v>
      </c>
      <c r="AF8805">
        <v>1</v>
      </c>
    </row>
    <row r="8806" spans="27:32" x14ac:dyDescent="0.3">
      <c r="AA8806" s="3">
        <v>18005.03</v>
      </c>
      <c r="AB8806">
        <v>1E-4</v>
      </c>
      <c r="AC8806">
        <v>8</v>
      </c>
      <c r="AD8806" s="5">
        <v>4.9999260689110558</v>
      </c>
      <c r="AE8806" s="5">
        <v>2.1023377385563884</v>
      </c>
      <c r="AF8806">
        <v>1</v>
      </c>
    </row>
    <row r="8807" spans="27:32" x14ac:dyDescent="0.3">
      <c r="AA8807" s="3">
        <v>34566.550000000003</v>
      </c>
      <c r="AB8807">
        <v>1E-4</v>
      </c>
      <c r="AC8807">
        <v>7</v>
      </c>
      <c r="AD8807" s="5">
        <v>4.9570151455567082</v>
      </c>
      <c r="AE8807" s="5">
        <v>2.1909585493877861</v>
      </c>
      <c r="AF8807">
        <v>1</v>
      </c>
    </row>
    <row r="8808" spans="27:32" x14ac:dyDescent="0.3">
      <c r="AA8808" s="3">
        <v>21917.81</v>
      </c>
      <c r="AB8808">
        <v>1E-4</v>
      </c>
      <c r="AC8808">
        <v>8</v>
      </c>
      <c r="AD8808" s="5">
        <v>5.1654613909883444</v>
      </c>
      <c r="AE8808" s="5">
        <v>2.2067707848062676</v>
      </c>
      <c r="AF8808">
        <v>1</v>
      </c>
    </row>
    <row r="8809" spans="27:32" x14ac:dyDescent="0.3">
      <c r="AA8809" s="3">
        <v>15533.62</v>
      </c>
      <c r="AB8809">
        <v>1E-4</v>
      </c>
      <c r="AC8809">
        <v>8</v>
      </c>
      <c r="AD8809" s="5">
        <v>4.8512855430598307</v>
      </c>
      <c r="AE8809" s="5">
        <v>2.2060730425550066</v>
      </c>
      <c r="AF8809">
        <v>1</v>
      </c>
    </row>
    <row r="8810" spans="27:32" x14ac:dyDescent="0.3">
      <c r="AA8810" s="3">
        <v>1058.19</v>
      </c>
      <c r="AB8810">
        <v>1E-4</v>
      </c>
      <c r="AC8810">
        <v>8</v>
      </c>
      <c r="AD8810" s="5">
        <v>4.9841170986490466</v>
      </c>
      <c r="AE8810" s="5">
        <v>2.3179276850225303</v>
      </c>
      <c r="AF8810">
        <v>1</v>
      </c>
    </row>
    <row r="8811" spans="27:32" x14ac:dyDescent="0.3">
      <c r="AA8811" s="3">
        <v>30709.919999999998</v>
      </c>
      <c r="AB8811">
        <v>1E-4</v>
      </c>
      <c r="AC8811">
        <v>8</v>
      </c>
      <c r="AD8811" s="5">
        <v>5.0400718673816538</v>
      </c>
      <c r="AE8811" s="5">
        <v>2.1033171492474718</v>
      </c>
      <c r="AF8811">
        <v>1</v>
      </c>
    </row>
    <row r="8812" spans="27:32" x14ac:dyDescent="0.3">
      <c r="AA8812" s="3">
        <v>2315.6799999999998</v>
      </c>
      <c r="AB8812">
        <v>1E-4</v>
      </c>
      <c r="AC8812">
        <v>8</v>
      </c>
      <c r="AD8812" s="5">
        <v>4.9565888444241466</v>
      </c>
      <c r="AE8812" s="5">
        <v>2.214016267453029</v>
      </c>
      <c r="AF8812">
        <v>1</v>
      </c>
    </row>
    <row r="8813" spans="27:32" x14ac:dyDescent="0.3">
      <c r="AA8813" s="3">
        <v>-13456.26</v>
      </c>
      <c r="AB8813">
        <v>1E-4</v>
      </c>
      <c r="AC8813">
        <v>9</v>
      </c>
      <c r="AD8813" s="5">
        <v>4.9900204357199254</v>
      </c>
      <c r="AE8813" s="5">
        <v>2.1987161584001829</v>
      </c>
      <c r="AF8813">
        <v>1</v>
      </c>
    </row>
    <row r="8814" spans="27:32" x14ac:dyDescent="0.3">
      <c r="AA8814" s="3">
        <v>28017.31</v>
      </c>
      <c r="AB8814">
        <v>1E-4</v>
      </c>
      <c r="AC8814">
        <v>8</v>
      </c>
      <c r="AD8814" s="5">
        <v>5.1106411927753657</v>
      </c>
      <c r="AE8814" s="5">
        <v>2.3129615217088833</v>
      </c>
      <c r="AF8814">
        <v>1</v>
      </c>
    </row>
    <row r="8815" spans="27:32" x14ac:dyDescent="0.3">
      <c r="AA8815" s="3">
        <v>8530.67</v>
      </c>
      <c r="AB8815">
        <v>1E-4</v>
      </c>
      <c r="AC8815">
        <v>8</v>
      </c>
      <c r="AD8815" s="5">
        <v>4.933266973862672</v>
      </c>
      <c r="AE8815" s="5">
        <v>2.2038898379625076</v>
      </c>
      <c r="AF8815">
        <v>1</v>
      </c>
    </row>
    <row r="8816" spans="27:32" x14ac:dyDescent="0.3">
      <c r="AA8816" s="3">
        <v>-975.4</v>
      </c>
      <c r="AB8816">
        <v>1E-4</v>
      </c>
      <c r="AC8816">
        <v>9</v>
      </c>
      <c r="AD8816" s="5">
        <v>4.8160889912417195</v>
      </c>
      <c r="AE8816" s="5">
        <v>2.1661249547762953</v>
      </c>
      <c r="AF8816">
        <v>1</v>
      </c>
    </row>
    <row r="8817" spans="27:32" x14ac:dyDescent="0.3">
      <c r="AA8817" s="3">
        <v>45258.32</v>
      </c>
      <c r="AB8817">
        <v>1E-4</v>
      </c>
      <c r="AC8817">
        <v>7</v>
      </c>
      <c r="AD8817" s="5">
        <v>5.0230453253144356</v>
      </c>
      <c r="AE8817" s="5">
        <v>2.1843687865793777</v>
      </c>
      <c r="AF8817">
        <v>1</v>
      </c>
    </row>
    <row r="8818" spans="27:32" x14ac:dyDescent="0.3">
      <c r="AA8818" s="3">
        <v>-1535.13</v>
      </c>
      <c r="AB8818">
        <v>1E-4</v>
      </c>
      <c r="AC8818">
        <v>9</v>
      </c>
      <c r="AD8818" s="5">
        <v>4.8983085911745015</v>
      </c>
      <c r="AE8818" s="5">
        <v>2.2112616282112181</v>
      </c>
      <c r="AF8818">
        <v>1</v>
      </c>
    </row>
    <row r="8819" spans="27:32" x14ac:dyDescent="0.3">
      <c r="AA8819" s="3">
        <v>31613.93</v>
      </c>
      <c r="AB8819">
        <v>1E-4</v>
      </c>
      <c r="AC8819">
        <v>7</v>
      </c>
      <c r="AD8819" s="5">
        <v>4.9303284329272259</v>
      </c>
      <c r="AE8819" s="5">
        <v>2.2027370783071683</v>
      </c>
      <c r="AF8819">
        <v>1</v>
      </c>
    </row>
    <row r="8820" spans="27:32" x14ac:dyDescent="0.3">
      <c r="AA8820" s="3">
        <v>640.75</v>
      </c>
      <c r="AB8820">
        <v>1E-4</v>
      </c>
      <c r="AC8820">
        <v>8</v>
      </c>
      <c r="AD8820" s="5">
        <v>5.0028896585632969</v>
      </c>
      <c r="AE8820" s="5">
        <v>2.2595519076584645</v>
      </c>
      <c r="AF8820">
        <v>1</v>
      </c>
    </row>
    <row r="8821" spans="27:32" x14ac:dyDescent="0.3">
      <c r="AA8821" s="3">
        <v>4637.72</v>
      </c>
      <c r="AB8821">
        <v>1E-4</v>
      </c>
      <c r="AC8821">
        <v>8</v>
      </c>
      <c r="AD8821" s="5">
        <v>4.9028285270050933</v>
      </c>
      <c r="AE8821" s="5">
        <v>2.2089045826234099</v>
      </c>
      <c r="AF8821">
        <v>1</v>
      </c>
    </row>
    <row r="8822" spans="27:32" x14ac:dyDescent="0.3">
      <c r="AA8822" s="3">
        <v>16430.099999999999</v>
      </c>
      <c r="AB8822">
        <v>1E-4</v>
      </c>
      <c r="AC8822">
        <v>8</v>
      </c>
      <c r="AD8822" s="5">
        <v>5.137537991460519</v>
      </c>
      <c r="AE8822" s="5">
        <v>2.180653628362049</v>
      </c>
      <c r="AF8822">
        <v>1</v>
      </c>
    </row>
    <row r="8823" spans="27:32" x14ac:dyDescent="0.3">
      <c r="AA8823" s="3">
        <v>20534.419999999998</v>
      </c>
      <c r="AB8823">
        <v>1E-4</v>
      </c>
      <c r="AC8823">
        <v>8</v>
      </c>
      <c r="AD8823" s="5">
        <v>4.941385728100423</v>
      </c>
      <c r="AE8823" s="5">
        <v>2.2539180571156425</v>
      </c>
      <c r="AF8823">
        <v>1</v>
      </c>
    </row>
    <row r="8824" spans="27:32" x14ac:dyDescent="0.3">
      <c r="AA8824" s="3">
        <v>5494.65</v>
      </c>
      <c r="AB8824">
        <v>1E-4</v>
      </c>
      <c r="AC8824">
        <v>8</v>
      </c>
      <c r="AD8824" s="5">
        <v>5.0533360189668635</v>
      </c>
      <c r="AE8824" s="5">
        <v>2.1830117627146017</v>
      </c>
      <c r="AF8824">
        <v>1</v>
      </c>
    </row>
    <row r="8825" spans="27:32" x14ac:dyDescent="0.3">
      <c r="AA8825" s="3">
        <v>29684.68</v>
      </c>
      <c r="AB8825">
        <v>1E-4</v>
      </c>
      <c r="AC8825">
        <v>8</v>
      </c>
      <c r="AD8825" s="5">
        <v>5.0509674075435766</v>
      </c>
      <c r="AE8825" s="5">
        <v>2.1962515674135852</v>
      </c>
      <c r="AF8825">
        <v>1</v>
      </c>
    </row>
    <row r="8826" spans="27:32" x14ac:dyDescent="0.3">
      <c r="AA8826" s="3">
        <v>21490.76</v>
      </c>
      <c r="AB8826">
        <v>1E-4</v>
      </c>
      <c r="AC8826">
        <v>8</v>
      </c>
      <c r="AD8826" s="5">
        <v>5.0074825867274138</v>
      </c>
      <c r="AE8826" s="5">
        <v>2.2297264992921475</v>
      </c>
      <c r="AF8826">
        <v>1</v>
      </c>
    </row>
    <row r="8827" spans="27:32" x14ac:dyDescent="0.3">
      <c r="AA8827" s="3">
        <v>9455.19</v>
      </c>
      <c r="AB8827">
        <v>1E-4</v>
      </c>
      <c r="AC8827">
        <v>8</v>
      </c>
      <c r="AD8827" s="5">
        <v>5.0707288651652531</v>
      </c>
      <c r="AE8827" s="5">
        <v>2.3548248381762789</v>
      </c>
      <c r="AF8827">
        <v>1</v>
      </c>
    </row>
    <row r="8828" spans="27:32" x14ac:dyDescent="0.3">
      <c r="AA8828" s="3">
        <v>36977.589999999997</v>
      </c>
      <c r="AB8828">
        <v>1E-4</v>
      </c>
      <c r="AC8828">
        <v>7</v>
      </c>
      <c r="AD8828" s="5">
        <v>5.0257012243756067</v>
      </c>
      <c r="AE8828" s="5">
        <v>2.1829797034508158</v>
      </c>
      <c r="AF8828">
        <v>1</v>
      </c>
    </row>
    <row r="8829" spans="27:32" x14ac:dyDescent="0.3">
      <c r="AA8829" s="3">
        <v>8488.4599999999991</v>
      </c>
      <c r="AB8829">
        <v>1E-4</v>
      </c>
      <c r="AC8829">
        <v>8</v>
      </c>
      <c r="AD8829" s="5">
        <v>5.0181464083761727</v>
      </c>
      <c r="AE8829" s="5">
        <v>2.3054815640945261</v>
      </c>
      <c r="AF8829">
        <v>1</v>
      </c>
    </row>
    <row r="8830" spans="27:32" x14ac:dyDescent="0.3">
      <c r="AA8830" s="3">
        <v>23503.759999999998</v>
      </c>
      <c r="AB8830">
        <v>1E-4</v>
      </c>
      <c r="AC8830">
        <v>8</v>
      </c>
      <c r="AD8830" s="5">
        <v>4.9573720276930704</v>
      </c>
      <c r="AE8830" s="5">
        <v>2.1800992429375219</v>
      </c>
      <c r="AF8830">
        <v>1</v>
      </c>
    </row>
    <row r="8831" spans="27:32" x14ac:dyDescent="0.3">
      <c r="AA8831" s="3">
        <v>22139.27</v>
      </c>
      <c r="AB8831">
        <v>1E-4</v>
      </c>
      <c r="AC8831">
        <v>8</v>
      </c>
      <c r="AD8831" s="5">
        <v>5.0514769498211702</v>
      </c>
      <c r="AE8831" s="5">
        <v>2.2111262322286156</v>
      </c>
      <c r="AF8831">
        <v>1</v>
      </c>
    </row>
    <row r="8832" spans="27:32" x14ac:dyDescent="0.3">
      <c r="AA8832" s="3">
        <v>-215.23</v>
      </c>
      <c r="AB8832">
        <v>1E-4</v>
      </c>
      <c r="AC8832">
        <v>9</v>
      </c>
      <c r="AD8832" s="5">
        <v>4.9266535803218972</v>
      </c>
      <c r="AE8832" s="5">
        <v>2.2083440694172705</v>
      </c>
      <c r="AF8832">
        <v>1</v>
      </c>
    </row>
    <row r="8833" spans="27:32" x14ac:dyDescent="0.3">
      <c r="AA8833" s="3">
        <v>15921.25</v>
      </c>
      <c r="AB8833">
        <v>1E-4</v>
      </c>
      <c r="AC8833">
        <v>8</v>
      </c>
      <c r="AD8833" s="5">
        <v>4.9914614104309081</v>
      </c>
      <c r="AE8833" s="5">
        <v>2.2765447567178776</v>
      </c>
      <c r="AF8833">
        <v>1</v>
      </c>
    </row>
    <row r="8834" spans="27:32" x14ac:dyDescent="0.3">
      <c r="AA8834" s="3">
        <v>10694.58</v>
      </c>
      <c r="AB8834">
        <v>1E-4</v>
      </c>
      <c r="AC8834">
        <v>8</v>
      </c>
      <c r="AD8834" s="5">
        <v>5.0396007548914339</v>
      </c>
      <c r="AE8834" s="5">
        <v>2.2394998223192606</v>
      </c>
      <c r="AF8834">
        <v>1</v>
      </c>
    </row>
    <row r="8835" spans="27:32" x14ac:dyDescent="0.3">
      <c r="AA8835" s="3">
        <v>33036.31</v>
      </c>
      <c r="AB8835">
        <v>1E-4</v>
      </c>
      <c r="AC8835">
        <v>7</v>
      </c>
      <c r="AD8835" s="5">
        <v>4.9123481495466681</v>
      </c>
      <c r="AE8835" s="5">
        <v>2.1143416465385183</v>
      </c>
      <c r="AF8835">
        <v>1</v>
      </c>
    </row>
    <row r="8836" spans="27:32" x14ac:dyDescent="0.3">
      <c r="AA8836" s="3">
        <v>36538.15</v>
      </c>
      <c r="AB8836">
        <v>1E-4</v>
      </c>
      <c r="AC8836">
        <v>7</v>
      </c>
      <c r="AD8836" s="5">
        <v>4.8379195735282918</v>
      </c>
      <c r="AE8836" s="5">
        <v>2.0761876736308267</v>
      </c>
      <c r="AF8836">
        <v>1</v>
      </c>
    </row>
    <row r="8837" spans="27:32" x14ac:dyDescent="0.3">
      <c r="AA8837" s="3">
        <v>19020.080000000002</v>
      </c>
      <c r="AB8837">
        <v>1E-4</v>
      </c>
      <c r="AC8837">
        <v>8</v>
      </c>
      <c r="AD8837" s="5">
        <v>5.181407745711236</v>
      </c>
      <c r="AE8837" s="5">
        <v>2.1946269667386531</v>
      </c>
      <c r="AF8837">
        <v>1</v>
      </c>
    </row>
    <row r="8838" spans="27:32" x14ac:dyDescent="0.3">
      <c r="AA8838" s="3">
        <v>26245.29</v>
      </c>
      <c r="AB8838">
        <v>1E-4</v>
      </c>
      <c r="AC8838">
        <v>8</v>
      </c>
      <c r="AD8838" s="5">
        <v>4.9317054545706167</v>
      </c>
      <c r="AE8838" s="5">
        <v>2.2196840208911528</v>
      </c>
      <c r="AF8838">
        <v>1</v>
      </c>
    </row>
    <row r="8839" spans="27:32" x14ac:dyDescent="0.3">
      <c r="AA8839" s="3">
        <v>49007.57</v>
      </c>
      <c r="AB8839">
        <v>1E-4</v>
      </c>
      <c r="AC8839">
        <v>6</v>
      </c>
      <c r="AD8839" s="5">
        <v>5.0471685696287878</v>
      </c>
      <c r="AE8839" s="5">
        <v>2.1255044184037284</v>
      </c>
      <c r="AF8839">
        <v>1</v>
      </c>
    </row>
    <row r="8840" spans="27:32" x14ac:dyDescent="0.3">
      <c r="AA8840" s="3">
        <v>29965.45</v>
      </c>
      <c r="AB8840">
        <v>1E-4</v>
      </c>
      <c r="AC8840">
        <v>8</v>
      </c>
      <c r="AD8840" s="5">
        <v>5.2030212216842777</v>
      </c>
      <c r="AE8840" s="5">
        <v>2.2466662919598619</v>
      </c>
      <c r="AF8840">
        <v>1</v>
      </c>
    </row>
    <row r="8841" spans="27:32" x14ac:dyDescent="0.3">
      <c r="AA8841" s="3">
        <v>20598.86</v>
      </c>
      <c r="AB8841">
        <v>1E-4</v>
      </c>
      <c r="AC8841">
        <v>8</v>
      </c>
      <c r="AD8841" s="5">
        <v>5.0895083141276292</v>
      </c>
      <c r="AE8841" s="5">
        <v>2.2192913360306088</v>
      </c>
      <c r="AF8841">
        <v>1</v>
      </c>
    </row>
    <row r="8842" spans="27:32" x14ac:dyDescent="0.3">
      <c r="AA8842" s="3">
        <v>38342.6</v>
      </c>
      <c r="AB8842">
        <v>1E-4</v>
      </c>
      <c r="AC8842">
        <v>7</v>
      </c>
      <c r="AD8842" s="5">
        <v>4.9508056992321761</v>
      </c>
      <c r="AE8842" s="5">
        <v>2.1387540433427805</v>
      </c>
      <c r="AF8842">
        <v>1</v>
      </c>
    </row>
    <row r="8843" spans="27:32" x14ac:dyDescent="0.3">
      <c r="AA8843" s="3">
        <v>-34220.222957981729</v>
      </c>
      <c r="AB8843">
        <v>1E-4</v>
      </c>
      <c r="AC8843">
        <v>9</v>
      </c>
      <c r="AD8843" s="5">
        <v>5.0049457119049343</v>
      </c>
      <c r="AE8843" s="5">
        <v>2.2819611119374428</v>
      </c>
      <c r="AF8843">
        <v>0</v>
      </c>
    </row>
    <row r="8844" spans="27:32" x14ac:dyDescent="0.3">
      <c r="AA8844" s="3">
        <v>14410.36</v>
      </c>
      <c r="AB8844">
        <v>1E-4</v>
      </c>
      <c r="AC8844">
        <v>8</v>
      </c>
      <c r="AD8844" s="5">
        <v>5.0007205232145706</v>
      </c>
      <c r="AE8844" s="5">
        <v>2.2011610595958397</v>
      </c>
      <c r="AF8844">
        <v>1</v>
      </c>
    </row>
    <row r="8845" spans="27:32" x14ac:dyDescent="0.3">
      <c r="AA8845" s="3">
        <v>-8446.99</v>
      </c>
      <c r="AB8845">
        <v>1E-4</v>
      </c>
      <c r="AC8845">
        <v>9</v>
      </c>
      <c r="AD8845" s="5">
        <v>4.8590917861526082</v>
      </c>
      <c r="AE8845" s="5">
        <v>2.2309574516002919</v>
      </c>
      <c r="AF8845">
        <v>1</v>
      </c>
    </row>
    <row r="8846" spans="27:32" x14ac:dyDescent="0.3">
      <c r="AA8846" s="3">
        <v>829.36</v>
      </c>
      <c r="AB8846">
        <v>1E-4</v>
      </c>
      <c r="AC8846">
        <v>8</v>
      </c>
      <c r="AD8846" s="5">
        <v>4.9267348551150016</v>
      </c>
      <c r="AE8846" s="5">
        <v>2.2695819206623895</v>
      </c>
      <c r="AF8846">
        <v>1</v>
      </c>
    </row>
    <row r="8847" spans="27:32" x14ac:dyDescent="0.3">
      <c r="AA8847" s="3">
        <v>22334.26</v>
      </c>
      <c r="AB8847">
        <v>1E-4</v>
      </c>
      <c r="AC8847">
        <v>8</v>
      </c>
      <c r="AD8847" s="5">
        <v>5.0518238789191772</v>
      </c>
      <c r="AE8847" s="5">
        <v>2.2245717773800187</v>
      </c>
      <c r="AF8847">
        <v>1</v>
      </c>
    </row>
    <row r="8848" spans="27:32" x14ac:dyDescent="0.3">
      <c r="AA8848" s="3">
        <v>25122.85</v>
      </c>
      <c r="AB8848">
        <v>1E-4</v>
      </c>
      <c r="AC8848">
        <v>8</v>
      </c>
      <c r="AD8848" s="5">
        <v>5.101753798340031</v>
      </c>
      <c r="AE8848" s="5">
        <v>2.151033458275895</v>
      </c>
      <c r="AF8848">
        <v>1</v>
      </c>
    </row>
    <row r="8849" spans="27:32" x14ac:dyDescent="0.3">
      <c r="AA8849" s="3">
        <v>18912.009999999998</v>
      </c>
      <c r="AB8849">
        <v>1E-4</v>
      </c>
      <c r="AC8849">
        <v>8</v>
      </c>
      <c r="AD8849" s="5">
        <v>5.0572584426841694</v>
      </c>
      <c r="AE8849" s="5">
        <v>2.2434460581551021</v>
      </c>
      <c r="AF8849">
        <v>1</v>
      </c>
    </row>
    <row r="8850" spans="27:32" x14ac:dyDescent="0.3">
      <c r="AA8850" s="3">
        <v>2621.88</v>
      </c>
      <c r="AB8850">
        <v>1E-4</v>
      </c>
      <c r="AC8850">
        <v>8</v>
      </c>
      <c r="AD8850" s="5">
        <v>4.8459418519356259</v>
      </c>
      <c r="AE8850" s="5">
        <v>2.156154518579831</v>
      </c>
      <c r="AF8850">
        <v>1</v>
      </c>
    </row>
    <row r="8851" spans="27:32" x14ac:dyDescent="0.3">
      <c r="AA8851" s="3">
        <v>19606.689999999999</v>
      </c>
      <c r="AB8851">
        <v>1E-4</v>
      </c>
      <c r="AC8851">
        <v>8</v>
      </c>
      <c r="AD8851" s="5">
        <v>5.0944665474886097</v>
      </c>
      <c r="AE8851" s="5">
        <v>2.1425355334613978</v>
      </c>
      <c r="AF8851">
        <v>1</v>
      </c>
    </row>
    <row r="8852" spans="27:32" x14ac:dyDescent="0.3">
      <c r="AA8852" s="3">
        <v>12041.22</v>
      </c>
      <c r="AB8852">
        <v>1E-4</v>
      </c>
      <c r="AC8852">
        <v>8</v>
      </c>
      <c r="AD8852" s="5">
        <v>4.8910152432149845</v>
      </c>
      <c r="AE8852" s="5">
        <v>2.2342216754057271</v>
      </c>
      <c r="AF8852">
        <v>1</v>
      </c>
    </row>
    <row r="8853" spans="27:32" x14ac:dyDescent="0.3">
      <c r="AA8853" s="3">
        <v>9338.43</v>
      </c>
      <c r="AB8853">
        <v>1E-4</v>
      </c>
      <c r="AC8853">
        <v>8</v>
      </c>
      <c r="AD8853" s="5">
        <v>4.9504848916512545</v>
      </c>
      <c r="AE8853" s="5">
        <v>2.2400801547943034</v>
      </c>
      <c r="AF8853">
        <v>1</v>
      </c>
    </row>
    <row r="8854" spans="27:32" x14ac:dyDescent="0.3">
      <c r="AA8854" s="3">
        <v>25444.82</v>
      </c>
      <c r="AB8854">
        <v>1E-4</v>
      </c>
      <c r="AC8854">
        <v>8</v>
      </c>
      <c r="AD8854" s="5">
        <v>5.1169639191565937</v>
      </c>
      <c r="AE8854" s="5">
        <v>2.2313788287456191</v>
      </c>
      <c r="AF8854">
        <v>1</v>
      </c>
    </row>
    <row r="8855" spans="27:32" x14ac:dyDescent="0.3">
      <c r="AA8855" s="3">
        <v>22628.76</v>
      </c>
      <c r="AB8855">
        <v>1E-4</v>
      </c>
      <c r="AC8855">
        <v>8</v>
      </c>
      <c r="AD8855" s="5">
        <v>5.0732805869855371</v>
      </c>
      <c r="AE8855" s="5">
        <v>2.2514402746293527</v>
      </c>
      <c r="AF8855">
        <v>1</v>
      </c>
    </row>
    <row r="8856" spans="27:32" x14ac:dyDescent="0.3">
      <c r="AA8856" s="3">
        <v>-5278.03</v>
      </c>
      <c r="AB8856">
        <v>1E-4</v>
      </c>
      <c r="AC8856">
        <v>9</v>
      </c>
      <c r="AD8856" s="5">
        <v>5.0169612858303259</v>
      </c>
      <c r="AE8856" s="5">
        <v>2.2374490790461992</v>
      </c>
      <c r="AF8856">
        <v>1</v>
      </c>
    </row>
    <row r="8857" spans="27:32" x14ac:dyDescent="0.3">
      <c r="AA8857" s="3">
        <v>4883.2700000000004</v>
      </c>
      <c r="AB8857">
        <v>1E-4</v>
      </c>
      <c r="AC8857">
        <v>8</v>
      </c>
      <c r="AD8857" s="5">
        <v>5.0520545914951196</v>
      </c>
      <c r="AE8857" s="5">
        <v>2.1968459432156591</v>
      </c>
      <c r="AF8857">
        <v>1</v>
      </c>
    </row>
    <row r="8858" spans="27:32" x14ac:dyDescent="0.3">
      <c r="AA8858" s="3">
        <v>26702.79</v>
      </c>
      <c r="AB8858">
        <v>1E-4</v>
      </c>
      <c r="AC8858">
        <v>8</v>
      </c>
      <c r="AD8858" s="5">
        <v>4.9753621886418156</v>
      </c>
      <c r="AE8858" s="5">
        <v>2.1987139150316839</v>
      </c>
      <c r="AF8858">
        <v>1</v>
      </c>
    </row>
    <row r="8859" spans="27:32" x14ac:dyDescent="0.3">
      <c r="AA8859" s="3">
        <v>20969.830000000002</v>
      </c>
      <c r="AB8859">
        <v>1E-4</v>
      </c>
      <c r="AC8859">
        <v>8</v>
      </c>
      <c r="AD8859" s="5">
        <v>4.974248678326493</v>
      </c>
      <c r="AE8859" s="5">
        <v>2.2234771293302535</v>
      </c>
      <c r="AF8859">
        <v>1</v>
      </c>
    </row>
    <row r="8860" spans="27:32" x14ac:dyDescent="0.3">
      <c r="AA8860" s="3">
        <v>12379.51</v>
      </c>
      <c r="AB8860">
        <v>1E-4</v>
      </c>
      <c r="AC8860">
        <v>8</v>
      </c>
      <c r="AD8860" s="5">
        <v>5.0103746780476568</v>
      </c>
      <c r="AE8860" s="5">
        <v>2.1137605604406127</v>
      </c>
      <c r="AF8860">
        <v>1</v>
      </c>
    </row>
    <row r="8861" spans="27:32" x14ac:dyDescent="0.3">
      <c r="AA8861" s="3">
        <v>11579.85</v>
      </c>
      <c r="AB8861">
        <v>1E-4</v>
      </c>
      <c r="AC8861">
        <v>8</v>
      </c>
      <c r="AD8861" s="5">
        <v>5.1392779699646303</v>
      </c>
      <c r="AE8861" s="5">
        <v>2.2515208483446854</v>
      </c>
      <c r="AF8861">
        <v>1</v>
      </c>
    </row>
    <row r="8862" spans="27:32" x14ac:dyDescent="0.3">
      <c r="AA8862" s="3">
        <v>49895.34</v>
      </c>
      <c r="AB8862">
        <v>1E-4</v>
      </c>
      <c r="AC8862">
        <v>7</v>
      </c>
      <c r="AD8862" s="5">
        <v>5.2131502550097357</v>
      </c>
      <c r="AE8862" s="5">
        <v>2.1810077905331902</v>
      </c>
      <c r="AF8862">
        <v>1</v>
      </c>
    </row>
    <row r="8863" spans="27:32" x14ac:dyDescent="0.3">
      <c r="AA8863" s="3">
        <v>14247.64</v>
      </c>
      <c r="AB8863">
        <v>1E-4</v>
      </c>
      <c r="AC8863">
        <v>8</v>
      </c>
      <c r="AD8863" s="5">
        <v>5.0773032524880755</v>
      </c>
      <c r="AE8863" s="5">
        <v>2.1953129748186999</v>
      </c>
      <c r="AF8863">
        <v>1</v>
      </c>
    </row>
    <row r="8864" spans="27:32" x14ac:dyDescent="0.3">
      <c r="AA8864" s="3">
        <v>6833.77</v>
      </c>
      <c r="AB8864">
        <v>1E-4</v>
      </c>
      <c r="AC8864">
        <v>8</v>
      </c>
      <c r="AD8864" s="5">
        <v>4.9509637015447492</v>
      </c>
      <c r="AE8864" s="5">
        <v>2.201731438370071</v>
      </c>
      <c r="AF8864">
        <v>1</v>
      </c>
    </row>
    <row r="8865" spans="27:32" x14ac:dyDescent="0.3">
      <c r="AA8865" s="3">
        <v>-40165.102505297</v>
      </c>
      <c r="AB8865">
        <v>1E-4</v>
      </c>
      <c r="AC8865">
        <v>9</v>
      </c>
      <c r="AD8865" s="5">
        <v>5.0163288584389321</v>
      </c>
      <c r="AE8865" s="5">
        <v>2.2192377678400295</v>
      </c>
      <c r="AF8865">
        <v>0</v>
      </c>
    </row>
    <row r="8866" spans="27:32" x14ac:dyDescent="0.3">
      <c r="AA8866" s="3">
        <v>14778.01</v>
      </c>
      <c r="AB8866">
        <v>1E-4</v>
      </c>
      <c r="AC8866">
        <v>8</v>
      </c>
      <c r="AD8866" s="5">
        <v>4.9538943904421204</v>
      </c>
      <c r="AE8866" s="5">
        <v>2.1751123599362376</v>
      </c>
      <c r="AF8866">
        <v>1</v>
      </c>
    </row>
    <row r="8867" spans="27:32" x14ac:dyDescent="0.3">
      <c r="AA8867" s="3">
        <v>20338.580000000002</v>
      </c>
      <c r="AB8867">
        <v>1E-4</v>
      </c>
      <c r="AC8867">
        <v>8</v>
      </c>
      <c r="AD8867" s="5">
        <v>4.9613605195033932</v>
      </c>
      <c r="AE8867" s="5">
        <v>2.2360069194261212</v>
      </c>
      <c r="AF8867">
        <v>1</v>
      </c>
    </row>
    <row r="8868" spans="27:32" x14ac:dyDescent="0.3">
      <c r="AA8868" s="3">
        <v>6157.13</v>
      </c>
      <c r="AB8868">
        <v>1E-4</v>
      </c>
      <c r="AC8868">
        <v>8</v>
      </c>
      <c r="AD8868" s="5">
        <v>4.9549064391761863</v>
      </c>
      <c r="AE8868" s="5">
        <v>2.1902482774798853</v>
      </c>
      <c r="AF8868">
        <v>1</v>
      </c>
    </row>
    <row r="8869" spans="27:32" x14ac:dyDescent="0.3">
      <c r="AA8869" s="3">
        <v>32906.379999999997</v>
      </c>
      <c r="AB8869">
        <v>1E-4</v>
      </c>
      <c r="AC8869">
        <v>7</v>
      </c>
      <c r="AD8869" s="5">
        <v>5.1136723918375795</v>
      </c>
      <c r="AE8869" s="5">
        <v>2.1775364721142743</v>
      </c>
      <c r="AF8869">
        <v>1</v>
      </c>
    </row>
    <row r="8870" spans="27:32" x14ac:dyDescent="0.3">
      <c r="AA8870" s="3">
        <v>33320.94</v>
      </c>
      <c r="AB8870">
        <v>1E-4</v>
      </c>
      <c r="AC8870">
        <v>7</v>
      </c>
      <c r="AD8870" s="5">
        <v>5.0387214144178554</v>
      </c>
      <c r="AE8870" s="5">
        <v>2.1781742035815168</v>
      </c>
      <c r="AF8870">
        <v>1</v>
      </c>
    </row>
    <row r="8871" spans="27:32" x14ac:dyDescent="0.3">
      <c r="AA8871" s="3">
        <v>-22571.280217689928</v>
      </c>
      <c r="AB8871">
        <v>1E-4</v>
      </c>
      <c r="AC8871">
        <v>9</v>
      </c>
      <c r="AD8871" s="5">
        <v>5.0670410894121432</v>
      </c>
      <c r="AE8871" s="5">
        <v>2.2567551934043961</v>
      </c>
      <c r="AF8871">
        <v>0</v>
      </c>
    </row>
    <row r="8872" spans="27:32" x14ac:dyDescent="0.3">
      <c r="AA8872" s="3">
        <v>25961.46</v>
      </c>
      <c r="AB8872">
        <v>1E-4</v>
      </c>
      <c r="AC8872">
        <v>8</v>
      </c>
      <c r="AD8872" s="5">
        <v>5.0535495680380098</v>
      </c>
      <c r="AE8872" s="5">
        <v>2.2732371839507244</v>
      </c>
      <c r="AF8872">
        <v>1</v>
      </c>
    </row>
    <row r="8873" spans="27:32" x14ac:dyDescent="0.3">
      <c r="AA8873" s="3">
        <v>-9685.4856573885118</v>
      </c>
      <c r="AB8873">
        <v>1E-4</v>
      </c>
      <c r="AC8873">
        <v>8</v>
      </c>
      <c r="AD8873" s="5">
        <v>4.9642677660387768</v>
      </c>
      <c r="AE8873" s="5">
        <v>2.1539376348651964</v>
      </c>
      <c r="AF8873">
        <v>0</v>
      </c>
    </row>
    <row r="8874" spans="27:32" x14ac:dyDescent="0.3">
      <c r="AA8874" s="3">
        <v>13678.67</v>
      </c>
      <c r="AB8874">
        <v>1E-4</v>
      </c>
      <c r="AC8874">
        <v>8</v>
      </c>
      <c r="AD8874" s="5">
        <v>5.0707624191209488</v>
      </c>
      <c r="AE8874" s="5">
        <v>2.210618986510188</v>
      </c>
      <c r="AF8874">
        <v>1</v>
      </c>
    </row>
    <row r="8875" spans="27:32" x14ac:dyDescent="0.3">
      <c r="AA8875" s="3">
        <v>-5568.67</v>
      </c>
      <c r="AB8875">
        <v>1E-4</v>
      </c>
      <c r="AC8875">
        <v>9</v>
      </c>
      <c r="AD8875" s="5">
        <v>4.9634319228084287</v>
      </c>
      <c r="AE8875" s="5">
        <v>2.2084432832679326</v>
      </c>
      <c r="AF8875">
        <v>1</v>
      </c>
    </row>
    <row r="8876" spans="27:32" x14ac:dyDescent="0.3">
      <c r="AA8876" s="3">
        <v>57374.74</v>
      </c>
      <c r="AB8876">
        <v>1E-4</v>
      </c>
      <c r="AC8876">
        <v>6</v>
      </c>
      <c r="AD8876" s="5">
        <v>5.2075257157519612</v>
      </c>
      <c r="AE8876" s="5">
        <v>2.1725377193992115</v>
      </c>
      <c r="AF8876">
        <v>1</v>
      </c>
    </row>
    <row r="8877" spans="27:32" x14ac:dyDescent="0.3">
      <c r="AA8877" s="3">
        <v>26097.07</v>
      </c>
      <c r="AB8877">
        <v>1E-4</v>
      </c>
      <c r="AC8877">
        <v>8</v>
      </c>
      <c r="AD8877" s="5">
        <v>5.1046914149794613</v>
      </c>
      <c r="AE8877" s="5">
        <v>2.2843751925566833</v>
      </c>
      <c r="AF8877">
        <v>1</v>
      </c>
    </row>
    <row r="8878" spans="27:32" x14ac:dyDescent="0.3">
      <c r="AA8878" s="3">
        <v>7053.86</v>
      </c>
      <c r="AB8878">
        <v>1E-4</v>
      </c>
      <c r="AC8878">
        <v>8</v>
      </c>
      <c r="AD8878" s="5">
        <v>4.9811209651746902</v>
      </c>
      <c r="AE8878" s="5">
        <v>2.2020906959030766</v>
      </c>
      <c r="AF8878">
        <v>1</v>
      </c>
    </row>
    <row r="8879" spans="27:32" x14ac:dyDescent="0.3">
      <c r="AA8879" s="3">
        <v>12772.35</v>
      </c>
      <c r="AB8879">
        <v>1E-4</v>
      </c>
      <c r="AC8879">
        <v>8</v>
      </c>
      <c r="AD8879" s="5">
        <v>5.1665018527863324</v>
      </c>
      <c r="AE8879" s="5">
        <v>2.2794880381307618</v>
      </c>
      <c r="AF8879">
        <v>1</v>
      </c>
    </row>
    <row r="8880" spans="27:32" x14ac:dyDescent="0.3">
      <c r="AA8880" s="3">
        <v>6937.76</v>
      </c>
      <c r="AB8880">
        <v>1E-4</v>
      </c>
      <c r="AC8880">
        <v>8</v>
      </c>
      <c r="AD8880" s="5">
        <v>4.9985438658391192</v>
      </c>
      <c r="AE8880" s="5">
        <v>2.1704592156373033</v>
      </c>
      <c r="AF8880">
        <v>1</v>
      </c>
    </row>
    <row r="8881" spans="27:32" x14ac:dyDescent="0.3">
      <c r="AA8881" s="3">
        <v>-6173.1</v>
      </c>
      <c r="AB8881">
        <v>1E-4</v>
      </c>
      <c r="AC8881">
        <v>9</v>
      </c>
      <c r="AD8881" s="5">
        <v>4.9300725954034474</v>
      </c>
      <c r="AE8881" s="5">
        <v>2.1997665797313002</v>
      </c>
      <c r="AF8881">
        <v>1</v>
      </c>
    </row>
    <row r="8882" spans="27:32" x14ac:dyDescent="0.3">
      <c r="AA8882" s="3">
        <v>53382.9</v>
      </c>
      <c r="AB8882">
        <v>1E-4</v>
      </c>
      <c r="AC8882">
        <v>6</v>
      </c>
      <c r="AD8882" s="5">
        <v>5.0086619904535539</v>
      </c>
      <c r="AE8882" s="5">
        <v>2.178398841038454</v>
      </c>
      <c r="AF8882">
        <v>1</v>
      </c>
    </row>
    <row r="8883" spans="27:32" x14ac:dyDescent="0.3">
      <c r="AA8883" s="3">
        <v>10272.35</v>
      </c>
      <c r="AB8883">
        <v>1E-4</v>
      </c>
      <c r="AC8883">
        <v>8</v>
      </c>
      <c r="AD8883" s="5">
        <v>5.0178002297790556</v>
      </c>
      <c r="AE8883" s="5">
        <v>2.2302398773774073</v>
      </c>
      <c r="AF8883">
        <v>1</v>
      </c>
    </row>
    <row r="8884" spans="27:32" x14ac:dyDescent="0.3">
      <c r="AA8884" s="3">
        <v>5613.7</v>
      </c>
      <c r="AB8884">
        <v>1E-4</v>
      </c>
      <c r="AC8884">
        <v>8</v>
      </c>
      <c r="AD8884" s="5">
        <v>4.7280605245024265</v>
      </c>
      <c r="AE8884" s="5">
        <v>2.1743411493844849</v>
      </c>
      <c r="AF8884">
        <v>1</v>
      </c>
    </row>
    <row r="8885" spans="27:32" x14ac:dyDescent="0.3">
      <c r="AA8885" s="3">
        <v>-2691.38</v>
      </c>
      <c r="AB8885">
        <v>1E-4</v>
      </c>
      <c r="AC8885">
        <v>9</v>
      </c>
      <c r="AD8885" s="5">
        <v>4.9601307076676839</v>
      </c>
      <c r="AE8885" s="5">
        <v>2.2605213591060349</v>
      </c>
      <c r="AF8885">
        <v>1</v>
      </c>
    </row>
    <row r="8886" spans="27:32" x14ac:dyDescent="0.3">
      <c r="AA8886" s="3">
        <v>-706.8</v>
      </c>
      <c r="AB8886">
        <v>1E-4</v>
      </c>
      <c r="AC8886">
        <v>9</v>
      </c>
      <c r="AD8886" s="5">
        <v>4.8748241581206564</v>
      </c>
      <c r="AE8886" s="5">
        <v>2.1404403809675028</v>
      </c>
      <c r="AF8886">
        <v>1</v>
      </c>
    </row>
    <row r="8887" spans="27:32" x14ac:dyDescent="0.3">
      <c r="AA8887" s="3">
        <v>7805.1</v>
      </c>
      <c r="AB8887">
        <v>1E-4</v>
      </c>
      <c r="AC8887">
        <v>8</v>
      </c>
      <c r="AD8887" s="5">
        <v>5.0796220525735585</v>
      </c>
      <c r="AE8887" s="5">
        <v>2.1950698975347884</v>
      </c>
      <c r="AF8887">
        <v>1</v>
      </c>
    </row>
    <row r="8888" spans="27:32" x14ac:dyDescent="0.3">
      <c r="AA8888" s="3">
        <v>-7061.53</v>
      </c>
      <c r="AB8888">
        <v>1E-4</v>
      </c>
      <c r="AC8888">
        <v>9</v>
      </c>
      <c r="AD8888" s="5">
        <v>4.8879133203100702</v>
      </c>
      <c r="AE8888" s="5">
        <v>2.2508607424567764</v>
      </c>
      <c r="AF8888">
        <v>1</v>
      </c>
    </row>
    <row r="8889" spans="27:32" x14ac:dyDescent="0.3">
      <c r="AA8889" s="3">
        <v>35709.86</v>
      </c>
      <c r="AB8889">
        <v>1E-4</v>
      </c>
      <c r="AC8889">
        <v>7</v>
      </c>
      <c r="AD8889" s="5">
        <v>5.0078113763980738</v>
      </c>
      <c r="AE8889" s="5">
        <v>2.1986867712632141</v>
      </c>
      <c r="AF8889">
        <v>1</v>
      </c>
    </row>
    <row r="8890" spans="27:32" x14ac:dyDescent="0.3">
      <c r="AA8890" s="3">
        <v>36151.370000000003</v>
      </c>
      <c r="AB8890">
        <v>1E-4</v>
      </c>
      <c r="AC8890">
        <v>7</v>
      </c>
      <c r="AD8890" s="5">
        <v>5.1129710671739588</v>
      </c>
      <c r="AE8890" s="5">
        <v>2.1440213504645795</v>
      </c>
      <c r="AF8890">
        <v>1</v>
      </c>
    </row>
    <row r="8891" spans="27:32" x14ac:dyDescent="0.3">
      <c r="AA8891" s="3">
        <v>8554.92</v>
      </c>
      <c r="AB8891">
        <v>1E-4</v>
      </c>
      <c r="AC8891">
        <v>8</v>
      </c>
      <c r="AD8891" s="5">
        <v>5.0067615200144422</v>
      </c>
      <c r="AE8891" s="5">
        <v>2.1964231958043183</v>
      </c>
      <c r="AF8891">
        <v>1</v>
      </c>
    </row>
    <row r="8892" spans="27:32" x14ac:dyDescent="0.3">
      <c r="AA8892" s="3">
        <v>9586.83</v>
      </c>
      <c r="AB8892">
        <v>1E-4</v>
      </c>
      <c r="AC8892">
        <v>8</v>
      </c>
      <c r="AD8892" s="5">
        <v>4.9055617762461985</v>
      </c>
      <c r="AE8892" s="5">
        <v>2.2353150388282441</v>
      </c>
      <c r="AF8892">
        <v>1</v>
      </c>
    </row>
    <row r="8893" spans="27:32" x14ac:dyDescent="0.3">
      <c r="AA8893" s="3">
        <v>13531.12</v>
      </c>
      <c r="AB8893">
        <v>1E-4</v>
      </c>
      <c r="AC8893">
        <v>8</v>
      </c>
      <c r="AD8893" s="5">
        <v>5.0087606925900747</v>
      </c>
      <c r="AE8893" s="5">
        <v>2.2299944168003334</v>
      </c>
      <c r="AF8893">
        <v>1</v>
      </c>
    </row>
    <row r="8894" spans="27:32" x14ac:dyDescent="0.3">
      <c r="AA8894" s="3">
        <v>-12040.36</v>
      </c>
      <c r="AB8894">
        <v>1E-4</v>
      </c>
      <c r="AC8894">
        <v>9</v>
      </c>
      <c r="AD8894" s="5">
        <v>4.8237758340371668</v>
      </c>
      <c r="AE8894" s="5">
        <v>2.2265106584693952</v>
      </c>
      <c r="AF8894">
        <v>1</v>
      </c>
    </row>
    <row r="8895" spans="27:32" x14ac:dyDescent="0.3">
      <c r="AA8895" s="3">
        <v>35313.01</v>
      </c>
      <c r="AB8895">
        <v>1E-4</v>
      </c>
      <c r="AC8895">
        <v>7</v>
      </c>
      <c r="AD8895" s="5">
        <v>4.9875017813112175</v>
      </c>
      <c r="AE8895" s="5">
        <v>2.1010666767727688</v>
      </c>
      <c r="AF8895">
        <v>1</v>
      </c>
    </row>
    <row r="8896" spans="27:32" x14ac:dyDescent="0.3">
      <c r="AA8896" s="3">
        <v>33615.269999999997</v>
      </c>
      <c r="AB8896">
        <v>1E-4</v>
      </c>
      <c r="AC8896">
        <v>7</v>
      </c>
      <c r="AD8896" s="5">
        <v>4.9618751195337918</v>
      </c>
      <c r="AE8896" s="5">
        <v>2.2252531979331516</v>
      </c>
      <c r="AF8896">
        <v>1</v>
      </c>
    </row>
    <row r="8897" spans="27:32" x14ac:dyDescent="0.3">
      <c r="AA8897" s="3">
        <v>26410.04</v>
      </c>
      <c r="AB8897">
        <v>1E-4</v>
      </c>
      <c r="AC8897">
        <v>8</v>
      </c>
      <c r="AD8897" s="5">
        <v>5.0757695573406298</v>
      </c>
      <c r="AE8897" s="5">
        <v>2.1713215930998455</v>
      </c>
      <c r="AF8897">
        <v>1</v>
      </c>
    </row>
    <row r="8898" spans="27:32" x14ac:dyDescent="0.3">
      <c r="AA8898" s="3">
        <v>7946.51</v>
      </c>
      <c r="AB8898">
        <v>1E-4</v>
      </c>
      <c r="AC8898">
        <v>8</v>
      </c>
      <c r="AD8898" s="5">
        <v>4.9206900264843449</v>
      </c>
      <c r="AE8898" s="5">
        <v>2.1717612340269876</v>
      </c>
      <c r="AF8898">
        <v>1</v>
      </c>
    </row>
    <row r="8899" spans="27:32" x14ac:dyDescent="0.3">
      <c r="AA8899" s="3">
        <v>-3337.41</v>
      </c>
      <c r="AB8899">
        <v>1E-4</v>
      </c>
      <c r="AC8899">
        <v>9</v>
      </c>
      <c r="AD8899" s="5">
        <v>4.9621616080417983</v>
      </c>
      <c r="AE8899" s="5">
        <v>2.1035104875785531</v>
      </c>
      <c r="AF8899">
        <v>1</v>
      </c>
    </row>
    <row r="8900" spans="27:32" x14ac:dyDescent="0.3">
      <c r="AA8900" s="3">
        <v>-1738.51</v>
      </c>
      <c r="AB8900">
        <v>1E-4</v>
      </c>
      <c r="AC8900">
        <v>9</v>
      </c>
      <c r="AD8900" s="5">
        <v>4.9443421042759832</v>
      </c>
      <c r="AE8900" s="5">
        <v>2.1383145350514523</v>
      </c>
      <c r="AF8900">
        <v>1</v>
      </c>
    </row>
    <row r="8901" spans="27:32" x14ac:dyDescent="0.3">
      <c r="AA8901" s="3">
        <v>-3476.37</v>
      </c>
      <c r="AB8901">
        <v>1E-4</v>
      </c>
      <c r="AC8901">
        <v>9</v>
      </c>
      <c r="AD8901" s="5">
        <v>5.0162053216949234</v>
      </c>
      <c r="AE8901" s="5">
        <v>2.1712633717618606</v>
      </c>
      <c r="AF8901">
        <v>1</v>
      </c>
    </row>
    <row r="8902" spans="27:32" x14ac:dyDescent="0.3">
      <c r="AA8902" s="3">
        <v>28331.66</v>
      </c>
      <c r="AB8902">
        <v>1E-4</v>
      </c>
      <c r="AC8902">
        <v>7</v>
      </c>
      <c r="AD8902" s="5">
        <v>5.0186185929452769</v>
      </c>
      <c r="AE8902" s="5">
        <v>2.1851137698835039</v>
      </c>
      <c r="AF8902">
        <v>1</v>
      </c>
    </row>
    <row r="8903" spans="27:32" x14ac:dyDescent="0.3">
      <c r="AA8903" s="3">
        <v>16457.39</v>
      </c>
      <c r="AB8903">
        <v>1E-4</v>
      </c>
      <c r="AC8903">
        <v>8</v>
      </c>
      <c r="AD8903" s="5">
        <v>4.9452448695071407</v>
      </c>
      <c r="AE8903" s="5">
        <v>2.2032812647372522</v>
      </c>
      <c r="AF8903">
        <v>1</v>
      </c>
    </row>
    <row r="8904" spans="27:32" x14ac:dyDescent="0.3">
      <c r="AA8904" s="3">
        <v>6862.17</v>
      </c>
      <c r="AB8904">
        <v>1E-4</v>
      </c>
      <c r="AC8904">
        <v>8</v>
      </c>
      <c r="AD8904" s="5">
        <v>4.9866970890795521</v>
      </c>
      <c r="AE8904" s="5">
        <v>2.2083674028731015</v>
      </c>
      <c r="AF8904">
        <v>1</v>
      </c>
    </row>
    <row r="8905" spans="27:32" x14ac:dyDescent="0.3">
      <c r="AA8905" s="3">
        <v>12700.78</v>
      </c>
      <c r="AB8905">
        <v>1E-4</v>
      </c>
      <c r="AC8905">
        <v>8</v>
      </c>
      <c r="AD8905" s="5">
        <v>5.025193391706944</v>
      </c>
      <c r="AE8905" s="5">
        <v>2.2194063391235956</v>
      </c>
      <c r="AF8905">
        <v>1</v>
      </c>
    </row>
    <row r="8906" spans="27:32" x14ac:dyDescent="0.3">
      <c r="AA8906" s="3">
        <v>8845.1</v>
      </c>
      <c r="AB8906">
        <v>1E-4</v>
      </c>
      <c r="AC8906">
        <v>8</v>
      </c>
      <c r="AD8906" s="5">
        <v>5.0078117689786774</v>
      </c>
      <c r="AE8906" s="5">
        <v>2.2050266037229154</v>
      </c>
      <c r="AF8906">
        <v>1</v>
      </c>
    </row>
    <row r="8907" spans="27:32" x14ac:dyDescent="0.3">
      <c r="AA8907" s="3">
        <v>-6475.15</v>
      </c>
      <c r="AB8907">
        <v>1E-4</v>
      </c>
      <c r="AC8907">
        <v>9</v>
      </c>
      <c r="AD8907" s="5">
        <v>4.8378131422053601</v>
      </c>
      <c r="AE8907" s="5">
        <v>2.2490626122464934</v>
      </c>
      <c r="AF8907">
        <v>1</v>
      </c>
    </row>
    <row r="8908" spans="27:32" x14ac:dyDescent="0.3">
      <c r="AA8908" s="3">
        <v>58995.61</v>
      </c>
      <c r="AB8908">
        <v>1E-4</v>
      </c>
      <c r="AC8908">
        <v>6</v>
      </c>
      <c r="AD8908" s="5">
        <v>5.1391034632648038</v>
      </c>
      <c r="AE8908" s="5">
        <v>2.2187895785578315</v>
      </c>
      <c r="AF8908">
        <v>1</v>
      </c>
    </row>
    <row r="8909" spans="27:32" x14ac:dyDescent="0.3">
      <c r="AA8909" s="3">
        <v>30292.48</v>
      </c>
      <c r="AB8909">
        <v>1E-4</v>
      </c>
      <c r="AC8909">
        <v>7</v>
      </c>
      <c r="AD8909" s="5">
        <v>5.2495813332477548</v>
      </c>
      <c r="AE8909" s="5">
        <v>2.2192134369646368</v>
      </c>
      <c r="AF8909">
        <v>1</v>
      </c>
    </row>
    <row r="8910" spans="27:32" x14ac:dyDescent="0.3">
      <c r="AA8910" s="3">
        <v>30386.92</v>
      </c>
      <c r="AB8910">
        <v>1E-4</v>
      </c>
      <c r="AC8910">
        <v>7</v>
      </c>
      <c r="AD8910" s="5">
        <v>4.9130335538835732</v>
      </c>
      <c r="AE8910" s="5">
        <v>2.0993098707997802</v>
      </c>
      <c r="AF8910">
        <v>1</v>
      </c>
    </row>
    <row r="8911" spans="27:32" x14ac:dyDescent="0.3">
      <c r="AA8911" s="3">
        <v>5188.29</v>
      </c>
      <c r="AB8911">
        <v>1E-4</v>
      </c>
      <c r="AC8911">
        <v>8</v>
      </c>
      <c r="AD8911" s="5">
        <v>4.9237790868318205</v>
      </c>
      <c r="AE8911" s="5">
        <v>2.2242759083925896</v>
      </c>
      <c r="AF8911">
        <v>1</v>
      </c>
    </row>
    <row r="8912" spans="27:32" x14ac:dyDescent="0.3">
      <c r="AA8912" s="3">
        <v>18367.689999999999</v>
      </c>
      <c r="AB8912">
        <v>1E-4</v>
      </c>
      <c r="AC8912">
        <v>8</v>
      </c>
      <c r="AD8912" s="5">
        <v>5.0021236763489245</v>
      </c>
      <c r="AE8912" s="5">
        <v>2.2671730325216108</v>
      </c>
      <c r="AF8912">
        <v>1</v>
      </c>
    </row>
    <row r="8913" spans="27:32" x14ac:dyDescent="0.3">
      <c r="AA8913" s="3">
        <v>10683.27</v>
      </c>
      <c r="AB8913">
        <v>1E-4</v>
      </c>
      <c r="AC8913">
        <v>8</v>
      </c>
      <c r="AD8913" s="5">
        <v>4.9598638835888647</v>
      </c>
      <c r="AE8913" s="5">
        <v>2.3021935531836006</v>
      </c>
      <c r="AF8913">
        <v>1</v>
      </c>
    </row>
    <row r="8914" spans="27:32" x14ac:dyDescent="0.3">
      <c r="AA8914" s="3">
        <v>12785.3</v>
      </c>
      <c r="AB8914">
        <v>1E-4</v>
      </c>
      <c r="AC8914">
        <v>8</v>
      </c>
      <c r="AD8914" s="5">
        <v>5.0557510339175211</v>
      </c>
      <c r="AE8914" s="5">
        <v>2.2295188257432623</v>
      </c>
      <c r="AF8914">
        <v>1</v>
      </c>
    </row>
    <row r="8915" spans="27:32" x14ac:dyDescent="0.3">
      <c r="AA8915" s="3">
        <v>19675.52</v>
      </c>
      <c r="AB8915">
        <v>1E-4</v>
      </c>
      <c r="AC8915">
        <v>8</v>
      </c>
      <c r="AD8915" s="5">
        <v>4.9453503382315516</v>
      </c>
      <c r="AE8915" s="5">
        <v>2.248627461359872</v>
      </c>
      <c r="AF8915">
        <v>1</v>
      </c>
    </row>
    <row r="8916" spans="27:32" x14ac:dyDescent="0.3">
      <c r="AA8916" s="3">
        <v>25946.799999999999</v>
      </c>
      <c r="AB8916">
        <v>1E-4</v>
      </c>
      <c r="AC8916">
        <v>8</v>
      </c>
      <c r="AD8916" s="5">
        <v>5.0183189161953763</v>
      </c>
      <c r="AE8916" s="5">
        <v>2.2227489405824712</v>
      </c>
      <c r="AF8916">
        <v>1</v>
      </c>
    </row>
    <row r="8917" spans="27:32" x14ac:dyDescent="0.3">
      <c r="AA8917" s="3">
        <v>2811.89</v>
      </c>
      <c r="AB8917">
        <v>1E-4</v>
      </c>
      <c r="AC8917">
        <v>8</v>
      </c>
      <c r="AD8917" s="5">
        <v>4.9186983033344625</v>
      </c>
      <c r="AE8917" s="5">
        <v>2.1305525778701826</v>
      </c>
      <c r="AF8917">
        <v>1</v>
      </c>
    </row>
    <row r="8918" spans="27:32" x14ac:dyDescent="0.3">
      <c r="AA8918" s="3">
        <v>5053.99</v>
      </c>
      <c r="AB8918">
        <v>1E-4</v>
      </c>
      <c r="AC8918">
        <v>8</v>
      </c>
      <c r="AD8918" s="5">
        <v>4.8002405836035766</v>
      </c>
      <c r="AE8918" s="5">
        <v>2.2309775661042641</v>
      </c>
      <c r="AF8918">
        <v>1</v>
      </c>
    </row>
    <row r="8919" spans="27:32" x14ac:dyDescent="0.3">
      <c r="AA8919" s="3">
        <v>14401.16</v>
      </c>
      <c r="AB8919">
        <v>1E-4</v>
      </c>
      <c r="AC8919">
        <v>8</v>
      </c>
      <c r="AD8919" s="5">
        <v>4.8756540658221956</v>
      </c>
      <c r="AE8919" s="5">
        <v>2.1473607955080749</v>
      </c>
      <c r="AF8919">
        <v>1</v>
      </c>
    </row>
    <row r="8920" spans="27:32" x14ac:dyDescent="0.3">
      <c r="AA8920" s="3">
        <v>9164.0400000000009</v>
      </c>
      <c r="AB8920">
        <v>1E-4</v>
      </c>
      <c r="AC8920">
        <v>8</v>
      </c>
      <c r="AD8920" s="5">
        <v>5.0015210269531991</v>
      </c>
      <c r="AE8920" s="5">
        <v>2.1628207828979851</v>
      </c>
      <c r="AF8920">
        <v>1</v>
      </c>
    </row>
    <row r="8921" spans="27:32" x14ac:dyDescent="0.3">
      <c r="AA8921" s="3">
        <v>17888.91</v>
      </c>
      <c r="AB8921">
        <v>1E-4</v>
      </c>
      <c r="AC8921">
        <v>8</v>
      </c>
      <c r="AD8921" s="5">
        <v>4.9152342091784718</v>
      </c>
      <c r="AE8921" s="5">
        <v>2.1710167765679587</v>
      </c>
      <c r="AF8921">
        <v>1</v>
      </c>
    </row>
    <row r="8922" spans="27:32" x14ac:dyDescent="0.3">
      <c r="AA8922" s="3">
        <v>20469.64</v>
      </c>
      <c r="AB8922">
        <v>1E-4</v>
      </c>
      <c r="AC8922">
        <v>8</v>
      </c>
      <c r="AD8922" s="5">
        <v>5.0024981785267224</v>
      </c>
      <c r="AE8922" s="5">
        <v>2.1911421640427529</v>
      </c>
      <c r="AF8922">
        <v>1</v>
      </c>
    </row>
    <row r="8923" spans="27:32" x14ac:dyDescent="0.3">
      <c r="AA8923" s="3">
        <v>14053</v>
      </c>
      <c r="AB8923">
        <v>1E-4</v>
      </c>
      <c r="AC8923">
        <v>8</v>
      </c>
      <c r="AD8923" s="5">
        <v>5.1173537387288253</v>
      </c>
      <c r="AE8923" s="5">
        <v>2.1831976738410961</v>
      </c>
      <c r="AF8923">
        <v>1</v>
      </c>
    </row>
    <row r="8924" spans="27:32" x14ac:dyDescent="0.3">
      <c r="AA8924" s="3">
        <v>15293.86</v>
      </c>
      <c r="AB8924">
        <v>1E-4</v>
      </c>
      <c r="AC8924">
        <v>8</v>
      </c>
      <c r="AD8924" s="5">
        <v>4.9391417016157746</v>
      </c>
      <c r="AE8924" s="5">
        <v>2.2963941480920678</v>
      </c>
      <c r="AF8924">
        <v>1</v>
      </c>
    </row>
    <row r="8925" spans="27:32" x14ac:dyDescent="0.3">
      <c r="AA8925" s="3">
        <v>432.32</v>
      </c>
      <c r="AB8925">
        <v>1E-4</v>
      </c>
      <c r="AC8925">
        <v>8</v>
      </c>
      <c r="AD8925" s="5">
        <v>4.8800135518940877</v>
      </c>
      <c r="AE8925" s="5">
        <v>2.2578757687670796</v>
      </c>
      <c r="AF8925">
        <v>1</v>
      </c>
    </row>
    <row r="8926" spans="27:32" x14ac:dyDescent="0.3">
      <c r="AA8926" s="3">
        <v>28193.34</v>
      </c>
      <c r="AB8926">
        <v>1E-4</v>
      </c>
      <c r="AC8926">
        <v>8</v>
      </c>
      <c r="AD8926" s="5">
        <v>4.8517036714160744</v>
      </c>
      <c r="AE8926" s="5">
        <v>2.1886492036624565</v>
      </c>
      <c r="AF8926">
        <v>1</v>
      </c>
    </row>
    <row r="8927" spans="27:32" x14ac:dyDescent="0.3">
      <c r="AA8927" s="3">
        <v>14723.7</v>
      </c>
      <c r="AB8927">
        <v>1E-4</v>
      </c>
      <c r="AC8927">
        <v>8</v>
      </c>
      <c r="AD8927" s="5">
        <v>5.0991527908147329</v>
      </c>
      <c r="AE8927" s="5">
        <v>2.1825271041800214</v>
      </c>
      <c r="AF8927">
        <v>1</v>
      </c>
    </row>
    <row r="8928" spans="27:32" x14ac:dyDescent="0.3">
      <c r="AA8928" s="3">
        <v>20648.75</v>
      </c>
      <c r="AB8928">
        <v>1E-4</v>
      </c>
      <c r="AC8928">
        <v>8</v>
      </c>
      <c r="AD8928" s="5">
        <v>4.9304535503720297</v>
      </c>
      <c r="AE8928" s="5">
        <v>2.1369798913130409</v>
      </c>
      <c r="AF8928">
        <v>1</v>
      </c>
    </row>
    <row r="8929" spans="27:32" x14ac:dyDescent="0.3">
      <c r="AA8929" s="3">
        <v>13751.78</v>
      </c>
      <c r="AB8929">
        <v>1E-4</v>
      </c>
      <c r="AC8929">
        <v>8</v>
      </c>
      <c r="AD8929" s="5">
        <v>5.0403808321793759</v>
      </c>
      <c r="AE8929" s="5">
        <v>2.2443917050937112</v>
      </c>
      <c r="AF8929">
        <v>1</v>
      </c>
    </row>
    <row r="8930" spans="27:32" x14ac:dyDescent="0.3">
      <c r="AA8930" s="3">
        <v>29159.03</v>
      </c>
      <c r="AB8930">
        <v>1E-4</v>
      </c>
      <c r="AC8930">
        <v>8</v>
      </c>
      <c r="AD8930" s="5">
        <v>4.8346576915921951</v>
      </c>
      <c r="AE8930" s="5">
        <v>2.1276556879841348</v>
      </c>
      <c r="AF8930">
        <v>1</v>
      </c>
    </row>
    <row r="8931" spans="27:32" x14ac:dyDescent="0.3">
      <c r="AA8931" s="3">
        <v>-8432.3799999999992</v>
      </c>
      <c r="AB8931">
        <v>1E-4</v>
      </c>
      <c r="AC8931">
        <v>9</v>
      </c>
      <c r="AD8931" s="5">
        <v>4.9796875238538121</v>
      </c>
      <c r="AE8931" s="5">
        <v>2.2459781525722651</v>
      </c>
      <c r="AF8931">
        <v>1</v>
      </c>
    </row>
    <row r="8932" spans="27:32" x14ac:dyDescent="0.3">
      <c r="AA8932" s="3">
        <v>17567.29</v>
      </c>
      <c r="AB8932">
        <v>1E-4</v>
      </c>
      <c r="AC8932">
        <v>8</v>
      </c>
      <c r="AD8932" s="5">
        <v>5.0083060774482435</v>
      </c>
      <c r="AE8932" s="5">
        <v>2.2244071846938276</v>
      </c>
      <c r="AF8932">
        <v>1</v>
      </c>
    </row>
    <row r="8933" spans="27:32" x14ac:dyDescent="0.3">
      <c r="AA8933" s="3">
        <v>2401.38</v>
      </c>
      <c r="AB8933">
        <v>1E-4</v>
      </c>
      <c r="AC8933">
        <v>8</v>
      </c>
      <c r="AD8933" s="5">
        <v>5.0083045296105189</v>
      </c>
      <c r="AE8933" s="5">
        <v>2.1357321408335528</v>
      </c>
      <c r="AF8933">
        <v>1</v>
      </c>
    </row>
    <row r="8934" spans="27:32" x14ac:dyDescent="0.3">
      <c r="AA8934" s="3">
        <v>34599.78</v>
      </c>
      <c r="AB8934">
        <v>1E-4</v>
      </c>
      <c r="AC8934">
        <v>7</v>
      </c>
      <c r="AD8934" s="5">
        <v>5.0944340188560595</v>
      </c>
      <c r="AE8934" s="5">
        <v>2.1634175251816763</v>
      </c>
      <c r="AF8934">
        <v>1</v>
      </c>
    </row>
    <row r="8935" spans="27:32" x14ac:dyDescent="0.3">
      <c r="AA8935" s="3">
        <v>35391.21</v>
      </c>
      <c r="AB8935">
        <v>1E-4</v>
      </c>
      <c r="AC8935">
        <v>7</v>
      </c>
      <c r="AD8935" s="5">
        <v>5.0870885253954858</v>
      </c>
      <c r="AE8935" s="5">
        <v>2.2940298879074996</v>
      </c>
      <c r="AF8935">
        <v>1</v>
      </c>
    </row>
    <row r="8936" spans="27:32" x14ac:dyDescent="0.3">
      <c r="AA8936" s="3">
        <v>2136.58</v>
      </c>
      <c r="AB8936">
        <v>1E-4</v>
      </c>
      <c r="AC8936">
        <v>8</v>
      </c>
      <c r="AD8936" s="5">
        <v>5.0783738030395611</v>
      </c>
      <c r="AE8936" s="5">
        <v>2.3094580753534601</v>
      </c>
      <c r="AF8936">
        <v>1</v>
      </c>
    </row>
    <row r="8937" spans="27:32" x14ac:dyDescent="0.3">
      <c r="AA8937" s="3">
        <v>52550.78</v>
      </c>
      <c r="AB8937">
        <v>1E-4</v>
      </c>
      <c r="AC8937">
        <v>6</v>
      </c>
      <c r="AD8937" s="5">
        <v>5.174707094526978</v>
      </c>
      <c r="AE8937" s="5">
        <v>2.1911312768279765</v>
      </c>
      <c r="AF8937">
        <v>1</v>
      </c>
    </row>
    <row r="8938" spans="27:32" x14ac:dyDescent="0.3">
      <c r="AA8938" s="3">
        <v>12603.96</v>
      </c>
      <c r="AB8938">
        <v>1E-4</v>
      </c>
      <c r="AC8938">
        <v>8</v>
      </c>
      <c r="AD8938" s="5">
        <v>4.9134139459641899</v>
      </c>
      <c r="AE8938" s="5">
        <v>2.1657818514224081</v>
      </c>
      <c r="AF8938">
        <v>1</v>
      </c>
    </row>
    <row r="8939" spans="27:32" x14ac:dyDescent="0.3">
      <c r="AA8939" s="3">
        <v>31589.79</v>
      </c>
      <c r="AB8939">
        <v>1E-4</v>
      </c>
      <c r="AC8939">
        <v>7</v>
      </c>
      <c r="AD8939" s="5">
        <v>4.9931035626046114</v>
      </c>
      <c r="AE8939" s="5">
        <v>2.2003494433940038</v>
      </c>
      <c r="AF8939">
        <v>1</v>
      </c>
    </row>
    <row r="8940" spans="27:32" x14ac:dyDescent="0.3">
      <c r="AA8940" s="3">
        <v>23138.54</v>
      </c>
      <c r="AB8940">
        <v>1E-4</v>
      </c>
      <c r="AC8940">
        <v>8</v>
      </c>
      <c r="AD8940" s="5">
        <v>5.0972302340794915</v>
      </c>
      <c r="AE8940" s="5">
        <v>2.1520281818348419</v>
      </c>
      <c r="AF8940">
        <v>1</v>
      </c>
    </row>
    <row r="8941" spans="27:32" x14ac:dyDescent="0.3">
      <c r="AA8941" s="3">
        <v>5215.28</v>
      </c>
      <c r="AB8941">
        <v>1E-4</v>
      </c>
      <c r="AC8941">
        <v>8</v>
      </c>
      <c r="AD8941" s="5">
        <v>4.9097166641322056</v>
      </c>
      <c r="AE8941" s="5">
        <v>2.1870123434144948</v>
      </c>
      <c r="AF8941">
        <v>1</v>
      </c>
    </row>
    <row r="8942" spans="27:32" x14ac:dyDescent="0.3">
      <c r="AA8942" s="3">
        <v>-15745.6</v>
      </c>
      <c r="AB8942">
        <v>1E-4</v>
      </c>
      <c r="AC8942">
        <v>9</v>
      </c>
      <c r="AD8942" s="5">
        <v>4.867563909048469</v>
      </c>
      <c r="AE8942" s="5">
        <v>2.1988572877238339</v>
      </c>
      <c r="AF8942">
        <v>1</v>
      </c>
    </row>
    <row r="8943" spans="27:32" x14ac:dyDescent="0.3">
      <c r="AA8943" s="3">
        <v>12661.9</v>
      </c>
      <c r="AB8943">
        <v>1E-4</v>
      </c>
      <c r="AC8943">
        <v>8</v>
      </c>
      <c r="AD8943" s="5">
        <v>5.056914643577187</v>
      </c>
      <c r="AE8943" s="5">
        <v>2.2377398168386105</v>
      </c>
      <c r="AF8943">
        <v>1</v>
      </c>
    </row>
    <row r="8944" spans="27:32" x14ac:dyDescent="0.3">
      <c r="AA8944" s="3">
        <v>13262.58</v>
      </c>
      <c r="AB8944">
        <v>1E-4</v>
      </c>
      <c r="AC8944">
        <v>8</v>
      </c>
      <c r="AD8944" s="5">
        <v>5.1980415690258379</v>
      </c>
      <c r="AE8944" s="5">
        <v>2.2618964847074943</v>
      </c>
      <c r="AF8944">
        <v>1</v>
      </c>
    </row>
    <row r="8945" spans="27:32" x14ac:dyDescent="0.3">
      <c r="AA8945" s="3">
        <v>11225.87</v>
      </c>
      <c r="AB8945">
        <v>1E-4</v>
      </c>
      <c r="AC8945">
        <v>8</v>
      </c>
      <c r="AD8945" s="5">
        <v>4.9490575983652221</v>
      </c>
      <c r="AE8945" s="5">
        <v>2.1797823316875031</v>
      </c>
      <c r="AF8945">
        <v>1</v>
      </c>
    </row>
    <row r="8946" spans="27:32" x14ac:dyDescent="0.3">
      <c r="AA8946" s="3">
        <v>11421.46</v>
      </c>
      <c r="AB8946">
        <v>1E-4</v>
      </c>
      <c r="AC8946">
        <v>8</v>
      </c>
      <c r="AD8946" s="5">
        <v>5.1156111954917849</v>
      </c>
      <c r="AE8946" s="5">
        <v>2.1811671372308714</v>
      </c>
      <c r="AF8946">
        <v>1</v>
      </c>
    </row>
    <row r="8947" spans="27:32" x14ac:dyDescent="0.3">
      <c r="AA8947" s="3">
        <v>-17329.12</v>
      </c>
      <c r="AB8947">
        <v>1E-4</v>
      </c>
      <c r="AC8947">
        <v>9</v>
      </c>
      <c r="AD8947" s="5">
        <v>5.0730784859766089</v>
      </c>
      <c r="AE8947" s="5">
        <v>2.1959906857828009</v>
      </c>
      <c r="AF8947">
        <v>1</v>
      </c>
    </row>
    <row r="8948" spans="27:32" x14ac:dyDescent="0.3">
      <c r="AA8948" s="3">
        <v>32592.43</v>
      </c>
      <c r="AB8948">
        <v>1E-4</v>
      </c>
      <c r="AC8948">
        <v>7</v>
      </c>
      <c r="AD8948" s="5">
        <v>5.0718407218744348</v>
      </c>
      <c r="AE8948" s="5">
        <v>2.3426223253378415</v>
      </c>
      <c r="AF8948">
        <v>1</v>
      </c>
    </row>
    <row r="8949" spans="27:32" x14ac:dyDescent="0.3">
      <c r="AA8949" s="3">
        <v>-2213.2399999999998</v>
      </c>
      <c r="AB8949">
        <v>1E-4</v>
      </c>
      <c r="AC8949">
        <v>9</v>
      </c>
      <c r="AD8949" s="5">
        <v>4.9679225520314558</v>
      </c>
      <c r="AE8949" s="5">
        <v>2.2251980147598971</v>
      </c>
      <c r="AF8949">
        <v>1</v>
      </c>
    </row>
    <row r="8950" spans="27:32" x14ac:dyDescent="0.3">
      <c r="AA8950" s="3">
        <v>20774.560000000001</v>
      </c>
      <c r="AB8950">
        <v>1E-4</v>
      </c>
      <c r="AC8950">
        <v>8</v>
      </c>
      <c r="AD8950" s="5">
        <v>5.0291239393403515</v>
      </c>
      <c r="AE8950" s="5">
        <v>2.243052963223755</v>
      </c>
      <c r="AF8950">
        <v>1</v>
      </c>
    </row>
    <row r="8951" spans="27:32" x14ac:dyDescent="0.3">
      <c r="AA8951" s="3">
        <v>25624.29</v>
      </c>
      <c r="AB8951">
        <v>1E-4</v>
      </c>
      <c r="AC8951">
        <v>8</v>
      </c>
      <c r="AD8951" s="5">
        <v>4.942468646378166</v>
      </c>
      <c r="AE8951" s="5">
        <v>2.1523387931645872</v>
      </c>
      <c r="AF8951">
        <v>1</v>
      </c>
    </row>
    <row r="8952" spans="27:32" x14ac:dyDescent="0.3">
      <c r="AA8952" s="3">
        <v>-1373.49</v>
      </c>
      <c r="AB8952">
        <v>1E-4</v>
      </c>
      <c r="AC8952">
        <v>9</v>
      </c>
      <c r="AD8952" s="5">
        <v>4.9444028565654419</v>
      </c>
      <c r="AE8952" s="5">
        <v>2.2000643699923357</v>
      </c>
      <c r="AF8952">
        <v>1</v>
      </c>
    </row>
    <row r="8953" spans="27:32" x14ac:dyDescent="0.3">
      <c r="AA8953" s="3">
        <v>40754.379999999997</v>
      </c>
      <c r="AB8953">
        <v>1E-4</v>
      </c>
      <c r="AC8953">
        <v>7</v>
      </c>
      <c r="AD8953" s="5">
        <v>5.0081743152065625</v>
      </c>
      <c r="AE8953" s="5">
        <v>2.2063515387618442</v>
      </c>
      <c r="AF8953">
        <v>1</v>
      </c>
    </row>
    <row r="8954" spans="27:32" x14ac:dyDescent="0.3">
      <c r="AA8954" s="3">
        <v>16292.34</v>
      </c>
      <c r="AB8954">
        <v>1E-4</v>
      </c>
      <c r="AC8954">
        <v>8</v>
      </c>
      <c r="AD8954" s="5">
        <v>4.959305211795531</v>
      </c>
      <c r="AE8954" s="5">
        <v>2.2035015884272369</v>
      </c>
      <c r="AF8954">
        <v>1</v>
      </c>
    </row>
    <row r="8955" spans="27:32" x14ac:dyDescent="0.3">
      <c r="AA8955" s="3">
        <v>7746.53</v>
      </c>
      <c r="AB8955">
        <v>1E-4</v>
      </c>
      <c r="AC8955">
        <v>8</v>
      </c>
      <c r="AD8955" s="5">
        <v>4.9942463670640889</v>
      </c>
      <c r="AE8955" s="5">
        <v>2.1769382124330598</v>
      </c>
      <c r="AF8955">
        <v>1</v>
      </c>
    </row>
    <row r="8956" spans="27:32" x14ac:dyDescent="0.3">
      <c r="AA8956" s="3">
        <v>11880.57</v>
      </c>
      <c r="AB8956">
        <v>1E-4</v>
      </c>
      <c r="AC8956">
        <v>8</v>
      </c>
      <c r="AD8956" s="5">
        <v>4.9641042122949584</v>
      </c>
      <c r="AE8956" s="5">
        <v>2.1992544549109176</v>
      </c>
      <c r="AF8956">
        <v>1</v>
      </c>
    </row>
    <row r="8957" spans="27:32" x14ac:dyDescent="0.3">
      <c r="AA8957" s="3">
        <v>-6080.56</v>
      </c>
      <c r="AB8957">
        <v>1E-4</v>
      </c>
      <c r="AC8957">
        <v>9</v>
      </c>
      <c r="AD8957" s="5">
        <v>4.9344934342616877</v>
      </c>
      <c r="AE8957" s="5">
        <v>2.1330058159222309</v>
      </c>
      <c r="AF8957">
        <v>1</v>
      </c>
    </row>
    <row r="8958" spans="27:32" x14ac:dyDescent="0.3">
      <c r="AA8958" s="3">
        <v>23876.25</v>
      </c>
      <c r="AB8958">
        <v>1E-4</v>
      </c>
      <c r="AC8958">
        <v>8</v>
      </c>
      <c r="AD8958" s="5">
        <v>4.9696434076010414</v>
      </c>
      <c r="AE8958" s="5">
        <v>2.2258696389475952</v>
      </c>
      <c r="AF8958">
        <v>1</v>
      </c>
    </row>
    <row r="8959" spans="27:32" x14ac:dyDescent="0.3">
      <c r="AA8959" s="3">
        <v>28854.51</v>
      </c>
      <c r="AB8959">
        <v>1E-4</v>
      </c>
      <c r="AC8959">
        <v>8</v>
      </c>
      <c r="AD8959" s="5">
        <v>5.105584911676659</v>
      </c>
      <c r="AE8959" s="5">
        <v>2.2124821056256252</v>
      </c>
      <c r="AF8959">
        <v>1</v>
      </c>
    </row>
    <row r="8960" spans="27:32" x14ac:dyDescent="0.3">
      <c r="AA8960" s="3">
        <v>5582.55</v>
      </c>
      <c r="AB8960">
        <v>1E-4</v>
      </c>
      <c r="AC8960">
        <v>8</v>
      </c>
      <c r="AD8960" s="5">
        <v>5.0635107893183768</v>
      </c>
      <c r="AE8960" s="5">
        <v>2.2377876965086303</v>
      </c>
      <c r="AF8960">
        <v>1</v>
      </c>
    </row>
    <row r="8961" spans="27:32" x14ac:dyDescent="0.3">
      <c r="AA8961" s="3">
        <v>12271.42</v>
      </c>
      <c r="AB8961">
        <v>1E-4</v>
      </c>
      <c r="AC8961">
        <v>8</v>
      </c>
      <c r="AD8961" s="5">
        <v>5.0145024358839825</v>
      </c>
      <c r="AE8961" s="5">
        <v>2.1124869905484336</v>
      </c>
      <c r="AF8961">
        <v>1</v>
      </c>
    </row>
    <row r="8962" spans="27:32" x14ac:dyDescent="0.3">
      <c r="AA8962" s="3">
        <v>17122.5</v>
      </c>
      <c r="AB8962">
        <v>1E-4</v>
      </c>
      <c r="AC8962">
        <v>8</v>
      </c>
      <c r="AD8962" s="5">
        <v>4.8833000220233451</v>
      </c>
      <c r="AE8962" s="5">
        <v>2.1619829220150559</v>
      </c>
      <c r="AF8962">
        <v>1</v>
      </c>
    </row>
    <row r="8963" spans="27:32" x14ac:dyDescent="0.3">
      <c r="AA8963" s="3">
        <v>38708.26</v>
      </c>
      <c r="AB8963">
        <v>1E-4</v>
      </c>
      <c r="AC8963">
        <v>7</v>
      </c>
      <c r="AD8963" s="5">
        <v>5.088304913059674</v>
      </c>
      <c r="AE8963" s="5">
        <v>2.1644493228032711</v>
      </c>
      <c r="AF8963">
        <v>1</v>
      </c>
    </row>
    <row r="8964" spans="27:32" x14ac:dyDescent="0.3">
      <c r="AA8964" s="3">
        <v>18209.490000000002</v>
      </c>
      <c r="AB8964">
        <v>1E-4</v>
      </c>
      <c r="AC8964">
        <v>8</v>
      </c>
      <c r="AD8964" s="5">
        <v>4.9885547481590695</v>
      </c>
      <c r="AE8964" s="5">
        <v>2.3491701544382519</v>
      </c>
      <c r="AF8964">
        <v>1</v>
      </c>
    </row>
    <row r="8965" spans="27:32" x14ac:dyDescent="0.3">
      <c r="AA8965" s="3">
        <v>34951.410000000003</v>
      </c>
      <c r="AB8965">
        <v>1E-4</v>
      </c>
      <c r="AC8965">
        <v>7</v>
      </c>
      <c r="AD8965" s="5">
        <v>5.1454916007771061</v>
      </c>
      <c r="AE8965" s="5">
        <v>2.2289333885271421</v>
      </c>
      <c r="AF8965">
        <v>1</v>
      </c>
    </row>
    <row r="8966" spans="27:32" x14ac:dyDescent="0.3">
      <c r="AA8966" s="3">
        <v>8622.94</v>
      </c>
      <c r="AB8966">
        <v>1E-4</v>
      </c>
      <c r="AC8966">
        <v>8</v>
      </c>
      <c r="AD8966" s="5">
        <v>4.9498760679060938</v>
      </c>
      <c r="AE8966" s="5">
        <v>2.1546969168131271</v>
      </c>
      <c r="AF8966">
        <v>1</v>
      </c>
    </row>
    <row r="8967" spans="27:32" x14ac:dyDescent="0.3">
      <c r="AA8967" s="3">
        <v>36337.839999999997</v>
      </c>
      <c r="AB8967">
        <v>1E-4</v>
      </c>
      <c r="AC8967">
        <v>7</v>
      </c>
      <c r="AD8967" s="5">
        <v>5.0074296380037691</v>
      </c>
      <c r="AE8967" s="5">
        <v>2.1798816475560541</v>
      </c>
      <c r="AF8967">
        <v>1</v>
      </c>
    </row>
    <row r="8968" spans="27:32" x14ac:dyDescent="0.3">
      <c r="AA8968" s="3">
        <v>10759.12</v>
      </c>
      <c r="AB8968">
        <v>1E-4</v>
      </c>
      <c r="AC8968">
        <v>8</v>
      </c>
      <c r="AD8968" s="5">
        <v>4.9608491342157368</v>
      </c>
      <c r="AE8968" s="5">
        <v>2.2118492953003619</v>
      </c>
      <c r="AF8968">
        <v>1</v>
      </c>
    </row>
    <row r="8969" spans="27:32" x14ac:dyDescent="0.3">
      <c r="AA8969" s="3">
        <v>5736.52</v>
      </c>
      <c r="AB8969">
        <v>1E-4</v>
      </c>
      <c r="AC8969">
        <v>8</v>
      </c>
      <c r="AD8969" s="5">
        <v>4.9021591364266124</v>
      </c>
      <c r="AE8969" s="5">
        <v>2.2124921815790235</v>
      </c>
      <c r="AF8969">
        <v>1</v>
      </c>
    </row>
    <row r="8970" spans="27:32" x14ac:dyDescent="0.3">
      <c r="AA8970" s="3">
        <v>32666.35</v>
      </c>
      <c r="AB8970">
        <v>1E-4</v>
      </c>
      <c r="AC8970">
        <v>7</v>
      </c>
      <c r="AD8970" s="5">
        <v>5.0387165199803716</v>
      </c>
      <c r="AE8970" s="5">
        <v>2.1303182027575502</v>
      </c>
      <c r="AF8970">
        <v>1</v>
      </c>
    </row>
    <row r="8971" spans="27:32" x14ac:dyDescent="0.3">
      <c r="AA8971" s="3">
        <v>-21976.27</v>
      </c>
      <c r="AB8971">
        <v>1E-4</v>
      </c>
      <c r="AC8971">
        <v>9</v>
      </c>
      <c r="AD8971" s="5">
        <v>4.800133511552529</v>
      </c>
      <c r="AE8971" s="5">
        <v>2.2452458090203029</v>
      </c>
      <c r="AF8971">
        <v>1</v>
      </c>
    </row>
    <row r="8972" spans="27:32" x14ac:dyDescent="0.3">
      <c r="AA8972" s="3">
        <v>32242.19</v>
      </c>
      <c r="AB8972">
        <v>1E-4</v>
      </c>
      <c r="AC8972">
        <v>7</v>
      </c>
      <c r="AD8972" s="5">
        <v>5.1010163212509427</v>
      </c>
      <c r="AE8972" s="5">
        <v>2.1836460768901915</v>
      </c>
      <c r="AF8972">
        <v>1</v>
      </c>
    </row>
    <row r="8973" spans="27:32" x14ac:dyDescent="0.3">
      <c r="AA8973" s="3">
        <v>11559</v>
      </c>
      <c r="AB8973">
        <v>1E-4</v>
      </c>
      <c r="AC8973">
        <v>8</v>
      </c>
      <c r="AD8973" s="5">
        <v>5.0081772366101154</v>
      </c>
      <c r="AE8973" s="5">
        <v>2.2067311980687969</v>
      </c>
      <c r="AF8973">
        <v>1</v>
      </c>
    </row>
    <row r="8974" spans="27:32" x14ac:dyDescent="0.3">
      <c r="AA8974" s="3">
        <v>6791.71</v>
      </c>
      <c r="AB8974">
        <v>1E-4</v>
      </c>
      <c r="AC8974">
        <v>8</v>
      </c>
      <c r="AD8974" s="5">
        <v>4.9379534505052858</v>
      </c>
      <c r="AE8974" s="5">
        <v>2.180307443868752</v>
      </c>
      <c r="AF8974">
        <v>1</v>
      </c>
    </row>
    <row r="8975" spans="27:32" x14ac:dyDescent="0.3">
      <c r="AA8975" s="3">
        <v>-10529.44</v>
      </c>
      <c r="AB8975">
        <v>1E-4</v>
      </c>
      <c r="AC8975">
        <v>9</v>
      </c>
      <c r="AD8975" s="5">
        <v>5.0487945783761932</v>
      </c>
      <c r="AE8975" s="5">
        <v>2.2386503166358467</v>
      </c>
      <c r="AF8975">
        <v>1</v>
      </c>
    </row>
    <row r="8976" spans="27:32" x14ac:dyDescent="0.3">
      <c r="AA8976" s="3">
        <v>6901.85</v>
      </c>
      <c r="AB8976">
        <v>1E-4</v>
      </c>
      <c r="AC8976">
        <v>8</v>
      </c>
      <c r="AD8976" s="5">
        <v>4.9396449877624571</v>
      </c>
      <c r="AE8976" s="5">
        <v>2.1337168026562932</v>
      </c>
      <c r="AF8976">
        <v>1</v>
      </c>
    </row>
    <row r="8977" spans="27:32" x14ac:dyDescent="0.3">
      <c r="AA8977" s="3">
        <v>13479.94</v>
      </c>
      <c r="AB8977">
        <v>1E-4</v>
      </c>
      <c r="AC8977">
        <v>8</v>
      </c>
      <c r="AD8977" s="5">
        <v>5.0594572099349113</v>
      </c>
      <c r="AE8977" s="5">
        <v>2.1840381767621442</v>
      </c>
      <c r="AF8977">
        <v>1</v>
      </c>
    </row>
    <row r="8978" spans="27:32" x14ac:dyDescent="0.3">
      <c r="AA8978" s="3">
        <v>-21738.639999999999</v>
      </c>
      <c r="AB8978">
        <v>1E-4</v>
      </c>
      <c r="AC8978">
        <v>9</v>
      </c>
      <c r="AD8978" s="5">
        <v>4.8808126955727937</v>
      </c>
      <c r="AE8978" s="5">
        <v>2.2456633925410663</v>
      </c>
      <c r="AF8978">
        <v>1</v>
      </c>
    </row>
    <row r="8979" spans="27:32" x14ac:dyDescent="0.3">
      <c r="AA8979" s="3">
        <v>-39967.754850047284</v>
      </c>
      <c r="AB8979">
        <v>1E-4</v>
      </c>
      <c r="AC8979">
        <v>9</v>
      </c>
      <c r="AD8979" s="5">
        <v>4.9907069951420775</v>
      </c>
      <c r="AE8979" s="5">
        <v>2.2148608646144585</v>
      </c>
      <c r="AF8979">
        <v>0</v>
      </c>
    </row>
    <row r="8980" spans="27:32" x14ac:dyDescent="0.3">
      <c r="AA8980" s="3">
        <v>7704.89</v>
      </c>
      <c r="AB8980">
        <v>1E-4</v>
      </c>
      <c r="AC8980">
        <v>8</v>
      </c>
      <c r="AD8980" s="5">
        <v>4.9615418837727807</v>
      </c>
      <c r="AE8980" s="5">
        <v>2.1849809144037589</v>
      </c>
      <c r="AF8980">
        <v>1</v>
      </c>
    </row>
    <row r="8981" spans="27:32" x14ac:dyDescent="0.3">
      <c r="AA8981" s="3">
        <v>12329.04</v>
      </c>
      <c r="AB8981">
        <v>1E-4</v>
      </c>
      <c r="AC8981">
        <v>8</v>
      </c>
      <c r="AD8981" s="5">
        <v>5.0844139256531067</v>
      </c>
      <c r="AE8981" s="5">
        <v>2.2241815969069787</v>
      </c>
      <c r="AF8981">
        <v>1</v>
      </c>
    </row>
    <row r="8982" spans="27:32" x14ac:dyDescent="0.3">
      <c r="AA8982" s="3">
        <v>-57.94</v>
      </c>
      <c r="AB8982">
        <v>1E-4</v>
      </c>
      <c r="AC8982">
        <v>9</v>
      </c>
      <c r="AD8982" s="5">
        <v>4.9810320957638785</v>
      </c>
      <c r="AE8982" s="5">
        <v>2.2039217962497468</v>
      </c>
      <c r="AF8982">
        <v>1</v>
      </c>
    </row>
    <row r="8983" spans="27:32" x14ac:dyDescent="0.3">
      <c r="AA8983" s="3">
        <v>28052.61</v>
      </c>
      <c r="AB8983">
        <v>1E-4</v>
      </c>
      <c r="AC8983">
        <v>7</v>
      </c>
      <c r="AD8983" s="5">
        <v>5.0678776448381164</v>
      </c>
      <c r="AE8983" s="5">
        <v>2.2393963741409229</v>
      </c>
      <c r="AF8983">
        <v>1</v>
      </c>
    </row>
    <row r="8984" spans="27:32" x14ac:dyDescent="0.3">
      <c r="AA8984" s="3">
        <v>15594.83</v>
      </c>
      <c r="AB8984">
        <v>1E-4</v>
      </c>
      <c r="AC8984">
        <v>8</v>
      </c>
      <c r="AD8984" s="5">
        <v>5.1699656441803477</v>
      </c>
      <c r="AE8984" s="5">
        <v>2.2361340891907249</v>
      </c>
      <c r="AF8984">
        <v>1</v>
      </c>
    </row>
    <row r="8985" spans="27:32" x14ac:dyDescent="0.3">
      <c r="AA8985" s="3">
        <v>63999.92</v>
      </c>
      <c r="AB8985">
        <v>1E-4</v>
      </c>
      <c r="AC8985">
        <v>6</v>
      </c>
      <c r="AD8985" s="5">
        <v>5.1652229650190531</v>
      </c>
      <c r="AE8985" s="5">
        <v>2.1039012047657755</v>
      </c>
      <c r="AF8985">
        <v>1</v>
      </c>
    </row>
    <row r="8986" spans="27:32" x14ac:dyDescent="0.3">
      <c r="AA8986" s="3">
        <v>21612.26</v>
      </c>
      <c r="AB8986">
        <v>1E-4</v>
      </c>
      <c r="AC8986">
        <v>8</v>
      </c>
      <c r="AD8986" s="5">
        <v>5.0114371364875092</v>
      </c>
      <c r="AE8986" s="5">
        <v>2.1579637299583703</v>
      </c>
      <c r="AF8986">
        <v>1</v>
      </c>
    </row>
    <row r="8987" spans="27:32" x14ac:dyDescent="0.3">
      <c r="AA8987" s="3">
        <v>-20658.11866244888</v>
      </c>
      <c r="AB8987">
        <v>1E-4</v>
      </c>
      <c r="AC8987">
        <v>9</v>
      </c>
      <c r="AD8987" s="5">
        <v>4.9656211380133524</v>
      </c>
      <c r="AE8987" s="5">
        <v>2.1228688082705585</v>
      </c>
      <c r="AF8987">
        <v>0</v>
      </c>
    </row>
    <row r="8988" spans="27:32" x14ac:dyDescent="0.3">
      <c r="AA8988" s="3">
        <v>-9221.1299999999992</v>
      </c>
      <c r="AB8988">
        <v>1E-4</v>
      </c>
      <c r="AC8988">
        <v>9</v>
      </c>
      <c r="AD8988" s="5">
        <v>4.9094177224521429</v>
      </c>
      <c r="AE8988" s="5">
        <v>2.2313060570550878</v>
      </c>
      <c r="AF8988">
        <v>1</v>
      </c>
    </row>
    <row r="8989" spans="27:32" x14ac:dyDescent="0.3">
      <c r="AA8989" s="3">
        <v>19958.37</v>
      </c>
      <c r="AB8989">
        <v>1E-4</v>
      </c>
      <c r="AC8989">
        <v>8</v>
      </c>
      <c r="AD8989" s="5">
        <v>4.9764751146532387</v>
      </c>
      <c r="AE8989" s="5">
        <v>2.3057215014767292</v>
      </c>
      <c r="AF8989">
        <v>1</v>
      </c>
    </row>
    <row r="8990" spans="27:32" x14ac:dyDescent="0.3">
      <c r="AA8990" s="3">
        <v>22122.46</v>
      </c>
      <c r="AB8990">
        <v>1E-4</v>
      </c>
      <c r="AC8990">
        <v>8</v>
      </c>
      <c r="AD8990" s="5">
        <v>4.9609274645451782</v>
      </c>
      <c r="AE8990" s="5">
        <v>2.1553392333893218</v>
      </c>
      <c r="AF8990">
        <v>1</v>
      </c>
    </row>
    <row r="8991" spans="27:32" x14ac:dyDescent="0.3">
      <c r="AA8991" s="3">
        <v>17741.41</v>
      </c>
      <c r="AB8991">
        <v>1E-4</v>
      </c>
      <c r="AC8991">
        <v>8</v>
      </c>
      <c r="AD8991" s="5">
        <v>4.8938684934947911</v>
      </c>
      <c r="AE8991" s="5">
        <v>2.246130794588709</v>
      </c>
      <c r="AF8991">
        <v>1</v>
      </c>
    </row>
    <row r="8992" spans="27:32" x14ac:dyDescent="0.3">
      <c r="AA8992" s="3">
        <v>-10652.38</v>
      </c>
      <c r="AB8992">
        <v>1E-4</v>
      </c>
      <c r="AC8992">
        <v>9</v>
      </c>
      <c r="AD8992" s="5">
        <v>4.9038536919197098</v>
      </c>
      <c r="AE8992" s="5">
        <v>2.1895107162791847</v>
      </c>
      <c r="AF8992">
        <v>1</v>
      </c>
    </row>
    <row r="8993" spans="27:32" x14ac:dyDescent="0.3">
      <c r="AA8993" s="3">
        <v>-10144.18</v>
      </c>
      <c r="AB8993">
        <v>1E-4</v>
      </c>
      <c r="AC8993">
        <v>9</v>
      </c>
      <c r="AD8993" s="5">
        <v>5.1017375198928114</v>
      </c>
      <c r="AE8993" s="5">
        <v>2.2340462898703026</v>
      </c>
      <c r="AF8993">
        <v>1</v>
      </c>
    </row>
    <row r="8994" spans="27:32" x14ac:dyDescent="0.3">
      <c r="AA8994" s="3">
        <v>-7908.2262113925499</v>
      </c>
      <c r="AB8994">
        <v>1E-4</v>
      </c>
      <c r="AC8994">
        <v>8</v>
      </c>
      <c r="AD8994" s="5">
        <v>4.9639455501117737</v>
      </c>
      <c r="AE8994" s="5">
        <v>2.2113649747421205</v>
      </c>
      <c r="AF8994">
        <v>0</v>
      </c>
    </row>
    <row r="8995" spans="27:32" x14ac:dyDescent="0.3">
      <c r="AA8995" s="3">
        <v>32992.089999999997</v>
      </c>
      <c r="AB8995">
        <v>1E-4</v>
      </c>
      <c r="AC8995">
        <v>7</v>
      </c>
      <c r="AD8995" s="5">
        <v>5.0490029158612648</v>
      </c>
      <c r="AE8995" s="5">
        <v>2.2767323808743574</v>
      </c>
      <c r="AF8995">
        <v>1</v>
      </c>
    </row>
    <row r="8996" spans="27:32" x14ac:dyDescent="0.3">
      <c r="AA8996" s="3">
        <v>-11139.43</v>
      </c>
      <c r="AB8996">
        <v>1E-4</v>
      </c>
      <c r="AC8996">
        <v>9</v>
      </c>
      <c r="AD8996" s="5">
        <v>4.8882294494357623</v>
      </c>
      <c r="AE8996" s="5">
        <v>2.2290666873835741</v>
      </c>
      <c r="AF8996">
        <v>1</v>
      </c>
    </row>
    <row r="8997" spans="27:32" x14ac:dyDescent="0.3">
      <c r="AA8997" s="3">
        <v>27024.22</v>
      </c>
      <c r="AB8997">
        <v>1E-4</v>
      </c>
      <c r="AC8997">
        <v>8</v>
      </c>
      <c r="AD8997" s="5">
        <v>5.0837124703301066</v>
      </c>
      <c r="AE8997" s="5">
        <v>2.2343831679878647</v>
      </c>
      <c r="AF8997">
        <v>1</v>
      </c>
    </row>
    <row r="8998" spans="27:32" x14ac:dyDescent="0.3">
      <c r="AA8998" s="3">
        <v>6875.34</v>
      </c>
      <c r="AB8998">
        <v>1E-4</v>
      </c>
      <c r="AC8998">
        <v>8</v>
      </c>
      <c r="AD8998" s="5">
        <v>4.9293021534190142</v>
      </c>
      <c r="AE8998" s="5">
        <v>2.1756868877734692</v>
      </c>
      <c r="AF8998">
        <v>1</v>
      </c>
    </row>
    <row r="8999" spans="27:32" x14ac:dyDescent="0.3">
      <c r="AA8999" s="3">
        <v>16562.919999999998</v>
      </c>
      <c r="AB8999">
        <v>1E-4</v>
      </c>
      <c r="AC8999">
        <v>8</v>
      </c>
      <c r="AD8999" s="5">
        <v>5.0155814815247197</v>
      </c>
      <c r="AE8999" s="5">
        <v>2.1959832841240496</v>
      </c>
      <c r="AF8999">
        <v>1</v>
      </c>
    </row>
    <row r="9000" spans="27:32" x14ac:dyDescent="0.3">
      <c r="AA9000" s="3">
        <v>-39159.938304579111</v>
      </c>
      <c r="AB9000">
        <v>1E-4</v>
      </c>
      <c r="AC9000">
        <v>9</v>
      </c>
      <c r="AD9000" s="5">
        <v>4.853688602508397</v>
      </c>
      <c r="AE9000" s="5">
        <v>2.2551011333330697</v>
      </c>
      <c r="AF9000">
        <v>0</v>
      </c>
    </row>
    <row r="9001" spans="27:32" x14ac:dyDescent="0.3">
      <c r="AA9001" s="3">
        <v>34894.57</v>
      </c>
      <c r="AB9001">
        <v>1E-4</v>
      </c>
      <c r="AC9001">
        <v>7</v>
      </c>
      <c r="AD9001" s="5">
        <v>5.1261594792059686</v>
      </c>
      <c r="AE9001" s="5">
        <v>2.2586491674066043</v>
      </c>
      <c r="AF9001">
        <v>1</v>
      </c>
    </row>
    <row r="9002" spans="27:32" x14ac:dyDescent="0.3">
      <c r="AA9002" s="3">
        <v>15131.73</v>
      </c>
      <c r="AB9002">
        <v>1E-4</v>
      </c>
      <c r="AC9002">
        <v>8</v>
      </c>
      <c r="AD9002" s="5">
        <v>4.9149313038478706</v>
      </c>
      <c r="AE9002" s="5">
        <v>2.200856882433937</v>
      </c>
      <c r="AF9002">
        <v>1</v>
      </c>
    </row>
    <row r="9003" spans="27:32" x14ac:dyDescent="0.3">
      <c r="AA9003" s="3">
        <v>-136.02000000000001</v>
      </c>
      <c r="AB9003">
        <v>1E-4</v>
      </c>
      <c r="AC9003">
        <v>9</v>
      </c>
      <c r="AD9003" s="5">
        <v>4.9470756326504306</v>
      </c>
      <c r="AE9003" s="5">
        <v>2.2015952308620941</v>
      </c>
      <c r="AF9003">
        <v>1</v>
      </c>
    </row>
    <row r="9004" spans="27:32" x14ac:dyDescent="0.3">
      <c r="AA9004" s="3">
        <v>29699.58</v>
      </c>
      <c r="AB9004">
        <v>1E-4</v>
      </c>
      <c r="AC9004">
        <v>8</v>
      </c>
      <c r="AD9004" s="5">
        <v>4.9831283875506722</v>
      </c>
      <c r="AE9004" s="5">
        <v>2.1515779242512942</v>
      </c>
      <c r="AF9004">
        <v>1</v>
      </c>
    </row>
    <row r="9005" spans="27:32" x14ac:dyDescent="0.3">
      <c r="AA9005" s="3">
        <v>15107.76</v>
      </c>
      <c r="AB9005">
        <v>1E-4</v>
      </c>
      <c r="AC9005">
        <v>8</v>
      </c>
      <c r="AD9005" s="5">
        <v>5.1120061061984643</v>
      </c>
      <c r="AE9005" s="5">
        <v>2.1299642174901514</v>
      </c>
      <c r="AF9005">
        <v>1</v>
      </c>
    </row>
    <row r="9006" spans="27:32" x14ac:dyDescent="0.3">
      <c r="AA9006" s="3">
        <v>1511.83</v>
      </c>
      <c r="AB9006">
        <v>1E-4</v>
      </c>
      <c r="AC9006">
        <v>8</v>
      </c>
      <c r="AD9006" s="5">
        <v>4.8267538527157203</v>
      </c>
      <c r="AE9006" s="5">
        <v>2.2140175078050337</v>
      </c>
      <c r="AF9006">
        <v>1</v>
      </c>
    </row>
    <row r="9007" spans="27:32" x14ac:dyDescent="0.3">
      <c r="AA9007" s="3">
        <v>-8052.01</v>
      </c>
      <c r="AB9007">
        <v>1E-4</v>
      </c>
      <c r="AC9007">
        <v>9</v>
      </c>
      <c r="AD9007" s="5">
        <v>4.9645476358824032</v>
      </c>
      <c r="AE9007" s="5">
        <v>2.1414616118159375</v>
      </c>
      <c r="AF9007">
        <v>1</v>
      </c>
    </row>
    <row r="9008" spans="27:32" x14ac:dyDescent="0.3">
      <c r="AA9008" s="3">
        <v>15533.6</v>
      </c>
      <c r="AB9008">
        <v>1E-4</v>
      </c>
      <c r="AC9008">
        <v>8</v>
      </c>
      <c r="AD9008" s="5">
        <v>4.9263902544302409</v>
      </c>
      <c r="AE9008" s="5">
        <v>2.1394776733424807</v>
      </c>
      <c r="AF9008">
        <v>1</v>
      </c>
    </row>
    <row r="9009" spans="27:32" x14ac:dyDescent="0.3">
      <c r="AA9009" s="3">
        <v>-9409.27</v>
      </c>
      <c r="AB9009">
        <v>1E-4</v>
      </c>
      <c r="AC9009">
        <v>9</v>
      </c>
      <c r="AD9009" s="5">
        <v>4.9207849047047763</v>
      </c>
      <c r="AE9009" s="5">
        <v>2.1690248571729409</v>
      </c>
      <c r="AF9009">
        <v>1</v>
      </c>
    </row>
    <row r="9010" spans="27:32" x14ac:dyDescent="0.3">
      <c r="AA9010" s="3">
        <v>-6132.7</v>
      </c>
      <c r="AB9010">
        <v>1E-4</v>
      </c>
      <c r="AC9010">
        <v>9</v>
      </c>
      <c r="AD9010" s="5">
        <v>4.9861233552537865</v>
      </c>
      <c r="AE9010" s="5">
        <v>2.2246387275078043</v>
      </c>
      <c r="AF9010">
        <v>1</v>
      </c>
    </row>
    <row r="9011" spans="27:32" x14ac:dyDescent="0.3">
      <c r="AA9011" s="3">
        <v>27811.15</v>
      </c>
      <c r="AB9011">
        <v>1E-4</v>
      </c>
      <c r="AC9011">
        <v>8</v>
      </c>
      <c r="AD9011" s="5">
        <v>4.929423478313792</v>
      </c>
      <c r="AE9011" s="5">
        <v>2.1859607189602137</v>
      </c>
      <c r="AF9011">
        <v>1</v>
      </c>
    </row>
    <row r="9012" spans="27:32" x14ac:dyDescent="0.3">
      <c r="AA9012" s="3">
        <v>34272.559999999998</v>
      </c>
      <c r="AB9012">
        <v>1E-4</v>
      </c>
      <c r="AC9012">
        <v>7</v>
      </c>
      <c r="AD9012" s="5">
        <v>5.0191664537721774</v>
      </c>
      <c r="AE9012" s="5">
        <v>2.1361104019102446</v>
      </c>
      <c r="AF9012">
        <v>1</v>
      </c>
    </row>
    <row r="9013" spans="27:32" x14ac:dyDescent="0.3">
      <c r="AA9013" s="3">
        <v>25100.42</v>
      </c>
      <c r="AB9013">
        <v>1E-4</v>
      </c>
      <c r="AC9013">
        <v>8</v>
      </c>
      <c r="AD9013" s="5">
        <v>5.0102415435431649</v>
      </c>
      <c r="AE9013" s="5">
        <v>2.2745368024806893</v>
      </c>
      <c r="AF9013">
        <v>1</v>
      </c>
    </row>
    <row r="9014" spans="27:32" x14ac:dyDescent="0.3">
      <c r="AA9014" s="3">
        <v>14861.37</v>
      </c>
      <c r="AB9014">
        <v>1E-4</v>
      </c>
      <c r="AC9014">
        <v>8</v>
      </c>
      <c r="AD9014" s="5">
        <v>4.9344221546345777</v>
      </c>
      <c r="AE9014" s="5">
        <v>2.2417733224420227</v>
      </c>
      <c r="AF9014">
        <v>1</v>
      </c>
    </row>
    <row r="9015" spans="27:32" x14ac:dyDescent="0.3">
      <c r="AA9015" s="3">
        <v>41699.75</v>
      </c>
      <c r="AB9015">
        <v>1E-4</v>
      </c>
      <c r="AC9015">
        <v>7</v>
      </c>
      <c r="AD9015" s="5">
        <v>5.0643306856706349</v>
      </c>
      <c r="AE9015" s="5">
        <v>2.175366539368182</v>
      </c>
      <c r="AF9015">
        <v>1</v>
      </c>
    </row>
    <row r="9016" spans="27:32" x14ac:dyDescent="0.3">
      <c r="AA9016" s="3">
        <v>26877.94</v>
      </c>
      <c r="AB9016">
        <v>1E-4</v>
      </c>
      <c r="AC9016">
        <v>8</v>
      </c>
      <c r="AD9016" s="5">
        <v>5.1356799030478131</v>
      </c>
      <c r="AE9016" s="5">
        <v>2.1725397065668925</v>
      </c>
      <c r="AF9016">
        <v>1</v>
      </c>
    </row>
    <row r="9017" spans="27:32" x14ac:dyDescent="0.3">
      <c r="AA9017" s="3">
        <v>16875.71</v>
      </c>
      <c r="AB9017">
        <v>1E-4</v>
      </c>
      <c r="AC9017">
        <v>8</v>
      </c>
      <c r="AD9017" s="5">
        <v>5.0330333732218744</v>
      </c>
      <c r="AE9017" s="5">
        <v>2.1615983616782821</v>
      </c>
      <c r="AF9017">
        <v>1</v>
      </c>
    </row>
    <row r="9018" spans="27:32" x14ac:dyDescent="0.3">
      <c r="AA9018" s="3">
        <v>11748.58</v>
      </c>
      <c r="AB9018">
        <v>1E-4</v>
      </c>
      <c r="AC9018">
        <v>8</v>
      </c>
      <c r="AD9018" s="5">
        <v>4.9651562068212005</v>
      </c>
      <c r="AE9018" s="5">
        <v>2.2621375368627112</v>
      </c>
      <c r="AF9018">
        <v>1</v>
      </c>
    </row>
    <row r="9019" spans="27:32" x14ac:dyDescent="0.3">
      <c r="AA9019" s="3">
        <v>24250.83</v>
      </c>
      <c r="AB9019">
        <v>1E-4</v>
      </c>
      <c r="AC9019">
        <v>8</v>
      </c>
      <c r="AD9019" s="5">
        <v>5.0652363758237193</v>
      </c>
      <c r="AE9019" s="5">
        <v>2.1601076806845008</v>
      </c>
      <c r="AF9019">
        <v>1</v>
      </c>
    </row>
    <row r="9020" spans="27:32" x14ac:dyDescent="0.3">
      <c r="AA9020" s="3">
        <v>7087.13</v>
      </c>
      <c r="AB9020">
        <v>1E-4</v>
      </c>
      <c r="AC9020">
        <v>8</v>
      </c>
      <c r="AD9020" s="5">
        <v>4.9225153976089429</v>
      </c>
      <c r="AE9020" s="5">
        <v>2.1593306207918892</v>
      </c>
      <c r="AF9020">
        <v>1</v>
      </c>
    </row>
    <row r="9021" spans="27:32" x14ac:dyDescent="0.3">
      <c r="AA9021" s="3">
        <v>-776</v>
      </c>
      <c r="AB9021">
        <v>1E-4</v>
      </c>
      <c r="AC9021">
        <v>9</v>
      </c>
      <c r="AD9021" s="5">
        <v>4.9740565136667172</v>
      </c>
      <c r="AE9021" s="5">
        <v>2.1883842603923185</v>
      </c>
      <c r="AF9021">
        <v>1</v>
      </c>
    </row>
    <row r="9022" spans="27:32" x14ac:dyDescent="0.3">
      <c r="AA9022" s="3">
        <v>19112.53</v>
      </c>
      <c r="AB9022">
        <v>1E-4</v>
      </c>
      <c r="AC9022">
        <v>8</v>
      </c>
      <c r="AD9022" s="5">
        <v>5.1295737455902506</v>
      </c>
      <c r="AE9022" s="5">
        <v>2.1329044133793196</v>
      </c>
      <c r="AF9022">
        <v>1</v>
      </c>
    </row>
    <row r="9023" spans="27:32" x14ac:dyDescent="0.3">
      <c r="AA9023" s="3">
        <v>67787.23</v>
      </c>
      <c r="AB9023">
        <v>1E-4</v>
      </c>
      <c r="AC9023">
        <v>6</v>
      </c>
      <c r="AD9023" s="5">
        <v>5.0331783166907531</v>
      </c>
      <c r="AE9023" s="5">
        <v>2.176989565451962</v>
      </c>
      <c r="AF9023">
        <v>1</v>
      </c>
    </row>
    <row r="9024" spans="27:32" x14ac:dyDescent="0.3">
      <c r="AA9024" s="3">
        <v>2591.0700000000002</v>
      </c>
      <c r="AB9024">
        <v>1E-4</v>
      </c>
      <c r="AC9024">
        <v>8</v>
      </c>
      <c r="AD9024" s="5">
        <v>4.9778773685014883</v>
      </c>
      <c r="AE9024" s="5">
        <v>2.2832154784739949</v>
      </c>
      <c r="AF9024">
        <v>1</v>
      </c>
    </row>
    <row r="9025" spans="27:32" x14ac:dyDescent="0.3">
      <c r="AA9025" s="3">
        <v>49946.14</v>
      </c>
      <c r="AB9025">
        <v>1E-4</v>
      </c>
      <c r="AC9025">
        <v>6</v>
      </c>
      <c r="AD9025" s="5">
        <v>4.9588424846817691</v>
      </c>
      <c r="AE9025" s="5">
        <v>2.1003655674462918</v>
      </c>
      <c r="AF9025">
        <v>1</v>
      </c>
    </row>
    <row r="9026" spans="27:32" x14ac:dyDescent="0.3">
      <c r="AA9026" s="3">
        <v>37040.79</v>
      </c>
      <c r="AB9026">
        <v>1E-4</v>
      </c>
      <c r="AC9026">
        <v>7</v>
      </c>
      <c r="AD9026" s="5">
        <v>4.9019870807277579</v>
      </c>
      <c r="AE9026" s="5">
        <v>2.0934069658165595</v>
      </c>
      <c r="AF9026">
        <v>1</v>
      </c>
    </row>
    <row r="9027" spans="27:32" x14ac:dyDescent="0.3">
      <c r="AA9027" s="3">
        <v>43750.51</v>
      </c>
      <c r="AB9027">
        <v>1E-4</v>
      </c>
      <c r="AC9027">
        <v>7</v>
      </c>
      <c r="AD9027" s="5">
        <v>4.8503499985696186</v>
      </c>
      <c r="AE9027" s="5">
        <v>2.2245254151766951</v>
      </c>
      <c r="AF9027">
        <v>1</v>
      </c>
    </row>
    <row r="9028" spans="27:32" x14ac:dyDescent="0.3">
      <c r="AA9028" s="3">
        <v>8210.6200000000008</v>
      </c>
      <c r="AB9028">
        <v>1E-4</v>
      </c>
      <c r="AC9028">
        <v>8</v>
      </c>
      <c r="AD9028" s="5">
        <v>5.0022604669200952</v>
      </c>
      <c r="AE9028" s="5">
        <v>2.2037943638676145</v>
      </c>
      <c r="AF9028">
        <v>1</v>
      </c>
    </row>
    <row r="9029" spans="27:32" x14ac:dyDescent="0.3">
      <c r="AA9029" s="3">
        <v>-5478.88</v>
      </c>
      <c r="AB9029">
        <v>1E-4</v>
      </c>
      <c r="AC9029">
        <v>9</v>
      </c>
      <c r="AD9029" s="5">
        <v>4.8416753859372976</v>
      </c>
      <c r="AE9029" s="5">
        <v>2.1925101447103961</v>
      </c>
      <c r="AF9029">
        <v>1</v>
      </c>
    </row>
    <row r="9030" spans="27:32" x14ac:dyDescent="0.3">
      <c r="AA9030" s="3">
        <v>12960.38</v>
      </c>
      <c r="AB9030">
        <v>1E-4</v>
      </c>
      <c r="AC9030">
        <v>8</v>
      </c>
      <c r="AD9030" s="5">
        <v>4.8925371937137498</v>
      </c>
      <c r="AE9030" s="5">
        <v>2.2355021918163533</v>
      </c>
      <c r="AF9030">
        <v>1</v>
      </c>
    </row>
    <row r="9031" spans="27:32" x14ac:dyDescent="0.3">
      <c r="AA9031" s="3">
        <v>16122.63</v>
      </c>
      <c r="AB9031">
        <v>1E-4</v>
      </c>
      <c r="AC9031">
        <v>8</v>
      </c>
      <c r="AD9031" s="5">
        <v>4.969762233794432</v>
      </c>
      <c r="AE9031" s="5">
        <v>2.2317685074540843</v>
      </c>
      <c r="AF9031">
        <v>1</v>
      </c>
    </row>
    <row r="9032" spans="27:32" x14ac:dyDescent="0.3">
      <c r="AA9032" s="3">
        <v>-13036.01</v>
      </c>
      <c r="AB9032">
        <v>1E-4</v>
      </c>
      <c r="AC9032">
        <v>9</v>
      </c>
      <c r="AD9032" s="5">
        <v>4.9839954212231632</v>
      </c>
      <c r="AE9032" s="5">
        <v>2.2226058920651246</v>
      </c>
      <c r="AF9032">
        <v>1</v>
      </c>
    </row>
    <row r="9033" spans="27:32" x14ac:dyDescent="0.3">
      <c r="AA9033" s="3">
        <v>3933.9</v>
      </c>
      <c r="AB9033">
        <v>1E-4</v>
      </c>
      <c r="AC9033">
        <v>8</v>
      </c>
      <c r="AD9033" s="5">
        <v>4.921842506503002</v>
      </c>
      <c r="AE9033" s="5">
        <v>2.1954938156170569</v>
      </c>
      <c r="AF9033">
        <v>1</v>
      </c>
    </row>
    <row r="9034" spans="27:32" x14ac:dyDescent="0.3">
      <c r="AA9034" s="3">
        <v>13532.17</v>
      </c>
      <c r="AB9034">
        <v>1E-4</v>
      </c>
      <c r="AC9034">
        <v>8</v>
      </c>
      <c r="AD9034" s="5">
        <v>4.9774705910481174</v>
      </c>
      <c r="AE9034" s="5">
        <v>2.1600049112842514</v>
      </c>
      <c r="AF9034">
        <v>1</v>
      </c>
    </row>
    <row r="9035" spans="27:32" x14ac:dyDescent="0.3">
      <c r="AA9035" s="3">
        <v>40729.360000000001</v>
      </c>
      <c r="AB9035">
        <v>1E-4</v>
      </c>
      <c r="AC9035">
        <v>7</v>
      </c>
      <c r="AD9035" s="5">
        <v>5.2079141405565545</v>
      </c>
      <c r="AE9035" s="5">
        <v>2.1237667622291765</v>
      </c>
      <c r="AF9035">
        <v>1</v>
      </c>
    </row>
    <row r="9036" spans="27:32" x14ac:dyDescent="0.3">
      <c r="AA9036" s="3">
        <v>-7975.75</v>
      </c>
      <c r="AB9036">
        <v>1E-4</v>
      </c>
      <c r="AC9036">
        <v>9</v>
      </c>
      <c r="AD9036" s="5">
        <v>4.8525370875157785</v>
      </c>
      <c r="AE9036" s="5">
        <v>2.2290376182809375</v>
      </c>
      <c r="AF9036">
        <v>1</v>
      </c>
    </row>
    <row r="9037" spans="27:32" x14ac:dyDescent="0.3">
      <c r="AA9037" s="3">
        <v>21698.240000000002</v>
      </c>
      <c r="AB9037">
        <v>1E-4</v>
      </c>
      <c r="AC9037">
        <v>8</v>
      </c>
      <c r="AD9037" s="5">
        <v>4.9558543853590225</v>
      </c>
      <c r="AE9037" s="5">
        <v>2.1866550182410296</v>
      </c>
      <c r="AF9037">
        <v>1</v>
      </c>
    </row>
    <row r="9038" spans="27:32" x14ac:dyDescent="0.3">
      <c r="AA9038" s="3">
        <v>38785.800000000003</v>
      </c>
      <c r="AB9038">
        <v>1E-4</v>
      </c>
      <c r="AC9038">
        <v>7</v>
      </c>
      <c r="AD9038" s="5">
        <v>5.0700835661499912</v>
      </c>
      <c r="AE9038" s="5">
        <v>2.1765309061324176</v>
      </c>
      <c r="AF9038">
        <v>1</v>
      </c>
    </row>
    <row r="9039" spans="27:32" x14ac:dyDescent="0.3">
      <c r="AA9039" s="3">
        <v>42938.94</v>
      </c>
      <c r="AB9039">
        <v>1E-4</v>
      </c>
      <c r="AC9039">
        <v>6</v>
      </c>
      <c r="AD9039" s="5">
        <v>5.0113811270221511</v>
      </c>
      <c r="AE9039" s="5">
        <v>2.1619421732962931</v>
      </c>
      <c r="AF9039">
        <v>1</v>
      </c>
    </row>
    <row r="9040" spans="27:32" x14ac:dyDescent="0.3">
      <c r="AA9040" s="3">
        <v>-6624.6</v>
      </c>
      <c r="AB9040">
        <v>1E-4</v>
      </c>
      <c r="AC9040">
        <v>9</v>
      </c>
      <c r="AD9040" s="5">
        <v>4.9372047937301193</v>
      </c>
      <c r="AE9040" s="5">
        <v>2.1049131423693623</v>
      </c>
      <c r="AF9040">
        <v>1</v>
      </c>
    </row>
    <row r="9041" spans="27:32" x14ac:dyDescent="0.3">
      <c r="AA9041" s="3">
        <v>-16713.02</v>
      </c>
      <c r="AB9041">
        <v>1E-4</v>
      </c>
      <c r="AC9041">
        <v>9</v>
      </c>
      <c r="AD9041" s="5">
        <v>4.9368862350828167</v>
      </c>
      <c r="AE9041" s="5">
        <v>2.2288448937363539</v>
      </c>
      <c r="AF9041">
        <v>1</v>
      </c>
    </row>
    <row r="9042" spans="27:32" x14ac:dyDescent="0.3">
      <c r="AA9042" s="3">
        <v>-11114.16</v>
      </c>
      <c r="AB9042">
        <v>1E-4</v>
      </c>
      <c r="AC9042">
        <v>9</v>
      </c>
      <c r="AD9042" s="5">
        <v>4.7655295071164776</v>
      </c>
      <c r="AE9042" s="5">
        <v>2.200727783839648</v>
      </c>
      <c r="AF9042">
        <v>1</v>
      </c>
    </row>
    <row r="9043" spans="27:32" x14ac:dyDescent="0.3">
      <c r="AA9043" s="3">
        <v>32159.919999999998</v>
      </c>
      <c r="AB9043">
        <v>1E-4</v>
      </c>
      <c r="AC9043">
        <v>7</v>
      </c>
      <c r="AD9043" s="5">
        <v>5.0673401688112936</v>
      </c>
      <c r="AE9043" s="5">
        <v>2.1901865851711433</v>
      </c>
      <c r="AF9043">
        <v>1</v>
      </c>
    </row>
    <row r="9044" spans="27:32" x14ac:dyDescent="0.3">
      <c r="AA9044" s="3">
        <v>6035.98</v>
      </c>
      <c r="AB9044">
        <v>1E-4</v>
      </c>
      <c r="AC9044">
        <v>8</v>
      </c>
      <c r="AD9044" s="5">
        <v>4.9528275479602133</v>
      </c>
      <c r="AE9044" s="5">
        <v>2.2058821486120737</v>
      </c>
      <c r="AF9044">
        <v>1</v>
      </c>
    </row>
    <row r="9045" spans="27:32" x14ac:dyDescent="0.3">
      <c r="AA9045" s="3">
        <v>29479.42</v>
      </c>
      <c r="AB9045">
        <v>1E-4</v>
      </c>
      <c r="AC9045">
        <v>8</v>
      </c>
      <c r="AD9045" s="5">
        <v>5.1565452206815054</v>
      </c>
      <c r="AE9045" s="5">
        <v>2.1781916880611796</v>
      </c>
      <c r="AF9045">
        <v>1</v>
      </c>
    </row>
    <row r="9046" spans="27:32" x14ac:dyDescent="0.3">
      <c r="AA9046" s="3">
        <v>13539.59</v>
      </c>
      <c r="AB9046">
        <v>1E-4</v>
      </c>
      <c r="AC9046">
        <v>8</v>
      </c>
      <c r="AD9046" s="5">
        <v>5.0475446534102693</v>
      </c>
      <c r="AE9046" s="5">
        <v>2.2786579507023426</v>
      </c>
      <c r="AF9046">
        <v>1</v>
      </c>
    </row>
    <row r="9047" spans="27:32" x14ac:dyDescent="0.3">
      <c r="AA9047" s="3">
        <v>29640.91</v>
      </c>
      <c r="AB9047">
        <v>1E-4</v>
      </c>
      <c r="AC9047">
        <v>8</v>
      </c>
      <c r="AD9047" s="5">
        <v>5.0953285729329476</v>
      </c>
      <c r="AE9047" s="5">
        <v>2.1790444395435067</v>
      </c>
      <c r="AF9047">
        <v>1</v>
      </c>
    </row>
    <row r="9048" spans="27:32" x14ac:dyDescent="0.3">
      <c r="AA9048" s="3">
        <v>15191.31</v>
      </c>
      <c r="AB9048">
        <v>1E-4</v>
      </c>
      <c r="AC9048">
        <v>8</v>
      </c>
      <c r="AD9048" s="5">
        <v>4.9934074773574633</v>
      </c>
      <c r="AE9048" s="5">
        <v>2.1959698876528018</v>
      </c>
      <c r="AF9048">
        <v>1</v>
      </c>
    </row>
    <row r="9049" spans="27:32" x14ac:dyDescent="0.3">
      <c r="AA9049" s="3">
        <v>39326.03</v>
      </c>
      <c r="AB9049">
        <v>1E-4</v>
      </c>
      <c r="AC9049">
        <v>7</v>
      </c>
      <c r="AD9049" s="5">
        <v>5.03158409963675</v>
      </c>
      <c r="AE9049" s="5">
        <v>2.1452834800570186</v>
      </c>
      <c r="AF9049">
        <v>1</v>
      </c>
    </row>
    <row r="9050" spans="27:32" x14ac:dyDescent="0.3">
      <c r="AA9050" s="3">
        <v>13608.25</v>
      </c>
      <c r="AB9050">
        <v>1E-4</v>
      </c>
      <c r="AC9050">
        <v>8</v>
      </c>
      <c r="AD9050" s="5">
        <v>4.8808132464551548</v>
      </c>
      <c r="AE9050" s="5">
        <v>2.1951081007057178</v>
      </c>
      <c r="AF9050">
        <v>1</v>
      </c>
    </row>
    <row r="9051" spans="27:32" x14ac:dyDescent="0.3">
      <c r="AA9051" s="3">
        <v>2042.8</v>
      </c>
      <c r="AB9051">
        <v>1E-4</v>
      </c>
      <c r="AC9051">
        <v>8</v>
      </c>
      <c r="AD9051" s="5">
        <v>4.9152003928539747</v>
      </c>
      <c r="AE9051" s="5">
        <v>2.1266183967152386</v>
      </c>
      <c r="AF9051">
        <v>1</v>
      </c>
    </row>
    <row r="9052" spans="27:32" x14ac:dyDescent="0.3">
      <c r="AA9052" s="3">
        <v>-16846.28</v>
      </c>
      <c r="AB9052">
        <v>1E-4</v>
      </c>
      <c r="AC9052">
        <v>9</v>
      </c>
      <c r="AD9052" s="5">
        <v>4.9551456224769499</v>
      </c>
      <c r="AE9052" s="5">
        <v>2.2763400136087508</v>
      </c>
      <c r="AF9052">
        <v>1</v>
      </c>
    </row>
    <row r="9053" spans="27:32" x14ac:dyDescent="0.3">
      <c r="AA9053" s="3">
        <v>-19758.189999999999</v>
      </c>
      <c r="AB9053">
        <v>1E-4</v>
      </c>
      <c r="AC9053">
        <v>9</v>
      </c>
      <c r="AD9053" s="5">
        <v>4.8517470156111981</v>
      </c>
      <c r="AE9053" s="5">
        <v>2.2190196517569807</v>
      </c>
      <c r="AF9053">
        <v>1</v>
      </c>
    </row>
    <row r="9054" spans="27:32" x14ac:dyDescent="0.3">
      <c r="AA9054" s="3">
        <v>38055.300000000003</v>
      </c>
      <c r="AB9054">
        <v>1E-4</v>
      </c>
      <c r="AC9054">
        <v>7</v>
      </c>
      <c r="AD9054" s="5">
        <v>5.0450923043818516</v>
      </c>
      <c r="AE9054" s="5">
        <v>2.1736072113631462</v>
      </c>
      <c r="AF9054">
        <v>1</v>
      </c>
    </row>
    <row r="9055" spans="27:32" x14ac:dyDescent="0.3">
      <c r="AA9055" s="3">
        <v>-4930.3599999999997</v>
      </c>
      <c r="AB9055">
        <v>1E-4</v>
      </c>
      <c r="AC9055">
        <v>9</v>
      </c>
      <c r="AD9055" s="5">
        <v>4.8252956601589228</v>
      </c>
      <c r="AE9055" s="5">
        <v>2.1467379591608968</v>
      </c>
      <c r="AF9055">
        <v>1</v>
      </c>
    </row>
    <row r="9056" spans="27:32" x14ac:dyDescent="0.3">
      <c r="AA9056" s="3">
        <v>37570.18</v>
      </c>
      <c r="AB9056">
        <v>1E-4</v>
      </c>
      <c r="AC9056">
        <v>7</v>
      </c>
      <c r="AD9056" s="5">
        <v>5.0705360186176005</v>
      </c>
      <c r="AE9056" s="5">
        <v>2.1721429299922859</v>
      </c>
      <c r="AF9056">
        <v>1</v>
      </c>
    </row>
    <row r="9057" spans="27:32" x14ac:dyDescent="0.3">
      <c r="AA9057" s="3">
        <v>-4788.88</v>
      </c>
      <c r="AB9057">
        <v>1E-4</v>
      </c>
      <c r="AC9057">
        <v>9</v>
      </c>
      <c r="AD9057" s="5">
        <v>4.988799994860714</v>
      </c>
      <c r="AE9057" s="5">
        <v>2.1992023602043949</v>
      </c>
      <c r="AF9057">
        <v>1</v>
      </c>
    </row>
    <row r="9058" spans="27:32" x14ac:dyDescent="0.3">
      <c r="AA9058" s="3">
        <v>-501.43</v>
      </c>
      <c r="AB9058">
        <v>1E-4</v>
      </c>
      <c r="AC9058">
        <v>9</v>
      </c>
      <c r="AD9058" s="5">
        <v>5.1323588576826884</v>
      </c>
      <c r="AE9058" s="5">
        <v>2.1629519961139509</v>
      </c>
      <c r="AF9058">
        <v>1</v>
      </c>
    </row>
    <row r="9059" spans="27:32" x14ac:dyDescent="0.3">
      <c r="AA9059" s="3">
        <v>8524.16</v>
      </c>
      <c r="AB9059">
        <v>1E-4</v>
      </c>
      <c r="AC9059">
        <v>8</v>
      </c>
      <c r="AD9059" s="5">
        <v>4.9540135969804622</v>
      </c>
      <c r="AE9059" s="5">
        <v>2.1010014574373588</v>
      </c>
      <c r="AF9059">
        <v>1</v>
      </c>
    </row>
    <row r="9060" spans="27:32" x14ac:dyDescent="0.3">
      <c r="AA9060" s="3">
        <v>-3061.46</v>
      </c>
      <c r="AB9060">
        <v>1E-4</v>
      </c>
      <c r="AC9060">
        <v>9</v>
      </c>
      <c r="AD9060" s="5">
        <v>4.9523713314404771</v>
      </c>
      <c r="AE9060" s="5">
        <v>2.2828621176807609</v>
      </c>
      <c r="AF9060">
        <v>1</v>
      </c>
    </row>
    <row r="9061" spans="27:32" x14ac:dyDescent="0.3">
      <c r="AA9061" s="3">
        <v>6524.71</v>
      </c>
      <c r="AB9061">
        <v>1E-4</v>
      </c>
      <c r="AC9061">
        <v>8</v>
      </c>
      <c r="AD9061" s="5">
        <v>5.0700074480214816</v>
      </c>
      <c r="AE9061" s="5">
        <v>2.2545103040544898</v>
      </c>
      <c r="AF9061">
        <v>1</v>
      </c>
    </row>
    <row r="9062" spans="27:32" x14ac:dyDescent="0.3">
      <c r="AA9062" s="3">
        <v>39644.25</v>
      </c>
      <c r="AB9062">
        <v>1E-4</v>
      </c>
      <c r="AC9062">
        <v>7</v>
      </c>
      <c r="AD9062" s="5">
        <v>4.9695865615075512</v>
      </c>
      <c r="AE9062" s="5">
        <v>2.1575839237928349</v>
      </c>
      <c r="AF9062">
        <v>1</v>
      </c>
    </row>
    <row r="9063" spans="27:32" x14ac:dyDescent="0.3">
      <c r="AA9063" s="3">
        <v>31636.91</v>
      </c>
      <c r="AB9063">
        <v>1E-4</v>
      </c>
      <c r="AC9063">
        <v>7</v>
      </c>
      <c r="AD9063" s="5">
        <v>5.0003474585694212</v>
      </c>
      <c r="AE9063" s="5">
        <v>2.2802451843931255</v>
      </c>
      <c r="AF9063">
        <v>1</v>
      </c>
    </row>
    <row r="9064" spans="27:32" x14ac:dyDescent="0.3">
      <c r="AA9064" s="3">
        <v>10897.04</v>
      </c>
      <c r="AB9064">
        <v>1E-4</v>
      </c>
      <c r="AC9064">
        <v>8</v>
      </c>
      <c r="AD9064" s="5">
        <v>5.0620072466533186</v>
      </c>
      <c r="AE9064" s="5">
        <v>2.1831878335954662</v>
      </c>
      <c r="AF9064">
        <v>1</v>
      </c>
    </row>
    <row r="9065" spans="27:32" x14ac:dyDescent="0.3">
      <c r="AA9065" s="3">
        <v>-811.28</v>
      </c>
      <c r="AB9065">
        <v>1E-4</v>
      </c>
      <c r="AC9065">
        <v>9</v>
      </c>
      <c r="AD9065" s="5">
        <v>4.9315245780322767</v>
      </c>
      <c r="AE9065" s="5">
        <v>2.2546070825271793</v>
      </c>
      <c r="AF9065">
        <v>1</v>
      </c>
    </row>
    <row r="9066" spans="27:32" x14ac:dyDescent="0.3">
      <c r="AA9066" s="3">
        <v>23893.15</v>
      </c>
      <c r="AB9066">
        <v>1E-4</v>
      </c>
      <c r="AC9066">
        <v>8</v>
      </c>
      <c r="AD9066" s="5">
        <v>5.0758927168478447</v>
      </c>
      <c r="AE9066" s="5">
        <v>2.2221006013903519</v>
      </c>
      <c r="AF9066">
        <v>1</v>
      </c>
    </row>
    <row r="9067" spans="27:32" x14ac:dyDescent="0.3">
      <c r="AA9067" s="3">
        <v>21936.38</v>
      </c>
      <c r="AB9067">
        <v>1E-4</v>
      </c>
      <c r="AC9067">
        <v>8</v>
      </c>
      <c r="AD9067" s="5">
        <v>5.0335220706492274</v>
      </c>
      <c r="AE9067" s="5">
        <v>2.2135882176877004</v>
      </c>
      <c r="AF9067">
        <v>1</v>
      </c>
    </row>
    <row r="9068" spans="27:32" x14ac:dyDescent="0.3">
      <c r="AA9068" s="3">
        <v>8867.1</v>
      </c>
      <c r="AB9068">
        <v>1E-4</v>
      </c>
      <c r="AC9068">
        <v>8</v>
      </c>
      <c r="AD9068" s="5">
        <v>4.968328178405045</v>
      </c>
      <c r="AE9068" s="5">
        <v>2.0987312141485464</v>
      </c>
      <c r="AF9068">
        <v>1</v>
      </c>
    </row>
    <row r="9069" spans="27:32" x14ac:dyDescent="0.3">
      <c r="AA9069" s="3">
        <v>6886.16</v>
      </c>
      <c r="AB9069">
        <v>1E-4</v>
      </c>
      <c r="AC9069">
        <v>8</v>
      </c>
      <c r="AD9069" s="5">
        <v>5.0431884309014254</v>
      </c>
      <c r="AE9069" s="5">
        <v>2.1279584979515032</v>
      </c>
      <c r="AF9069">
        <v>1</v>
      </c>
    </row>
    <row r="9070" spans="27:32" x14ac:dyDescent="0.3">
      <c r="AA9070" s="3">
        <v>-1411.6020457607538</v>
      </c>
      <c r="AB9070">
        <v>1E-4</v>
      </c>
      <c r="AC9070">
        <v>8</v>
      </c>
      <c r="AD9070" s="5">
        <v>4.9975871660568369</v>
      </c>
      <c r="AE9070" s="5">
        <v>2.1799866512296497</v>
      </c>
      <c r="AF9070">
        <v>0</v>
      </c>
    </row>
    <row r="9071" spans="27:32" x14ac:dyDescent="0.3">
      <c r="AA9071" s="3">
        <v>7168.62</v>
      </c>
      <c r="AB9071">
        <v>1E-4</v>
      </c>
      <c r="AC9071">
        <v>8</v>
      </c>
      <c r="AD9071" s="5">
        <v>5.0327372075761287</v>
      </c>
      <c r="AE9071" s="5">
        <v>2.2274377054876466</v>
      </c>
      <c r="AF9071">
        <v>1</v>
      </c>
    </row>
    <row r="9072" spans="27:32" x14ac:dyDescent="0.3">
      <c r="AA9072" s="3">
        <v>16362.42</v>
      </c>
      <c r="AB9072">
        <v>1E-4</v>
      </c>
      <c r="AC9072">
        <v>8</v>
      </c>
      <c r="AD9072" s="5">
        <v>4.9332478713892005</v>
      </c>
      <c r="AE9072" s="5">
        <v>2.0859130796345391</v>
      </c>
      <c r="AF9072">
        <v>1</v>
      </c>
    </row>
    <row r="9073" spans="27:32" x14ac:dyDescent="0.3">
      <c r="AA9073" s="3">
        <v>10701.02</v>
      </c>
      <c r="AB9073">
        <v>1E-4</v>
      </c>
      <c r="AC9073">
        <v>8</v>
      </c>
      <c r="AD9073" s="5">
        <v>4.9205740479077784</v>
      </c>
      <c r="AE9073" s="5">
        <v>2.2794925519225631</v>
      </c>
      <c r="AF9073">
        <v>1</v>
      </c>
    </row>
    <row r="9074" spans="27:32" x14ac:dyDescent="0.3">
      <c r="AA9074" s="3">
        <v>9642.44</v>
      </c>
      <c r="AB9074">
        <v>1E-4</v>
      </c>
      <c r="AC9074">
        <v>8</v>
      </c>
      <c r="AD9074" s="5">
        <v>5.0285073064131582</v>
      </c>
      <c r="AE9074" s="5">
        <v>2.1575433039552627</v>
      </c>
      <c r="AF9074">
        <v>1</v>
      </c>
    </row>
    <row r="9075" spans="27:32" x14ac:dyDescent="0.3">
      <c r="AA9075" s="3">
        <v>21487.48</v>
      </c>
      <c r="AB9075">
        <v>1E-4</v>
      </c>
      <c r="AC9075">
        <v>8</v>
      </c>
      <c r="AD9075" s="5">
        <v>5.0548881117305955</v>
      </c>
      <c r="AE9075" s="5">
        <v>2.2694635811953328</v>
      </c>
      <c r="AF9075">
        <v>1</v>
      </c>
    </row>
    <row r="9076" spans="27:32" x14ac:dyDescent="0.3">
      <c r="AA9076" s="3">
        <v>47447.26</v>
      </c>
      <c r="AB9076">
        <v>1E-4</v>
      </c>
      <c r="AC9076">
        <v>6</v>
      </c>
      <c r="AD9076" s="5">
        <v>5.0192497305267549</v>
      </c>
      <c r="AE9076" s="5">
        <v>2.096690547045283</v>
      </c>
      <c r="AF9076">
        <v>1</v>
      </c>
    </row>
    <row r="9077" spans="27:32" x14ac:dyDescent="0.3">
      <c r="AA9077" s="3">
        <v>16815.79</v>
      </c>
      <c r="AB9077">
        <v>1E-4</v>
      </c>
      <c r="AC9077">
        <v>8</v>
      </c>
      <c r="AD9077" s="5">
        <v>5.0997318671266711</v>
      </c>
      <c r="AE9077" s="5">
        <v>2.2191411329623212</v>
      </c>
      <c r="AF9077">
        <v>1</v>
      </c>
    </row>
    <row r="9078" spans="27:32" x14ac:dyDescent="0.3">
      <c r="AA9078" s="3">
        <v>40802.559999999998</v>
      </c>
      <c r="AB9078">
        <v>1E-4</v>
      </c>
      <c r="AC9078">
        <v>7</v>
      </c>
      <c r="AD9078" s="5">
        <v>5.0608758361164377</v>
      </c>
      <c r="AE9078" s="5">
        <v>2.1604436496816035</v>
      </c>
      <c r="AF9078">
        <v>1</v>
      </c>
    </row>
    <row r="9079" spans="27:32" x14ac:dyDescent="0.3">
      <c r="AA9079" s="3">
        <v>8968.92</v>
      </c>
      <c r="AB9079">
        <v>1E-4</v>
      </c>
      <c r="AC9079">
        <v>8</v>
      </c>
      <c r="AD9079" s="5">
        <v>4.9302656382824495</v>
      </c>
      <c r="AE9079" s="5">
        <v>2.1425527553286785</v>
      </c>
      <c r="AF9079">
        <v>1</v>
      </c>
    </row>
    <row r="9080" spans="27:32" x14ac:dyDescent="0.3">
      <c r="AA9080" s="3">
        <v>23253.68</v>
      </c>
      <c r="AB9080">
        <v>1E-4</v>
      </c>
      <c r="AC9080">
        <v>8</v>
      </c>
      <c r="AD9080" s="5">
        <v>5.0362367057507926</v>
      </c>
      <c r="AE9080" s="5">
        <v>2.2105405024940792</v>
      </c>
      <c r="AF9080">
        <v>1</v>
      </c>
    </row>
    <row r="9081" spans="27:32" x14ac:dyDescent="0.3">
      <c r="AA9081" s="3">
        <v>-1135.06</v>
      </c>
      <c r="AB9081">
        <v>1E-4</v>
      </c>
      <c r="AC9081">
        <v>9</v>
      </c>
      <c r="AD9081" s="5">
        <v>4.9603103173470418</v>
      </c>
      <c r="AE9081" s="5">
        <v>2.229150932060834</v>
      </c>
      <c r="AF9081">
        <v>1</v>
      </c>
    </row>
    <row r="9082" spans="27:32" x14ac:dyDescent="0.3">
      <c r="AA9082" s="3">
        <v>4451.83</v>
      </c>
      <c r="AB9082">
        <v>1E-4</v>
      </c>
      <c r="AC9082">
        <v>8</v>
      </c>
      <c r="AD9082" s="5">
        <v>5.0004340848560833</v>
      </c>
      <c r="AE9082" s="5">
        <v>2.1952857780330048</v>
      </c>
      <c r="AF9082">
        <v>1</v>
      </c>
    </row>
    <row r="9083" spans="27:32" x14ac:dyDescent="0.3">
      <c r="AA9083" s="3">
        <v>6658.69</v>
      </c>
      <c r="AB9083">
        <v>1E-4</v>
      </c>
      <c r="AC9083">
        <v>8</v>
      </c>
      <c r="AD9083" s="5">
        <v>4.8660481812740919</v>
      </c>
      <c r="AE9083" s="5">
        <v>2.1398601348595543</v>
      </c>
      <c r="AF9083">
        <v>1</v>
      </c>
    </row>
    <row r="9084" spans="27:32" x14ac:dyDescent="0.3">
      <c r="AA9084" s="3">
        <v>2232.14</v>
      </c>
      <c r="AB9084">
        <v>1E-4</v>
      </c>
      <c r="AC9084">
        <v>8</v>
      </c>
      <c r="AD9084" s="5">
        <v>5.0676566490974171</v>
      </c>
      <c r="AE9084" s="5">
        <v>2.2745100899847857</v>
      </c>
      <c r="AF9084">
        <v>1</v>
      </c>
    </row>
    <row r="9085" spans="27:32" x14ac:dyDescent="0.3">
      <c r="AA9085" s="3">
        <v>37487.75</v>
      </c>
      <c r="AB9085">
        <v>1E-4</v>
      </c>
      <c r="AC9085">
        <v>7</v>
      </c>
      <c r="AD9085" s="5">
        <v>5.1945271319109816</v>
      </c>
      <c r="AE9085" s="5">
        <v>2.2261713226639941</v>
      </c>
      <c r="AF9085">
        <v>1</v>
      </c>
    </row>
    <row r="9086" spans="27:32" x14ac:dyDescent="0.3">
      <c r="AA9086" s="3">
        <v>26810.39</v>
      </c>
      <c r="AB9086">
        <v>1E-4</v>
      </c>
      <c r="AC9086">
        <v>8</v>
      </c>
      <c r="AD9086" s="5">
        <v>5.0829079461359825</v>
      </c>
      <c r="AE9086" s="5">
        <v>2.1837085102583442</v>
      </c>
      <c r="AF9086">
        <v>1</v>
      </c>
    </row>
    <row r="9087" spans="27:32" x14ac:dyDescent="0.3">
      <c r="AA9087" s="3">
        <v>22398.79</v>
      </c>
      <c r="AB9087">
        <v>1E-4</v>
      </c>
      <c r="AC9087">
        <v>8</v>
      </c>
      <c r="AD9087" s="5">
        <v>4.9358630277957269</v>
      </c>
      <c r="AE9087" s="5">
        <v>2.1377516421656093</v>
      </c>
      <c r="AF9087">
        <v>1</v>
      </c>
    </row>
    <row r="9088" spans="27:32" x14ac:dyDescent="0.3">
      <c r="AA9088" s="3">
        <v>-3149.65</v>
      </c>
      <c r="AB9088">
        <v>1E-4</v>
      </c>
      <c r="AC9088">
        <v>9</v>
      </c>
      <c r="AD9088" s="5">
        <v>5.063364235738943</v>
      </c>
      <c r="AE9088" s="5">
        <v>2.2153309413692241</v>
      </c>
      <c r="AF9088">
        <v>1</v>
      </c>
    </row>
    <row r="9089" spans="27:32" x14ac:dyDescent="0.3">
      <c r="AA9089" s="3">
        <v>23726.57</v>
      </c>
      <c r="AB9089">
        <v>1E-4</v>
      </c>
      <c r="AC9089">
        <v>8</v>
      </c>
      <c r="AD9089" s="5">
        <v>5.0875387632947184</v>
      </c>
      <c r="AE9089" s="5">
        <v>2.1962940294747124</v>
      </c>
      <c r="AF9089">
        <v>1</v>
      </c>
    </row>
    <row r="9090" spans="27:32" x14ac:dyDescent="0.3">
      <c r="AA9090" s="3">
        <v>1749.48</v>
      </c>
      <c r="AB9090">
        <v>1E-4</v>
      </c>
      <c r="AC9090">
        <v>8</v>
      </c>
      <c r="AD9090" s="5">
        <v>5.0341695211629007</v>
      </c>
      <c r="AE9090" s="5">
        <v>2.1927537307699132</v>
      </c>
      <c r="AF9090">
        <v>1</v>
      </c>
    </row>
    <row r="9091" spans="27:32" x14ac:dyDescent="0.3">
      <c r="AA9091" s="3">
        <v>45646.19</v>
      </c>
      <c r="AB9091">
        <v>1E-4</v>
      </c>
      <c r="AC9091">
        <v>7</v>
      </c>
      <c r="AD9091" s="5">
        <v>5.0927625761681758</v>
      </c>
      <c r="AE9091" s="5">
        <v>2.1734464869467911</v>
      </c>
      <c r="AF9091">
        <v>1</v>
      </c>
    </row>
    <row r="9092" spans="27:32" x14ac:dyDescent="0.3">
      <c r="AA9092" s="3">
        <v>14052.81</v>
      </c>
      <c r="AB9092">
        <v>1E-4</v>
      </c>
      <c r="AC9092">
        <v>8</v>
      </c>
      <c r="AD9092" s="5">
        <v>5.1572659706763515</v>
      </c>
      <c r="AE9092" s="5">
        <v>2.2542334697912181</v>
      </c>
      <c r="AF9092">
        <v>1</v>
      </c>
    </row>
    <row r="9093" spans="27:32" x14ac:dyDescent="0.3">
      <c r="AA9093" s="3">
        <v>24216.58</v>
      </c>
      <c r="AB9093">
        <v>1E-4</v>
      </c>
      <c r="AC9093">
        <v>8</v>
      </c>
      <c r="AD9093" s="5">
        <v>4.9183484845423537</v>
      </c>
      <c r="AE9093" s="5">
        <v>2.0977948510926576</v>
      </c>
      <c r="AF9093">
        <v>1</v>
      </c>
    </row>
    <row r="9094" spans="27:32" x14ac:dyDescent="0.3">
      <c r="AA9094" s="3">
        <v>-16633.75</v>
      </c>
      <c r="AB9094">
        <v>1E-4</v>
      </c>
      <c r="AC9094">
        <v>9</v>
      </c>
      <c r="AD9094" s="5">
        <v>4.9000633816328403</v>
      </c>
      <c r="AE9094" s="5">
        <v>2.2614628292550845</v>
      </c>
      <c r="AF9094">
        <v>1</v>
      </c>
    </row>
    <row r="9095" spans="27:32" x14ac:dyDescent="0.3">
      <c r="AA9095" s="3">
        <v>36573.599999999999</v>
      </c>
      <c r="AB9095">
        <v>1E-4</v>
      </c>
      <c r="AC9095">
        <v>7</v>
      </c>
      <c r="AD9095" s="5">
        <v>5.0483742212569416</v>
      </c>
      <c r="AE9095" s="5">
        <v>2.2429458921469467</v>
      </c>
      <c r="AF9095">
        <v>1</v>
      </c>
    </row>
    <row r="9096" spans="27:32" x14ac:dyDescent="0.3">
      <c r="AA9096" s="3">
        <v>15993.47</v>
      </c>
      <c r="AB9096">
        <v>1E-4</v>
      </c>
      <c r="AC9096">
        <v>8</v>
      </c>
      <c r="AD9096" s="5">
        <v>5.040747162170562</v>
      </c>
      <c r="AE9096" s="5">
        <v>2.2021286911624673</v>
      </c>
      <c r="AF9096">
        <v>1</v>
      </c>
    </row>
    <row r="9097" spans="27:32" x14ac:dyDescent="0.3">
      <c r="AA9097" s="3">
        <v>27502.57</v>
      </c>
      <c r="AB9097">
        <v>1E-4</v>
      </c>
      <c r="AC9097">
        <v>8</v>
      </c>
      <c r="AD9097" s="5">
        <v>4.9835746314568778</v>
      </c>
      <c r="AE9097" s="5">
        <v>2.2001292289597694</v>
      </c>
      <c r="AF9097">
        <v>1</v>
      </c>
    </row>
    <row r="9098" spans="27:32" x14ac:dyDescent="0.3">
      <c r="AA9098" s="3">
        <v>40065.46</v>
      </c>
      <c r="AB9098">
        <v>1E-4</v>
      </c>
      <c r="AC9098">
        <v>7</v>
      </c>
      <c r="AD9098" s="5">
        <v>5.1159073825347408</v>
      </c>
      <c r="AE9098" s="5">
        <v>2.1459984354401085</v>
      </c>
      <c r="AF9098">
        <v>1</v>
      </c>
    </row>
    <row r="9099" spans="27:32" x14ac:dyDescent="0.3">
      <c r="AA9099" s="3">
        <v>-8723.8799999999992</v>
      </c>
      <c r="AB9099">
        <v>1E-4</v>
      </c>
      <c r="AC9099">
        <v>9</v>
      </c>
      <c r="AD9099" s="5">
        <v>4.909493555021835</v>
      </c>
      <c r="AE9099" s="5">
        <v>2.2371653685802038</v>
      </c>
      <c r="AF9099">
        <v>1</v>
      </c>
    </row>
    <row r="9100" spans="27:32" x14ac:dyDescent="0.3">
      <c r="AA9100" s="3">
        <v>20226.240000000002</v>
      </c>
      <c r="AB9100">
        <v>1E-4</v>
      </c>
      <c r="AC9100">
        <v>8</v>
      </c>
      <c r="AD9100" s="5">
        <v>5.0932566145562399</v>
      </c>
      <c r="AE9100" s="5">
        <v>2.1358112350406531</v>
      </c>
      <c r="AF9100">
        <v>1</v>
      </c>
    </row>
    <row r="9101" spans="27:32" x14ac:dyDescent="0.3">
      <c r="AA9101" s="3">
        <v>27878.95</v>
      </c>
      <c r="AB9101">
        <v>1E-4</v>
      </c>
      <c r="AC9101">
        <v>8</v>
      </c>
      <c r="AD9101" s="5">
        <v>5.0927423713727409</v>
      </c>
      <c r="AE9101" s="5">
        <v>2.2972276301119487</v>
      </c>
      <c r="AF9101">
        <v>1</v>
      </c>
    </row>
    <row r="9102" spans="27:32" x14ac:dyDescent="0.3">
      <c r="AA9102" s="3">
        <v>18509.86</v>
      </c>
      <c r="AB9102">
        <v>1E-4</v>
      </c>
      <c r="AC9102">
        <v>8</v>
      </c>
      <c r="AD9102" s="5">
        <v>4.9715071504680974</v>
      </c>
      <c r="AE9102" s="5">
        <v>2.1570912767824151</v>
      </c>
      <c r="AF9102">
        <v>1</v>
      </c>
    </row>
    <row r="9103" spans="27:32" x14ac:dyDescent="0.3">
      <c r="AA9103" s="3">
        <v>16373.69</v>
      </c>
      <c r="AB9103">
        <v>1E-4</v>
      </c>
      <c r="AC9103">
        <v>8</v>
      </c>
      <c r="AD9103" s="5">
        <v>4.922323852806616</v>
      </c>
      <c r="AE9103" s="5">
        <v>2.1586983076301753</v>
      </c>
      <c r="AF9103">
        <v>1</v>
      </c>
    </row>
    <row r="9104" spans="27:32" x14ac:dyDescent="0.3">
      <c r="AA9104" s="3">
        <v>-30988.12</v>
      </c>
      <c r="AB9104">
        <v>1E-4</v>
      </c>
      <c r="AC9104">
        <v>9</v>
      </c>
      <c r="AD9104" s="5">
        <v>5.0498028836716511</v>
      </c>
      <c r="AE9104" s="5">
        <v>2.2454040374020305</v>
      </c>
      <c r="AF9104">
        <v>1</v>
      </c>
    </row>
    <row r="9105" spans="27:32" x14ac:dyDescent="0.3">
      <c r="AA9105" s="3">
        <v>24427.98</v>
      </c>
      <c r="AB9105">
        <v>1E-4</v>
      </c>
      <c r="AC9105">
        <v>8</v>
      </c>
      <c r="AD9105" s="5">
        <v>5.0294269937273768</v>
      </c>
      <c r="AE9105" s="5">
        <v>2.1418928553218333</v>
      </c>
      <c r="AF9105">
        <v>1</v>
      </c>
    </row>
    <row r="9106" spans="27:32" x14ac:dyDescent="0.3">
      <c r="AA9106" s="3">
        <v>28088.03</v>
      </c>
      <c r="AB9106">
        <v>1E-4</v>
      </c>
      <c r="AC9106">
        <v>8</v>
      </c>
      <c r="AD9106" s="5">
        <v>5.0120264736141298</v>
      </c>
      <c r="AE9106" s="5">
        <v>2.1933721725353714</v>
      </c>
      <c r="AF9106">
        <v>1</v>
      </c>
    </row>
    <row r="9107" spans="27:32" x14ac:dyDescent="0.3">
      <c r="AA9107" s="3">
        <v>24104.39</v>
      </c>
      <c r="AB9107">
        <v>1E-4</v>
      </c>
      <c r="AC9107">
        <v>8</v>
      </c>
      <c r="AD9107" s="5">
        <v>4.9826272044673976</v>
      </c>
      <c r="AE9107" s="5">
        <v>2.2804308027221265</v>
      </c>
      <c r="AF9107">
        <v>1</v>
      </c>
    </row>
    <row r="9108" spans="27:32" x14ac:dyDescent="0.3">
      <c r="AA9108" s="3">
        <v>27862.240000000002</v>
      </c>
      <c r="AB9108">
        <v>1E-4</v>
      </c>
      <c r="AC9108">
        <v>7</v>
      </c>
      <c r="AD9108" s="5">
        <v>4.833464076051043</v>
      </c>
      <c r="AE9108" s="5">
        <v>2.1351716124877829</v>
      </c>
      <c r="AF9108">
        <v>1</v>
      </c>
    </row>
    <row r="9109" spans="27:32" x14ac:dyDescent="0.3">
      <c r="AA9109" s="3">
        <v>33720.480000000003</v>
      </c>
      <c r="AB9109">
        <v>1E-4</v>
      </c>
      <c r="AC9109">
        <v>7</v>
      </c>
      <c r="AD9109" s="5">
        <v>5.1399292460204968</v>
      </c>
      <c r="AE9109" s="5">
        <v>2.0923826112852693</v>
      </c>
      <c r="AF9109">
        <v>1</v>
      </c>
    </row>
    <row r="9110" spans="27:32" x14ac:dyDescent="0.3">
      <c r="AA9110" s="3">
        <v>15542.79</v>
      </c>
      <c r="AB9110">
        <v>1E-4</v>
      </c>
      <c r="AC9110">
        <v>8</v>
      </c>
      <c r="AD9110" s="5">
        <v>5.0168448047639345</v>
      </c>
      <c r="AE9110" s="5">
        <v>2.2224687319802507</v>
      </c>
      <c r="AF9110">
        <v>1</v>
      </c>
    </row>
    <row r="9111" spans="27:32" x14ac:dyDescent="0.3">
      <c r="AA9111" s="3">
        <v>51045.39</v>
      </c>
      <c r="AB9111">
        <v>1E-4</v>
      </c>
      <c r="AC9111">
        <v>7</v>
      </c>
      <c r="AD9111" s="5">
        <v>5.1747088340814891</v>
      </c>
      <c r="AE9111" s="5">
        <v>2.1704594663408514</v>
      </c>
      <c r="AF9111">
        <v>1</v>
      </c>
    </row>
    <row r="9112" spans="27:32" x14ac:dyDescent="0.3">
      <c r="AA9112" s="3">
        <v>25410.52</v>
      </c>
      <c r="AB9112">
        <v>1E-4</v>
      </c>
      <c r="AC9112">
        <v>8</v>
      </c>
      <c r="AD9112" s="5">
        <v>5.0106893826138101</v>
      </c>
      <c r="AE9112" s="5">
        <v>2.1157866945109349</v>
      </c>
      <c r="AF9112">
        <v>1</v>
      </c>
    </row>
    <row r="9113" spans="27:32" x14ac:dyDescent="0.3">
      <c r="AA9113" s="3">
        <v>22528.29</v>
      </c>
      <c r="AB9113">
        <v>1E-4</v>
      </c>
      <c r="AC9113">
        <v>8</v>
      </c>
      <c r="AD9113" s="5">
        <v>5.0585801870479248</v>
      </c>
      <c r="AE9113" s="5">
        <v>2.1914591609350014</v>
      </c>
      <c r="AF9113">
        <v>1</v>
      </c>
    </row>
    <row r="9114" spans="27:32" x14ac:dyDescent="0.3">
      <c r="AA9114" s="3">
        <v>6719.83</v>
      </c>
      <c r="AB9114">
        <v>1E-4</v>
      </c>
      <c r="AC9114">
        <v>8</v>
      </c>
      <c r="AD9114" s="5">
        <v>5.0073201378962473</v>
      </c>
      <c r="AE9114" s="5">
        <v>2.2191825026527296</v>
      </c>
      <c r="AF9114">
        <v>1</v>
      </c>
    </row>
    <row r="9115" spans="27:32" x14ac:dyDescent="0.3">
      <c r="AA9115" s="3">
        <v>24082.54</v>
      </c>
      <c r="AB9115">
        <v>1E-4</v>
      </c>
      <c r="AC9115">
        <v>8</v>
      </c>
      <c r="AD9115" s="5">
        <v>4.9551803643285206</v>
      </c>
      <c r="AE9115" s="5">
        <v>2.2715471330597876</v>
      </c>
      <c r="AF9115">
        <v>1</v>
      </c>
    </row>
    <row r="9116" spans="27:32" x14ac:dyDescent="0.3">
      <c r="AA9116" s="3">
        <v>21807.03</v>
      </c>
      <c r="AB9116">
        <v>1E-4</v>
      </c>
      <c r="AC9116">
        <v>8</v>
      </c>
      <c r="AD9116" s="5">
        <v>4.836360392831172</v>
      </c>
      <c r="AE9116" s="5">
        <v>2.0149095206205456</v>
      </c>
      <c r="AF9116">
        <v>1</v>
      </c>
    </row>
    <row r="9117" spans="27:32" x14ac:dyDescent="0.3">
      <c r="AA9117" s="3">
        <v>10279.469999999999</v>
      </c>
      <c r="AB9117">
        <v>1E-4</v>
      </c>
      <c r="AC9117">
        <v>8</v>
      </c>
      <c r="AD9117" s="5">
        <v>5.1145365760596677</v>
      </c>
      <c r="AE9117" s="5">
        <v>2.2481202037074755</v>
      </c>
      <c r="AF9117">
        <v>1</v>
      </c>
    </row>
    <row r="9118" spans="27:32" x14ac:dyDescent="0.3">
      <c r="AA9118" s="3">
        <v>34940.19</v>
      </c>
      <c r="AB9118">
        <v>1E-4</v>
      </c>
      <c r="AC9118">
        <v>7</v>
      </c>
      <c r="AD9118" s="5">
        <v>4.9960545948486752</v>
      </c>
      <c r="AE9118" s="5">
        <v>2.2151904069262689</v>
      </c>
      <c r="AF9118">
        <v>1</v>
      </c>
    </row>
    <row r="9119" spans="27:32" x14ac:dyDescent="0.3">
      <c r="AA9119" s="3">
        <v>-3517.55</v>
      </c>
      <c r="AB9119">
        <v>1E-4</v>
      </c>
      <c r="AC9119">
        <v>9</v>
      </c>
      <c r="AD9119" s="5">
        <v>4.9943896161760781</v>
      </c>
      <c r="AE9119" s="5">
        <v>2.1234510584768862</v>
      </c>
      <c r="AF9119">
        <v>1</v>
      </c>
    </row>
    <row r="9120" spans="27:32" x14ac:dyDescent="0.3">
      <c r="AA9120" s="3">
        <v>41989.84</v>
      </c>
      <c r="AB9120">
        <v>1E-4</v>
      </c>
      <c r="AC9120">
        <v>7</v>
      </c>
      <c r="AD9120" s="5">
        <v>5.1104745307981929</v>
      </c>
      <c r="AE9120" s="5">
        <v>2.1847255996401236</v>
      </c>
      <c r="AF9120">
        <v>1</v>
      </c>
    </row>
    <row r="9121" spans="27:32" x14ac:dyDescent="0.3">
      <c r="AA9121" s="3">
        <v>-6461.57</v>
      </c>
      <c r="AB9121">
        <v>1E-4</v>
      </c>
      <c r="AC9121">
        <v>9</v>
      </c>
      <c r="AD9121" s="5">
        <v>4.9681563747946376</v>
      </c>
      <c r="AE9121" s="5">
        <v>2.1974804441901123</v>
      </c>
      <c r="AF9121">
        <v>1</v>
      </c>
    </row>
    <row r="9122" spans="27:32" x14ac:dyDescent="0.3">
      <c r="AA9122" s="3">
        <v>27673.79</v>
      </c>
      <c r="AB9122">
        <v>1E-4</v>
      </c>
      <c r="AC9122">
        <v>8</v>
      </c>
      <c r="AD9122" s="5">
        <v>5.0527985306425736</v>
      </c>
      <c r="AE9122" s="5">
        <v>2.2161133705672533</v>
      </c>
      <c r="AF9122">
        <v>1</v>
      </c>
    </row>
    <row r="9123" spans="27:32" x14ac:dyDescent="0.3">
      <c r="AA9123" s="3">
        <v>-8942.44</v>
      </c>
      <c r="AB9123">
        <v>1E-4</v>
      </c>
      <c r="AC9123">
        <v>9</v>
      </c>
      <c r="AD9123" s="5">
        <v>4.8279005455312829</v>
      </c>
      <c r="AE9123" s="5">
        <v>2.1919192729478172</v>
      </c>
      <c r="AF9123">
        <v>1</v>
      </c>
    </row>
    <row r="9124" spans="27:32" x14ac:dyDescent="0.3">
      <c r="AA9124" s="3">
        <v>32190.12</v>
      </c>
      <c r="AB9124">
        <v>1E-4</v>
      </c>
      <c r="AC9124">
        <v>7</v>
      </c>
      <c r="AD9124" s="5">
        <v>4.9171497241373663</v>
      </c>
      <c r="AE9124" s="5">
        <v>2.2050608435349144</v>
      </c>
      <c r="AF9124">
        <v>1</v>
      </c>
    </row>
    <row r="9125" spans="27:32" x14ac:dyDescent="0.3">
      <c r="AA9125" s="3">
        <v>15827.28</v>
      </c>
      <c r="AB9125">
        <v>1E-4</v>
      </c>
      <c r="AC9125">
        <v>8</v>
      </c>
      <c r="AD9125" s="5">
        <v>4.9500543803002346</v>
      </c>
      <c r="AE9125" s="5">
        <v>2.170937524543529</v>
      </c>
      <c r="AF9125">
        <v>1</v>
      </c>
    </row>
    <row r="9126" spans="27:32" x14ac:dyDescent="0.3">
      <c r="AA9126" s="3">
        <v>40748.089999999997</v>
      </c>
      <c r="AB9126">
        <v>1E-4</v>
      </c>
      <c r="AC9126">
        <v>7</v>
      </c>
      <c r="AD9126" s="5">
        <v>5.1054206485118403</v>
      </c>
      <c r="AE9126" s="5">
        <v>2.1947623135118994</v>
      </c>
      <c r="AF9126">
        <v>1</v>
      </c>
    </row>
    <row r="9127" spans="27:32" x14ac:dyDescent="0.3">
      <c r="AA9127" s="3">
        <v>20353.84</v>
      </c>
      <c r="AB9127">
        <v>1E-4</v>
      </c>
      <c r="AC9127">
        <v>8</v>
      </c>
      <c r="AD9127" s="5">
        <v>5.0522409730606261</v>
      </c>
      <c r="AE9127" s="5">
        <v>2.2306308938732418</v>
      </c>
      <c r="AF9127">
        <v>1</v>
      </c>
    </row>
    <row r="9128" spans="27:32" x14ac:dyDescent="0.3">
      <c r="AA9128" s="3">
        <v>23722.79</v>
      </c>
      <c r="AB9128">
        <v>1E-4</v>
      </c>
      <c r="AC9128">
        <v>8</v>
      </c>
      <c r="AD9128" s="5">
        <v>5.054890407436508</v>
      </c>
      <c r="AE9128" s="5">
        <v>2.1947192041606138</v>
      </c>
      <c r="AF9128">
        <v>1</v>
      </c>
    </row>
    <row r="9129" spans="27:32" x14ac:dyDescent="0.3">
      <c r="AA9129" s="3">
        <v>16938.900000000001</v>
      </c>
      <c r="AB9129">
        <v>1E-4</v>
      </c>
      <c r="AC9129">
        <v>8</v>
      </c>
      <c r="AD9129" s="5">
        <v>5.0916331534032055</v>
      </c>
      <c r="AE9129" s="5">
        <v>2.2104501113387256</v>
      </c>
      <c r="AF9129">
        <v>1</v>
      </c>
    </row>
    <row r="9130" spans="27:32" x14ac:dyDescent="0.3">
      <c r="AA9130" s="3">
        <v>13113.21</v>
      </c>
      <c r="AB9130">
        <v>1E-4</v>
      </c>
      <c r="AC9130">
        <v>8</v>
      </c>
      <c r="AD9130" s="5">
        <v>4.8288395718510841</v>
      </c>
      <c r="AE9130" s="5">
        <v>2.1975548805144083</v>
      </c>
      <c r="AF9130">
        <v>1</v>
      </c>
    </row>
    <row r="9131" spans="27:32" x14ac:dyDescent="0.3">
      <c r="AA9131" s="3">
        <v>22357.32</v>
      </c>
      <c r="AB9131">
        <v>1E-4</v>
      </c>
      <c r="AC9131">
        <v>8</v>
      </c>
      <c r="AD9131" s="5">
        <v>4.9989567973538538</v>
      </c>
      <c r="AE9131" s="5">
        <v>2.120833913366464</v>
      </c>
      <c r="AF9131">
        <v>1</v>
      </c>
    </row>
    <row r="9132" spans="27:32" x14ac:dyDescent="0.3">
      <c r="AA9132" s="3">
        <v>17003.07</v>
      </c>
      <c r="AB9132">
        <v>1E-4</v>
      </c>
      <c r="AC9132">
        <v>8</v>
      </c>
      <c r="AD9132" s="5">
        <v>5.2558781365318739</v>
      </c>
      <c r="AE9132" s="5">
        <v>2.2086772919688742</v>
      </c>
      <c r="AF9132">
        <v>1</v>
      </c>
    </row>
    <row r="9133" spans="27:32" x14ac:dyDescent="0.3">
      <c r="AA9133" s="3">
        <v>14036.09</v>
      </c>
      <c r="AB9133">
        <v>1E-4</v>
      </c>
      <c r="AC9133">
        <v>8</v>
      </c>
      <c r="AD9133" s="5">
        <v>4.9437543973579219</v>
      </c>
      <c r="AE9133" s="5">
        <v>2.2554298319402082</v>
      </c>
      <c r="AF9133">
        <v>1</v>
      </c>
    </row>
    <row r="9134" spans="27:32" x14ac:dyDescent="0.3">
      <c r="AA9134" s="3">
        <v>-7577.77</v>
      </c>
      <c r="AB9134">
        <v>1E-4</v>
      </c>
      <c r="AC9134">
        <v>9</v>
      </c>
      <c r="AD9134" s="5">
        <v>5.014367274511657</v>
      </c>
      <c r="AE9134" s="5">
        <v>2.2522548777207776</v>
      </c>
      <c r="AF9134">
        <v>1</v>
      </c>
    </row>
    <row r="9135" spans="27:32" x14ac:dyDescent="0.3">
      <c r="AA9135" s="3">
        <v>35492.32</v>
      </c>
      <c r="AB9135">
        <v>1E-4</v>
      </c>
      <c r="AC9135">
        <v>7</v>
      </c>
      <c r="AD9135" s="5">
        <v>5.0218649911614275</v>
      </c>
      <c r="AE9135" s="5">
        <v>2.1368808241625055</v>
      </c>
      <c r="AF9135">
        <v>1</v>
      </c>
    </row>
    <row r="9136" spans="27:32" x14ac:dyDescent="0.3">
      <c r="AA9136" s="3">
        <v>41629.19</v>
      </c>
      <c r="AB9136">
        <v>1E-4</v>
      </c>
      <c r="AC9136">
        <v>7</v>
      </c>
      <c r="AD9136" s="5">
        <v>5.0071705742479278</v>
      </c>
      <c r="AE9136" s="5">
        <v>2.1737111141644045</v>
      </c>
      <c r="AF9136">
        <v>1</v>
      </c>
    </row>
    <row r="9137" spans="27:32" x14ac:dyDescent="0.3">
      <c r="AA9137" s="3">
        <v>32006.98</v>
      </c>
      <c r="AB9137">
        <v>1E-4</v>
      </c>
      <c r="AC9137">
        <v>7</v>
      </c>
      <c r="AD9137" s="5">
        <v>4.9980727203861655</v>
      </c>
      <c r="AE9137" s="5">
        <v>2.129446008868177</v>
      </c>
      <c r="AF9137">
        <v>1</v>
      </c>
    </row>
    <row r="9138" spans="27:32" x14ac:dyDescent="0.3">
      <c r="AA9138" s="3">
        <v>21721.78</v>
      </c>
      <c r="AB9138">
        <v>1E-4</v>
      </c>
      <c r="AC9138">
        <v>8</v>
      </c>
      <c r="AD9138" s="5">
        <v>5.0966400818225415</v>
      </c>
      <c r="AE9138" s="5">
        <v>2.1150519214486421</v>
      </c>
      <c r="AF9138">
        <v>1</v>
      </c>
    </row>
    <row r="9139" spans="27:32" x14ac:dyDescent="0.3">
      <c r="AA9139" s="3">
        <v>-9155.16</v>
      </c>
      <c r="AB9139">
        <v>1E-4</v>
      </c>
      <c r="AC9139">
        <v>9</v>
      </c>
      <c r="AD9139" s="5">
        <v>4.9337609766124455</v>
      </c>
      <c r="AE9139" s="5">
        <v>2.2100066494659485</v>
      </c>
      <c r="AF9139">
        <v>1</v>
      </c>
    </row>
    <row r="9140" spans="27:32" x14ac:dyDescent="0.3">
      <c r="AA9140" s="3">
        <v>30611.14</v>
      </c>
      <c r="AB9140">
        <v>1E-4</v>
      </c>
      <c r="AC9140">
        <v>8</v>
      </c>
      <c r="AD9140" s="5">
        <v>4.9665026935952863</v>
      </c>
      <c r="AE9140" s="5">
        <v>2.2425692805115984</v>
      </c>
      <c r="AF9140">
        <v>1</v>
      </c>
    </row>
    <row r="9141" spans="27:32" x14ac:dyDescent="0.3">
      <c r="AA9141" s="3">
        <v>31901.02</v>
      </c>
      <c r="AB9141">
        <v>1E-4</v>
      </c>
      <c r="AC9141">
        <v>7</v>
      </c>
      <c r="AD9141" s="5">
        <v>5.1036706655405926</v>
      </c>
      <c r="AE9141" s="5">
        <v>2.2590214282319261</v>
      </c>
      <c r="AF9141">
        <v>1</v>
      </c>
    </row>
    <row r="9142" spans="27:32" x14ac:dyDescent="0.3">
      <c r="AA9142" s="3">
        <v>571.11</v>
      </c>
      <c r="AB9142">
        <v>1E-4</v>
      </c>
      <c r="AC9142">
        <v>8</v>
      </c>
      <c r="AD9142" s="5">
        <v>4.8085485809042572</v>
      </c>
      <c r="AE9142" s="5">
        <v>2.2049876702256124</v>
      </c>
      <c r="AF9142">
        <v>1</v>
      </c>
    </row>
    <row r="9143" spans="27:32" x14ac:dyDescent="0.3">
      <c r="AA9143" s="3">
        <v>3627.49</v>
      </c>
      <c r="AB9143">
        <v>1E-4</v>
      </c>
      <c r="AC9143">
        <v>8</v>
      </c>
      <c r="AD9143" s="5">
        <v>5.0064308346483966</v>
      </c>
      <c r="AE9143" s="5">
        <v>2.2216292361695826</v>
      </c>
      <c r="AF9143">
        <v>1</v>
      </c>
    </row>
    <row r="9144" spans="27:32" x14ac:dyDescent="0.3">
      <c r="AA9144" s="3">
        <v>19220.849999999999</v>
      </c>
      <c r="AB9144">
        <v>1E-4</v>
      </c>
      <c r="AC9144">
        <v>8</v>
      </c>
      <c r="AD9144" s="5">
        <v>4.9832734495614339</v>
      </c>
      <c r="AE9144" s="5">
        <v>2.2181544177314727</v>
      </c>
      <c r="AF9144">
        <v>1</v>
      </c>
    </row>
    <row r="9145" spans="27:32" x14ac:dyDescent="0.3">
      <c r="AA9145" s="3">
        <v>25892.9</v>
      </c>
      <c r="AB9145">
        <v>1E-4</v>
      </c>
      <c r="AC9145">
        <v>8</v>
      </c>
      <c r="AD9145" s="5">
        <v>5.0644634455405626</v>
      </c>
      <c r="AE9145" s="5">
        <v>2.1719726177672336</v>
      </c>
      <c r="AF9145">
        <v>1</v>
      </c>
    </row>
    <row r="9146" spans="27:32" x14ac:dyDescent="0.3">
      <c r="AA9146" s="3">
        <v>15168.18</v>
      </c>
      <c r="AB9146">
        <v>1E-4</v>
      </c>
      <c r="AC9146">
        <v>8</v>
      </c>
      <c r="AD9146" s="5">
        <v>5.1006487696757867</v>
      </c>
      <c r="AE9146" s="5">
        <v>2.2107509000907153</v>
      </c>
      <c r="AF9146">
        <v>1</v>
      </c>
    </row>
    <row r="9147" spans="27:32" x14ac:dyDescent="0.3">
      <c r="AA9147" s="3">
        <v>6503.58</v>
      </c>
      <c r="AB9147">
        <v>1E-4</v>
      </c>
      <c r="AC9147">
        <v>8</v>
      </c>
      <c r="AD9147" s="5">
        <v>5.2113766357738029</v>
      </c>
      <c r="AE9147" s="5">
        <v>2.1529223435318632</v>
      </c>
      <c r="AF9147">
        <v>1</v>
      </c>
    </row>
    <row r="9148" spans="27:32" x14ac:dyDescent="0.3">
      <c r="AA9148" s="3">
        <v>5670.04</v>
      </c>
      <c r="AB9148">
        <v>1E-4</v>
      </c>
      <c r="AC9148">
        <v>8</v>
      </c>
      <c r="AD9148" s="5">
        <v>5.0312389311749097</v>
      </c>
      <c r="AE9148" s="5">
        <v>2.2104864253915553</v>
      </c>
      <c r="AF9148">
        <v>1</v>
      </c>
    </row>
    <row r="9149" spans="27:32" x14ac:dyDescent="0.3">
      <c r="AA9149" s="3">
        <v>10788.87</v>
      </c>
      <c r="AB9149">
        <v>1E-4</v>
      </c>
      <c r="AC9149">
        <v>8</v>
      </c>
      <c r="AD9149" s="5">
        <v>4.961931898780028</v>
      </c>
      <c r="AE9149" s="5">
        <v>2.232516994772463</v>
      </c>
      <c r="AF9149">
        <v>1</v>
      </c>
    </row>
    <row r="9150" spans="27:32" x14ac:dyDescent="0.3">
      <c r="AA9150" s="3">
        <v>39308.69</v>
      </c>
      <c r="AB9150">
        <v>1E-4</v>
      </c>
      <c r="AC9150">
        <v>7</v>
      </c>
      <c r="AD9150" s="5">
        <v>5.0696803791329481</v>
      </c>
      <c r="AE9150" s="5">
        <v>2.2157054267493619</v>
      </c>
      <c r="AF9150">
        <v>1</v>
      </c>
    </row>
    <row r="9151" spans="27:32" x14ac:dyDescent="0.3">
      <c r="AA9151" s="3">
        <v>11048.76</v>
      </c>
      <c r="AB9151">
        <v>1E-4</v>
      </c>
      <c r="AC9151">
        <v>8</v>
      </c>
      <c r="AD9151" s="5">
        <v>4.957421210226296</v>
      </c>
      <c r="AE9151" s="5">
        <v>2.1854259396506173</v>
      </c>
      <c r="AF9151">
        <v>1</v>
      </c>
    </row>
    <row r="9152" spans="27:32" x14ac:dyDescent="0.3">
      <c r="AA9152" s="3">
        <v>19844.05</v>
      </c>
      <c r="AB9152">
        <v>1E-4</v>
      </c>
      <c r="AC9152">
        <v>8</v>
      </c>
      <c r="AD9152" s="5">
        <v>5.0431166327302508</v>
      </c>
      <c r="AE9152" s="5">
        <v>2.220465254347022</v>
      </c>
      <c r="AF9152">
        <v>1</v>
      </c>
    </row>
    <row r="9153" spans="27:32" x14ac:dyDescent="0.3">
      <c r="AA9153" s="3">
        <v>-12865.19</v>
      </c>
      <c r="AB9153">
        <v>1E-4</v>
      </c>
      <c r="AC9153">
        <v>9</v>
      </c>
      <c r="AD9153" s="5">
        <v>4.9984947453728816</v>
      </c>
      <c r="AE9153" s="5">
        <v>2.2079031473852981</v>
      </c>
      <c r="AF9153">
        <v>1</v>
      </c>
    </row>
    <row r="9154" spans="27:32" x14ac:dyDescent="0.3">
      <c r="AA9154" s="3">
        <v>12162.32</v>
      </c>
      <c r="AB9154">
        <v>1E-4</v>
      </c>
      <c r="AC9154">
        <v>8</v>
      </c>
      <c r="AD9154" s="5">
        <v>4.8425319437718191</v>
      </c>
      <c r="AE9154" s="5">
        <v>2.1424144224247841</v>
      </c>
      <c r="AF9154">
        <v>1</v>
      </c>
    </row>
    <row r="9155" spans="27:32" x14ac:dyDescent="0.3">
      <c r="AA9155" s="3">
        <v>46257.04</v>
      </c>
      <c r="AB9155">
        <v>1E-4</v>
      </c>
      <c r="AC9155">
        <v>7</v>
      </c>
      <c r="AD9155" s="5">
        <v>5.0577892280398151</v>
      </c>
      <c r="AE9155" s="5">
        <v>2.2236249103813628</v>
      </c>
      <c r="AF9155">
        <v>1</v>
      </c>
    </row>
    <row r="9156" spans="27:32" x14ac:dyDescent="0.3">
      <c r="AA9156" s="3">
        <v>20056.43</v>
      </c>
      <c r="AB9156">
        <v>1E-4</v>
      </c>
      <c r="AC9156">
        <v>8</v>
      </c>
      <c r="AD9156" s="5">
        <v>4.8151068822293297</v>
      </c>
      <c r="AE9156" s="5">
        <v>2.1657312926252423</v>
      </c>
      <c r="AF9156">
        <v>1</v>
      </c>
    </row>
    <row r="9157" spans="27:32" x14ac:dyDescent="0.3">
      <c r="AA9157" s="3">
        <v>42238.64</v>
      </c>
      <c r="AB9157">
        <v>1E-4</v>
      </c>
      <c r="AC9157">
        <v>7</v>
      </c>
      <c r="AD9157" s="5">
        <v>5.1892032242716715</v>
      </c>
      <c r="AE9157" s="5">
        <v>2.1179115029530409</v>
      </c>
      <c r="AF9157">
        <v>1</v>
      </c>
    </row>
    <row r="9158" spans="27:32" x14ac:dyDescent="0.3">
      <c r="AA9158" s="3">
        <v>4544.29</v>
      </c>
      <c r="AB9158">
        <v>1E-4</v>
      </c>
      <c r="AC9158">
        <v>8</v>
      </c>
      <c r="AD9158" s="5">
        <v>4.9586271060689739</v>
      </c>
      <c r="AE9158" s="5">
        <v>2.2415078971811022</v>
      </c>
      <c r="AF9158">
        <v>1</v>
      </c>
    </row>
    <row r="9159" spans="27:32" x14ac:dyDescent="0.3">
      <c r="AA9159" s="3">
        <v>14988.78</v>
      </c>
      <c r="AB9159">
        <v>1E-4</v>
      </c>
      <c r="AC9159">
        <v>8</v>
      </c>
      <c r="AD9159" s="5">
        <v>5.1230028084910124</v>
      </c>
      <c r="AE9159" s="5">
        <v>2.2270380273916293</v>
      </c>
      <c r="AF9159">
        <v>1</v>
      </c>
    </row>
    <row r="9160" spans="27:32" x14ac:dyDescent="0.3">
      <c r="AA9160" s="3">
        <v>13047.11</v>
      </c>
      <c r="AB9160">
        <v>1E-4</v>
      </c>
      <c r="AC9160">
        <v>8</v>
      </c>
      <c r="AD9160" s="5">
        <v>5.0443808125352847</v>
      </c>
      <c r="AE9160" s="5">
        <v>2.1497085135307064</v>
      </c>
      <c r="AF9160">
        <v>1</v>
      </c>
    </row>
    <row r="9161" spans="27:32" x14ac:dyDescent="0.3">
      <c r="AA9161" s="3">
        <v>-3898.96</v>
      </c>
      <c r="AB9161">
        <v>1E-4</v>
      </c>
      <c r="AC9161">
        <v>9</v>
      </c>
      <c r="AD9161" s="5">
        <v>5.0713553226145525</v>
      </c>
      <c r="AE9161" s="5">
        <v>2.1168767773714521</v>
      </c>
      <c r="AF9161">
        <v>1</v>
      </c>
    </row>
    <row r="9162" spans="27:32" x14ac:dyDescent="0.3">
      <c r="AA9162" s="3">
        <v>44014.85</v>
      </c>
      <c r="AB9162">
        <v>1E-4</v>
      </c>
      <c r="AC9162">
        <v>7</v>
      </c>
      <c r="AD9162" s="5">
        <v>5.1089825247011325</v>
      </c>
      <c r="AE9162" s="5">
        <v>2.2097946193467828</v>
      </c>
      <c r="AF9162">
        <v>1</v>
      </c>
    </row>
    <row r="9163" spans="27:32" x14ac:dyDescent="0.3">
      <c r="AA9163" s="3">
        <v>12201.44</v>
      </c>
      <c r="AB9163">
        <v>1E-4</v>
      </c>
      <c r="AC9163">
        <v>8</v>
      </c>
      <c r="AD9163" s="5">
        <v>5.1334738990639437</v>
      </c>
      <c r="AE9163" s="5">
        <v>2.2749237505959323</v>
      </c>
      <c r="AF9163">
        <v>1</v>
      </c>
    </row>
    <row r="9164" spans="27:32" x14ac:dyDescent="0.3">
      <c r="AA9164" s="3">
        <v>19773.990000000002</v>
      </c>
      <c r="AB9164">
        <v>1E-4</v>
      </c>
      <c r="AC9164">
        <v>8</v>
      </c>
      <c r="AD9164" s="5">
        <v>5.1098659191914564</v>
      </c>
      <c r="AE9164" s="5">
        <v>2.183469692987773</v>
      </c>
      <c r="AF9164">
        <v>1</v>
      </c>
    </row>
    <row r="9165" spans="27:32" x14ac:dyDescent="0.3">
      <c r="AA9165" s="3">
        <v>15249.69</v>
      </c>
      <c r="AB9165">
        <v>1E-4</v>
      </c>
      <c r="AC9165">
        <v>8</v>
      </c>
      <c r="AD9165" s="5">
        <v>4.8553094338585083</v>
      </c>
      <c r="AE9165" s="5">
        <v>2.1879497115716497</v>
      </c>
      <c r="AF9165">
        <v>1</v>
      </c>
    </row>
    <row r="9166" spans="27:32" x14ac:dyDescent="0.3">
      <c r="AA9166" s="3">
        <v>33934</v>
      </c>
      <c r="AB9166">
        <v>1E-4</v>
      </c>
      <c r="AC9166">
        <v>7</v>
      </c>
      <c r="AD9166" s="5">
        <v>4.9874272613120834</v>
      </c>
      <c r="AE9166" s="5">
        <v>2.1859173115071524</v>
      </c>
      <c r="AF9166">
        <v>1</v>
      </c>
    </row>
    <row r="9167" spans="27:32" x14ac:dyDescent="0.3">
      <c r="AA9167" s="3">
        <v>26486.9</v>
      </c>
      <c r="AB9167">
        <v>1E-4</v>
      </c>
      <c r="AC9167">
        <v>8</v>
      </c>
      <c r="AD9167" s="5">
        <v>5.0276939960724407</v>
      </c>
      <c r="AE9167" s="5">
        <v>2.1816463515024473</v>
      </c>
      <c r="AF9167">
        <v>1</v>
      </c>
    </row>
    <row r="9168" spans="27:32" x14ac:dyDescent="0.3">
      <c r="AA9168" s="3">
        <v>-1409.4</v>
      </c>
      <c r="AB9168">
        <v>1E-4</v>
      </c>
      <c r="AC9168">
        <v>9</v>
      </c>
      <c r="AD9168" s="5">
        <v>4.9506339891180282</v>
      </c>
      <c r="AE9168" s="5">
        <v>2.1556049141257319</v>
      </c>
      <c r="AF9168">
        <v>1</v>
      </c>
    </row>
    <row r="9169" spans="27:32" x14ac:dyDescent="0.3">
      <c r="AA9169" s="3">
        <v>-27027.757972159096</v>
      </c>
      <c r="AB9169">
        <v>1E-4</v>
      </c>
      <c r="AC9169">
        <v>9</v>
      </c>
      <c r="AD9169" s="5">
        <v>4.9920822983031998</v>
      </c>
      <c r="AE9169" s="5">
        <v>2.2223190057256001</v>
      </c>
      <c r="AF9169">
        <v>0</v>
      </c>
    </row>
    <row r="9170" spans="27:32" x14ac:dyDescent="0.3">
      <c r="AA9170" s="3">
        <v>23343.759999999998</v>
      </c>
      <c r="AB9170">
        <v>1E-4</v>
      </c>
      <c r="AC9170">
        <v>8</v>
      </c>
      <c r="AD9170" s="5">
        <v>5.2235570518872114</v>
      </c>
      <c r="AE9170" s="5">
        <v>2.2150451397340047</v>
      </c>
      <c r="AF9170">
        <v>1</v>
      </c>
    </row>
    <row r="9171" spans="27:32" x14ac:dyDescent="0.3">
      <c r="AA9171" s="3">
        <v>45683.23</v>
      </c>
      <c r="AB9171">
        <v>1E-4</v>
      </c>
      <c r="AC9171">
        <v>6</v>
      </c>
      <c r="AD9171" s="5">
        <v>4.9940636327793966</v>
      </c>
      <c r="AE9171" s="5">
        <v>2.1933770646655057</v>
      </c>
      <c r="AF9171">
        <v>1</v>
      </c>
    </row>
    <row r="9172" spans="27:32" x14ac:dyDescent="0.3">
      <c r="AA9172" s="3">
        <v>-7389.2</v>
      </c>
      <c r="AB9172">
        <v>1E-4</v>
      </c>
      <c r="AC9172">
        <v>9</v>
      </c>
      <c r="AD9172" s="5">
        <v>5.0394906284059351</v>
      </c>
      <c r="AE9172" s="5">
        <v>2.2237447258048477</v>
      </c>
      <c r="AF9172">
        <v>1</v>
      </c>
    </row>
    <row r="9173" spans="27:32" x14ac:dyDescent="0.3">
      <c r="AA9173" s="3">
        <v>4127.76</v>
      </c>
      <c r="AB9173">
        <v>1E-4</v>
      </c>
      <c r="AC9173">
        <v>8</v>
      </c>
      <c r="AD9173" s="5">
        <v>4.875368044203376</v>
      </c>
      <c r="AE9173" s="5">
        <v>2.1881141235729884</v>
      </c>
      <c r="AF9173">
        <v>1</v>
      </c>
    </row>
    <row r="9174" spans="27:32" x14ac:dyDescent="0.3">
      <c r="AA9174" s="3">
        <v>3874.6</v>
      </c>
      <c r="AB9174">
        <v>1E-4</v>
      </c>
      <c r="AC9174">
        <v>8</v>
      </c>
      <c r="AD9174" s="5">
        <v>4.9980051225242796</v>
      </c>
      <c r="AE9174" s="5">
        <v>2.2188542003898188</v>
      </c>
      <c r="AF9174">
        <v>1</v>
      </c>
    </row>
    <row r="9175" spans="27:32" x14ac:dyDescent="0.3">
      <c r="AA9175" s="3">
        <v>-27667.315871415023</v>
      </c>
      <c r="AB9175">
        <v>1E-4</v>
      </c>
      <c r="AC9175">
        <v>9</v>
      </c>
      <c r="AD9175" s="5">
        <v>4.9069421878213983</v>
      </c>
      <c r="AE9175" s="5">
        <v>2.2939289463555363</v>
      </c>
      <c r="AF9175">
        <v>0</v>
      </c>
    </row>
    <row r="9176" spans="27:32" x14ac:dyDescent="0.3">
      <c r="AA9176" s="3">
        <v>-1085.54</v>
      </c>
      <c r="AB9176">
        <v>1E-4</v>
      </c>
      <c r="AC9176">
        <v>9</v>
      </c>
      <c r="AD9176" s="5">
        <v>5.0144450580156672</v>
      </c>
      <c r="AE9176" s="5">
        <v>2.2121424429227914</v>
      </c>
      <c r="AF9176">
        <v>1</v>
      </c>
    </row>
    <row r="9177" spans="27:32" x14ac:dyDescent="0.3">
      <c r="AA9177" s="3">
        <v>-9461.67</v>
      </c>
      <c r="AB9177">
        <v>1E-4</v>
      </c>
      <c r="AC9177">
        <v>9</v>
      </c>
      <c r="AD9177" s="5">
        <v>5.01401922487213</v>
      </c>
      <c r="AE9177" s="5">
        <v>2.2056904498419212</v>
      </c>
      <c r="AF9177">
        <v>1</v>
      </c>
    </row>
    <row r="9178" spans="27:32" x14ac:dyDescent="0.3">
      <c r="AA9178" s="3">
        <v>38617.040000000001</v>
      </c>
      <c r="AB9178">
        <v>1E-4</v>
      </c>
      <c r="AC9178">
        <v>7</v>
      </c>
      <c r="AD9178" s="5">
        <v>5.050457589257543</v>
      </c>
      <c r="AE9178" s="5">
        <v>2.274956414173479</v>
      </c>
      <c r="AF9178">
        <v>1</v>
      </c>
    </row>
    <row r="9179" spans="27:32" x14ac:dyDescent="0.3">
      <c r="AA9179" s="3">
        <v>37111.22</v>
      </c>
      <c r="AB9179">
        <v>1E-4</v>
      </c>
      <c r="AC9179">
        <v>7</v>
      </c>
      <c r="AD9179" s="5">
        <v>4.9550687148523371</v>
      </c>
      <c r="AE9179" s="5">
        <v>2.1925097610497915</v>
      </c>
      <c r="AF9179">
        <v>1</v>
      </c>
    </row>
    <row r="9180" spans="27:32" x14ac:dyDescent="0.3">
      <c r="AA9180" s="3">
        <v>36027.300000000003</v>
      </c>
      <c r="AB9180">
        <v>1E-4</v>
      </c>
      <c r="AC9180">
        <v>7</v>
      </c>
      <c r="AD9180" s="5">
        <v>5.0113049315577181</v>
      </c>
      <c r="AE9180" s="5">
        <v>2.2225687196478914</v>
      </c>
      <c r="AF9180">
        <v>1</v>
      </c>
    </row>
    <row r="9181" spans="27:32" x14ac:dyDescent="0.3">
      <c r="AA9181" s="3">
        <v>-2197.33</v>
      </c>
      <c r="AB9181">
        <v>1E-4</v>
      </c>
      <c r="AC9181">
        <v>9</v>
      </c>
      <c r="AD9181" s="5">
        <v>4.9557102841922296</v>
      </c>
      <c r="AE9181" s="5">
        <v>2.1539205443674594</v>
      </c>
      <c r="AF9181">
        <v>1</v>
      </c>
    </row>
    <row r="9182" spans="27:32" x14ac:dyDescent="0.3">
      <c r="AA9182" s="3">
        <v>17318.59</v>
      </c>
      <c r="AB9182">
        <v>1E-4</v>
      </c>
      <c r="AC9182">
        <v>8</v>
      </c>
      <c r="AD9182" s="5">
        <v>4.8290281711773853</v>
      </c>
      <c r="AE9182" s="5">
        <v>2.2319685948140715</v>
      </c>
      <c r="AF9182">
        <v>1</v>
      </c>
    </row>
    <row r="9183" spans="27:32" x14ac:dyDescent="0.3">
      <c r="AA9183" s="3">
        <v>42206.38</v>
      </c>
      <c r="AB9183">
        <v>1E-4</v>
      </c>
      <c r="AC9183">
        <v>7</v>
      </c>
      <c r="AD9183" s="5">
        <v>5.045101964406407</v>
      </c>
      <c r="AE9183" s="5">
        <v>2.2357195346637759</v>
      </c>
      <c r="AF9183">
        <v>1</v>
      </c>
    </row>
    <row r="9184" spans="27:32" x14ac:dyDescent="0.3">
      <c r="AA9184" s="3">
        <v>13790.72</v>
      </c>
      <c r="AB9184">
        <v>1E-4</v>
      </c>
      <c r="AC9184">
        <v>8</v>
      </c>
      <c r="AD9184" s="5">
        <v>5.0563457616894603</v>
      </c>
      <c r="AE9184" s="5">
        <v>2.2555366671667421</v>
      </c>
      <c r="AF9184">
        <v>1</v>
      </c>
    </row>
    <row r="9185" spans="27:32" x14ac:dyDescent="0.3">
      <c r="AA9185" s="3">
        <v>21732.91</v>
      </c>
      <c r="AB9185">
        <v>1E-4</v>
      </c>
      <c r="AC9185">
        <v>8</v>
      </c>
      <c r="AD9185" s="5">
        <v>4.9417055114931321</v>
      </c>
      <c r="AE9185" s="5">
        <v>2.2290815952410221</v>
      </c>
      <c r="AF9185">
        <v>1</v>
      </c>
    </row>
    <row r="9186" spans="27:32" x14ac:dyDescent="0.3">
      <c r="AA9186" s="3">
        <v>5887.49</v>
      </c>
      <c r="AB9186">
        <v>1E-4</v>
      </c>
      <c r="AC9186">
        <v>8</v>
      </c>
      <c r="AD9186" s="5">
        <v>4.9438597641755804</v>
      </c>
      <c r="AE9186" s="5">
        <v>2.1406249845019341</v>
      </c>
      <c r="AF9186">
        <v>1</v>
      </c>
    </row>
    <row r="9187" spans="27:32" x14ac:dyDescent="0.3">
      <c r="AA9187" s="3">
        <v>41573.79</v>
      </c>
      <c r="AB9187">
        <v>1E-4</v>
      </c>
      <c r="AC9187">
        <v>7</v>
      </c>
      <c r="AD9187" s="5">
        <v>4.9878177958985743</v>
      </c>
      <c r="AE9187" s="5">
        <v>2.1071758439531738</v>
      </c>
      <c r="AF9187">
        <v>1</v>
      </c>
    </row>
    <row r="9188" spans="27:32" x14ac:dyDescent="0.3">
      <c r="AA9188" s="3">
        <v>4889.99</v>
      </c>
      <c r="AB9188">
        <v>1E-4</v>
      </c>
      <c r="AC9188">
        <v>8</v>
      </c>
      <c r="AD9188" s="5">
        <v>5.1219839367476894</v>
      </c>
      <c r="AE9188" s="5">
        <v>2.2425388786332126</v>
      </c>
      <c r="AF9188">
        <v>1</v>
      </c>
    </row>
    <row r="9189" spans="27:32" x14ac:dyDescent="0.3">
      <c r="AA9189" s="3">
        <v>10402.16</v>
      </c>
      <c r="AB9189">
        <v>1E-4</v>
      </c>
      <c r="AC9189">
        <v>8</v>
      </c>
      <c r="AD9189" s="5">
        <v>4.9104954079151568</v>
      </c>
      <c r="AE9189" s="5">
        <v>2.2807481389145292</v>
      </c>
      <c r="AF9189">
        <v>1</v>
      </c>
    </row>
    <row r="9190" spans="27:32" x14ac:dyDescent="0.3">
      <c r="AA9190" s="3">
        <v>-6467.48</v>
      </c>
      <c r="AB9190">
        <v>1E-4</v>
      </c>
      <c r="AC9190">
        <v>9</v>
      </c>
      <c r="AD9190" s="5">
        <v>4.910168141200546</v>
      </c>
      <c r="AE9190" s="5">
        <v>2.2814762810696947</v>
      </c>
      <c r="AF9190">
        <v>1</v>
      </c>
    </row>
    <row r="9191" spans="27:32" x14ac:dyDescent="0.3">
      <c r="AA9191" s="3">
        <v>16417.54</v>
      </c>
      <c r="AB9191">
        <v>1E-4</v>
      </c>
      <c r="AC9191">
        <v>8</v>
      </c>
      <c r="AD9191" s="5">
        <v>4.9329465384576592</v>
      </c>
      <c r="AE9191" s="5">
        <v>2.2280134998456202</v>
      </c>
      <c r="AF9191">
        <v>1</v>
      </c>
    </row>
    <row r="9192" spans="27:32" x14ac:dyDescent="0.3">
      <c r="AA9192" s="3">
        <v>19215.16</v>
      </c>
      <c r="AB9192">
        <v>1E-4</v>
      </c>
      <c r="AC9192">
        <v>8</v>
      </c>
      <c r="AD9192" s="5">
        <v>5.1263800617153619</v>
      </c>
      <c r="AE9192" s="5">
        <v>2.2569664455405416</v>
      </c>
      <c r="AF9192">
        <v>1</v>
      </c>
    </row>
    <row r="9193" spans="27:32" x14ac:dyDescent="0.3">
      <c r="AA9193" s="3">
        <v>37965.089999999997</v>
      </c>
      <c r="AB9193">
        <v>1E-4</v>
      </c>
      <c r="AC9193">
        <v>7</v>
      </c>
      <c r="AD9193" s="5">
        <v>5.1290553978724986</v>
      </c>
      <c r="AE9193" s="5">
        <v>2.2824255843016021</v>
      </c>
      <c r="AF9193">
        <v>1</v>
      </c>
    </row>
    <row r="9194" spans="27:32" x14ac:dyDescent="0.3">
      <c r="AA9194" s="3">
        <v>6489.99</v>
      </c>
      <c r="AB9194">
        <v>1E-4</v>
      </c>
      <c r="AC9194">
        <v>8</v>
      </c>
      <c r="AD9194" s="5">
        <v>4.8746441345700315</v>
      </c>
      <c r="AE9194" s="5">
        <v>2.2357830961605893</v>
      </c>
      <c r="AF9194">
        <v>1</v>
      </c>
    </row>
    <row r="9195" spans="27:32" x14ac:dyDescent="0.3">
      <c r="AA9195" s="3">
        <v>15928.73</v>
      </c>
      <c r="AB9195">
        <v>1E-4</v>
      </c>
      <c r="AC9195">
        <v>8</v>
      </c>
      <c r="AD9195" s="5">
        <v>4.9489678257245089</v>
      </c>
      <c r="AE9195" s="5">
        <v>2.2153221844853412</v>
      </c>
      <c r="AF9195">
        <v>1</v>
      </c>
    </row>
    <row r="9196" spans="27:32" x14ac:dyDescent="0.3">
      <c r="AA9196" s="3">
        <v>49086.31</v>
      </c>
      <c r="AB9196">
        <v>1E-4</v>
      </c>
      <c r="AC9196">
        <v>7</v>
      </c>
      <c r="AD9196" s="5">
        <v>5.0728025138253354</v>
      </c>
      <c r="AE9196" s="5">
        <v>2.2466180612198872</v>
      </c>
      <c r="AF9196">
        <v>1</v>
      </c>
    </row>
    <row r="9197" spans="27:32" x14ac:dyDescent="0.3">
      <c r="AA9197" s="3">
        <v>34661.25</v>
      </c>
      <c r="AB9197">
        <v>1E-4</v>
      </c>
      <c r="AC9197">
        <v>7</v>
      </c>
      <c r="AD9197" s="5">
        <v>4.9848519446599253</v>
      </c>
      <c r="AE9197" s="5">
        <v>2.1661387353732282</v>
      </c>
      <c r="AF9197">
        <v>1</v>
      </c>
    </row>
    <row r="9198" spans="27:32" x14ac:dyDescent="0.3">
      <c r="AA9198" s="3">
        <v>2741.32</v>
      </c>
      <c r="AB9198">
        <v>1E-4</v>
      </c>
      <c r="AC9198">
        <v>8</v>
      </c>
      <c r="AD9198" s="5">
        <v>5.0234193739236073</v>
      </c>
      <c r="AE9198" s="5">
        <v>2.1439740137573411</v>
      </c>
      <c r="AF9198">
        <v>1</v>
      </c>
    </row>
    <row r="9199" spans="27:32" x14ac:dyDescent="0.3">
      <c r="AA9199" s="3">
        <v>-8760.17</v>
      </c>
      <c r="AB9199">
        <v>1E-4</v>
      </c>
      <c r="AC9199">
        <v>9</v>
      </c>
      <c r="AD9199" s="5">
        <v>5.1109485879446437</v>
      </c>
      <c r="AE9199" s="5">
        <v>2.2889137050055859</v>
      </c>
      <c r="AF9199">
        <v>1</v>
      </c>
    </row>
    <row r="9200" spans="27:32" x14ac:dyDescent="0.3">
      <c r="AA9200" s="3">
        <v>17371.14</v>
      </c>
      <c r="AB9200">
        <v>1E-4</v>
      </c>
      <c r="AC9200">
        <v>8</v>
      </c>
      <c r="AD9200" s="5">
        <v>4.9332303270962239</v>
      </c>
      <c r="AE9200" s="5">
        <v>2.2184246636587548</v>
      </c>
      <c r="AF9200">
        <v>1</v>
      </c>
    </row>
    <row r="9201" spans="27:32" x14ac:dyDescent="0.3">
      <c r="AA9201" s="3">
        <v>10499.88</v>
      </c>
      <c r="AB9201">
        <v>1E-4</v>
      </c>
      <c r="AC9201">
        <v>8</v>
      </c>
      <c r="AD9201" s="5">
        <v>4.8991972776132231</v>
      </c>
      <c r="AE9201" s="5">
        <v>2.1981193569592836</v>
      </c>
      <c r="AF9201">
        <v>1</v>
      </c>
    </row>
    <row r="9202" spans="27:32" x14ac:dyDescent="0.3">
      <c r="AA9202" s="3">
        <v>9805.02</v>
      </c>
      <c r="AB9202">
        <v>1E-4</v>
      </c>
      <c r="AC9202">
        <v>8</v>
      </c>
      <c r="AD9202" s="5">
        <v>4.8079859517645751</v>
      </c>
      <c r="AE9202" s="5">
        <v>2.1967184254634473</v>
      </c>
      <c r="AF9202">
        <v>1</v>
      </c>
    </row>
    <row r="9203" spans="27:32" x14ac:dyDescent="0.3">
      <c r="AA9203" s="3">
        <v>-308.81</v>
      </c>
      <c r="AB9203">
        <v>1E-4</v>
      </c>
      <c r="AC9203">
        <v>9</v>
      </c>
      <c r="AD9203" s="5">
        <v>4.9002321001561526</v>
      </c>
      <c r="AE9203" s="5">
        <v>2.2202942060116166</v>
      </c>
      <c r="AF9203">
        <v>1</v>
      </c>
    </row>
    <row r="9204" spans="27:32" x14ac:dyDescent="0.3">
      <c r="AA9204" s="3">
        <v>59029.66</v>
      </c>
      <c r="AB9204">
        <v>1E-4</v>
      </c>
      <c r="AC9204">
        <v>6</v>
      </c>
      <c r="AD9204" s="5">
        <v>4.9921029268049821</v>
      </c>
      <c r="AE9204" s="5">
        <v>2.2220900717723309</v>
      </c>
      <c r="AF9204">
        <v>1</v>
      </c>
    </row>
    <row r="9205" spans="27:32" x14ac:dyDescent="0.3">
      <c r="AA9205" s="3">
        <v>31857.96</v>
      </c>
      <c r="AB9205">
        <v>1E-4</v>
      </c>
      <c r="AC9205">
        <v>7</v>
      </c>
      <c r="AD9205" s="5">
        <v>5.0645776359538273</v>
      </c>
      <c r="AE9205" s="5">
        <v>2.172109624533435</v>
      </c>
      <c r="AF9205">
        <v>1</v>
      </c>
    </row>
    <row r="9206" spans="27:32" x14ac:dyDescent="0.3">
      <c r="AA9206" s="3">
        <v>6877.37</v>
      </c>
      <c r="AB9206">
        <v>1E-4</v>
      </c>
      <c r="AC9206">
        <v>8</v>
      </c>
      <c r="AD9206" s="5">
        <v>4.7653460062788193</v>
      </c>
      <c r="AE9206" s="5">
        <v>2.1856881157766863</v>
      </c>
      <c r="AF9206">
        <v>1</v>
      </c>
    </row>
    <row r="9207" spans="27:32" x14ac:dyDescent="0.3">
      <c r="AA9207" s="3">
        <v>5608.62</v>
      </c>
      <c r="AB9207">
        <v>1E-4</v>
      </c>
      <c r="AC9207">
        <v>8</v>
      </c>
      <c r="AD9207" s="5">
        <v>4.9601974879887978</v>
      </c>
      <c r="AE9207" s="5">
        <v>2.1983054584868778</v>
      </c>
      <c r="AF9207">
        <v>1</v>
      </c>
    </row>
    <row r="9208" spans="27:32" x14ac:dyDescent="0.3">
      <c r="AA9208" s="3">
        <v>25282.12</v>
      </c>
      <c r="AB9208">
        <v>1E-4</v>
      </c>
      <c r="AC9208">
        <v>8</v>
      </c>
      <c r="AD9208" s="5">
        <v>5.1823442558314818</v>
      </c>
      <c r="AE9208" s="5">
        <v>2.2707323420690462</v>
      </c>
      <c r="AF9208">
        <v>1</v>
      </c>
    </row>
    <row r="9209" spans="27:32" x14ac:dyDescent="0.3">
      <c r="AA9209" s="3">
        <v>18689.38</v>
      </c>
      <c r="AB9209">
        <v>1E-4</v>
      </c>
      <c r="AC9209">
        <v>8</v>
      </c>
      <c r="AD9209" s="5">
        <v>5.0203571892685703</v>
      </c>
      <c r="AE9209" s="5">
        <v>2.1997629878147813</v>
      </c>
      <c r="AF9209">
        <v>1</v>
      </c>
    </row>
    <row r="9210" spans="27:32" x14ac:dyDescent="0.3">
      <c r="AA9210" s="3">
        <v>34978.410000000003</v>
      </c>
      <c r="AB9210">
        <v>1E-4</v>
      </c>
      <c r="AC9210">
        <v>7</v>
      </c>
      <c r="AD9210" s="5">
        <v>5.196918414081658</v>
      </c>
      <c r="AE9210" s="5">
        <v>2.2658580929036956</v>
      </c>
      <c r="AF9210">
        <v>1</v>
      </c>
    </row>
    <row r="9211" spans="27:32" x14ac:dyDescent="0.3">
      <c r="AA9211" s="3">
        <v>-4732.84</v>
      </c>
      <c r="AB9211">
        <v>1E-4</v>
      </c>
      <c r="AC9211">
        <v>9</v>
      </c>
      <c r="AD9211" s="5">
        <v>4.9454496365896929</v>
      </c>
      <c r="AE9211" s="5">
        <v>2.1963131194304166</v>
      </c>
      <c r="AF9211">
        <v>1</v>
      </c>
    </row>
    <row r="9212" spans="27:32" x14ac:dyDescent="0.3">
      <c r="AA9212" s="3">
        <v>47861.42</v>
      </c>
      <c r="AB9212">
        <v>1E-4</v>
      </c>
      <c r="AC9212">
        <v>7</v>
      </c>
      <c r="AD9212" s="5">
        <v>5.0283159211545136</v>
      </c>
      <c r="AE9212" s="5">
        <v>2.2435652167707514</v>
      </c>
      <c r="AF9212">
        <v>1</v>
      </c>
    </row>
    <row r="9213" spans="27:32" x14ac:dyDescent="0.3">
      <c r="AA9213" s="3">
        <v>15866.46</v>
      </c>
      <c r="AB9213">
        <v>1E-4</v>
      </c>
      <c r="AC9213">
        <v>8</v>
      </c>
      <c r="AD9213" s="5">
        <v>5.0914258430517263</v>
      </c>
      <c r="AE9213" s="5">
        <v>2.2147815161167652</v>
      </c>
      <c r="AF9213">
        <v>1</v>
      </c>
    </row>
    <row r="9214" spans="27:32" x14ac:dyDescent="0.3">
      <c r="AA9214" s="3">
        <v>11794.86</v>
      </c>
      <c r="AB9214">
        <v>1E-4</v>
      </c>
      <c r="AC9214">
        <v>8</v>
      </c>
      <c r="AD9214" s="5">
        <v>4.9603106148018066</v>
      </c>
      <c r="AE9214" s="5">
        <v>2.2168840382522008</v>
      </c>
      <c r="AF9214">
        <v>1</v>
      </c>
    </row>
    <row r="9215" spans="27:32" x14ac:dyDescent="0.3">
      <c r="AA9215" s="3">
        <v>-5191.6099999999997</v>
      </c>
      <c r="AB9215">
        <v>1E-4</v>
      </c>
      <c r="AC9215">
        <v>9</v>
      </c>
      <c r="AD9215" s="5">
        <v>5.0377990620449404</v>
      </c>
      <c r="AE9215" s="5">
        <v>2.1723676370946339</v>
      </c>
      <c r="AF9215">
        <v>1</v>
      </c>
    </row>
    <row r="9216" spans="27:32" x14ac:dyDescent="0.3">
      <c r="AA9216" s="3">
        <v>27297.43</v>
      </c>
      <c r="AB9216">
        <v>1E-4</v>
      </c>
      <c r="AC9216">
        <v>8</v>
      </c>
      <c r="AD9216" s="5">
        <v>5.0454472353455957</v>
      </c>
      <c r="AE9216" s="5">
        <v>2.124238722969062</v>
      </c>
      <c r="AF9216">
        <v>1</v>
      </c>
    </row>
    <row r="9217" spans="27:32" x14ac:dyDescent="0.3">
      <c r="AA9217" s="3">
        <v>20199.29</v>
      </c>
      <c r="AB9217">
        <v>1E-4</v>
      </c>
      <c r="AC9217">
        <v>8</v>
      </c>
      <c r="AD9217" s="5">
        <v>4.9466196154800004</v>
      </c>
      <c r="AE9217" s="5">
        <v>2.2023544489210551</v>
      </c>
      <c r="AF9217">
        <v>1</v>
      </c>
    </row>
    <row r="9218" spans="27:32" x14ac:dyDescent="0.3">
      <c r="AA9218" s="3">
        <v>8208.7199999999993</v>
      </c>
      <c r="AB9218">
        <v>1E-4</v>
      </c>
      <c r="AC9218">
        <v>8</v>
      </c>
      <c r="AD9218" s="5">
        <v>4.9783572435248864</v>
      </c>
      <c r="AE9218" s="5">
        <v>2.202408576620257</v>
      </c>
      <c r="AF9218">
        <v>1</v>
      </c>
    </row>
    <row r="9219" spans="27:32" x14ac:dyDescent="0.3">
      <c r="AA9219" s="3">
        <v>14467.24</v>
      </c>
      <c r="AB9219">
        <v>1E-4</v>
      </c>
      <c r="AC9219">
        <v>8</v>
      </c>
      <c r="AD9219" s="5">
        <v>5.0074657672753826</v>
      </c>
      <c r="AE9219" s="5">
        <v>2.1820164900987886</v>
      </c>
      <c r="AF9219">
        <v>1</v>
      </c>
    </row>
    <row r="9220" spans="27:32" x14ac:dyDescent="0.3">
      <c r="AA9220" s="3">
        <v>-1198.6500000000001</v>
      </c>
      <c r="AB9220">
        <v>1E-4</v>
      </c>
      <c r="AC9220">
        <v>9</v>
      </c>
      <c r="AD9220" s="5">
        <v>4.9180188295592639</v>
      </c>
      <c r="AE9220" s="5">
        <v>2.1548638207001374</v>
      </c>
      <c r="AF9220">
        <v>1</v>
      </c>
    </row>
    <row r="9221" spans="27:32" x14ac:dyDescent="0.3">
      <c r="AA9221" s="3">
        <v>32833.160000000003</v>
      </c>
      <c r="AB9221">
        <v>1E-4</v>
      </c>
      <c r="AC9221">
        <v>7</v>
      </c>
      <c r="AD9221" s="5">
        <v>5.0984809349794054</v>
      </c>
      <c r="AE9221" s="5">
        <v>2.2152539321959943</v>
      </c>
      <c r="AF9221">
        <v>1</v>
      </c>
    </row>
    <row r="9222" spans="27:32" x14ac:dyDescent="0.3">
      <c r="AA9222" s="3">
        <v>43566.99</v>
      </c>
      <c r="AB9222">
        <v>1E-4</v>
      </c>
      <c r="AC9222">
        <v>7</v>
      </c>
      <c r="AD9222" s="5">
        <v>5.1914847486684872</v>
      </c>
      <c r="AE9222" s="5">
        <v>2.1675789035325539</v>
      </c>
      <c r="AF9222">
        <v>1</v>
      </c>
    </row>
    <row r="9223" spans="27:32" x14ac:dyDescent="0.3">
      <c r="AA9223" s="3">
        <v>-8897.36</v>
      </c>
      <c r="AB9223">
        <v>1E-4</v>
      </c>
      <c r="AC9223">
        <v>9</v>
      </c>
      <c r="AD9223" s="5">
        <v>5.0832604028528499</v>
      </c>
      <c r="AE9223" s="5">
        <v>2.2313349619886047</v>
      </c>
      <c r="AF9223">
        <v>1</v>
      </c>
    </row>
    <row r="9224" spans="27:32" x14ac:dyDescent="0.3">
      <c r="AA9224" s="3">
        <v>33169.35</v>
      </c>
      <c r="AB9224">
        <v>1E-4</v>
      </c>
      <c r="AC9224">
        <v>7</v>
      </c>
      <c r="AD9224" s="5">
        <v>4.9624819377771736</v>
      </c>
      <c r="AE9224" s="5">
        <v>2.1824414337057254</v>
      </c>
      <c r="AF9224">
        <v>1</v>
      </c>
    </row>
    <row r="9225" spans="27:32" x14ac:dyDescent="0.3">
      <c r="AA9225" s="3">
        <v>26676.400000000001</v>
      </c>
      <c r="AB9225">
        <v>1E-4</v>
      </c>
      <c r="AC9225">
        <v>8</v>
      </c>
      <c r="AD9225" s="5">
        <v>5.0249011313012897</v>
      </c>
      <c r="AE9225" s="5">
        <v>2.135078290266728</v>
      </c>
      <c r="AF9225">
        <v>1</v>
      </c>
    </row>
    <row r="9226" spans="27:32" x14ac:dyDescent="0.3">
      <c r="AA9226" s="3">
        <v>19680.7</v>
      </c>
      <c r="AB9226">
        <v>1E-4</v>
      </c>
      <c r="AC9226">
        <v>8</v>
      </c>
      <c r="AD9226" s="5">
        <v>5.0655233117949443</v>
      </c>
      <c r="AE9226" s="5">
        <v>2.1853642723240143</v>
      </c>
      <c r="AF9226">
        <v>1</v>
      </c>
    </row>
    <row r="9227" spans="27:32" x14ac:dyDescent="0.3">
      <c r="AA9227" s="3">
        <v>25998.28</v>
      </c>
      <c r="AB9227">
        <v>1E-4</v>
      </c>
      <c r="AC9227">
        <v>8</v>
      </c>
      <c r="AD9227" s="5">
        <v>4.9285915842330663</v>
      </c>
      <c r="AE9227" s="5">
        <v>2.1465822617810435</v>
      </c>
      <c r="AF9227">
        <v>1</v>
      </c>
    </row>
    <row r="9228" spans="27:32" x14ac:dyDescent="0.3">
      <c r="AA9228" s="3">
        <v>24823.88</v>
      </c>
      <c r="AB9228">
        <v>1E-4</v>
      </c>
      <c r="AC9228">
        <v>8</v>
      </c>
      <c r="AD9228" s="5">
        <v>5.0726583619023247</v>
      </c>
      <c r="AE9228" s="5">
        <v>2.2176066945062503</v>
      </c>
      <c r="AF9228">
        <v>1</v>
      </c>
    </row>
    <row r="9229" spans="27:32" x14ac:dyDescent="0.3">
      <c r="AA9229" s="3">
        <v>-7794.1</v>
      </c>
      <c r="AB9229">
        <v>1E-4</v>
      </c>
      <c r="AC9229">
        <v>9</v>
      </c>
      <c r="AD9229" s="5">
        <v>4.9797058316326721</v>
      </c>
      <c r="AE9229" s="5">
        <v>2.2762062550310715</v>
      </c>
      <c r="AF9229">
        <v>1</v>
      </c>
    </row>
    <row r="9230" spans="27:32" x14ac:dyDescent="0.3">
      <c r="AA9230" s="3">
        <v>11487.66</v>
      </c>
      <c r="AB9230">
        <v>1E-4</v>
      </c>
      <c r="AC9230">
        <v>8</v>
      </c>
      <c r="AD9230" s="5">
        <v>4.9889582614628427</v>
      </c>
      <c r="AE9230" s="5">
        <v>2.1868746496687042</v>
      </c>
      <c r="AF9230">
        <v>1</v>
      </c>
    </row>
    <row r="9231" spans="27:32" x14ac:dyDescent="0.3">
      <c r="AA9231" s="3">
        <v>8706.6200000000008</v>
      </c>
      <c r="AB9231">
        <v>1E-4</v>
      </c>
      <c r="AC9231">
        <v>8</v>
      </c>
      <c r="AD9231" s="5">
        <v>5.1048745210525013</v>
      </c>
      <c r="AE9231" s="5">
        <v>2.2195901869490782</v>
      </c>
      <c r="AF9231">
        <v>1</v>
      </c>
    </row>
    <row r="9232" spans="27:32" x14ac:dyDescent="0.3">
      <c r="AA9232" s="3">
        <v>7250.18</v>
      </c>
      <c r="AB9232">
        <v>1E-4</v>
      </c>
      <c r="AC9232">
        <v>8</v>
      </c>
      <c r="AD9232" s="5">
        <v>5.0273698494895438</v>
      </c>
      <c r="AE9232" s="5">
        <v>2.2597328980470293</v>
      </c>
      <c r="AF9232">
        <v>1</v>
      </c>
    </row>
    <row r="9233" spans="27:32" x14ac:dyDescent="0.3">
      <c r="AA9233" s="3">
        <v>39434.589999999997</v>
      </c>
      <c r="AB9233">
        <v>1E-4</v>
      </c>
      <c r="AC9233">
        <v>7</v>
      </c>
      <c r="AD9233" s="5">
        <v>5.053634917836181</v>
      </c>
      <c r="AE9233" s="5">
        <v>2.249850370646941</v>
      </c>
      <c r="AF9233">
        <v>1</v>
      </c>
    </row>
    <row r="9234" spans="27:32" x14ac:dyDescent="0.3">
      <c r="AA9234" s="3">
        <v>2373.36</v>
      </c>
      <c r="AB9234">
        <v>1E-4</v>
      </c>
      <c r="AC9234">
        <v>8</v>
      </c>
      <c r="AD9234" s="5">
        <v>4.994223783305662</v>
      </c>
      <c r="AE9234" s="5">
        <v>2.3608986344225835</v>
      </c>
      <c r="AF9234">
        <v>1</v>
      </c>
    </row>
    <row r="9235" spans="27:32" x14ac:dyDescent="0.3">
      <c r="AA9235" s="3">
        <v>31106.41</v>
      </c>
      <c r="AB9235">
        <v>1E-4</v>
      </c>
      <c r="AC9235">
        <v>8</v>
      </c>
      <c r="AD9235" s="5">
        <v>4.9301400247072271</v>
      </c>
      <c r="AE9235" s="5">
        <v>2.1726968939155618</v>
      </c>
      <c r="AF9235">
        <v>1</v>
      </c>
    </row>
    <row r="9236" spans="27:32" x14ac:dyDescent="0.3">
      <c r="AA9236" s="3">
        <v>3638.28</v>
      </c>
      <c r="AB9236">
        <v>1E-4</v>
      </c>
      <c r="AC9236">
        <v>8</v>
      </c>
      <c r="AD9236" s="5">
        <v>4.9441206180404107</v>
      </c>
      <c r="AE9236" s="5">
        <v>2.2265493942120438</v>
      </c>
      <c r="AF9236">
        <v>1</v>
      </c>
    </row>
    <row r="9237" spans="27:32" x14ac:dyDescent="0.3">
      <c r="AA9237" s="3">
        <v>3361.77</v>
      </c>
      <c r="AB9237">
        <v>1E-4</v>
      </c>
      <c r="AC9237">
        <v>8</v>
      </c>
      <c r="AD9237" s="5">
        <v>4.9409011773863147</v>
      </c>
      <c r="AE9237" s="5">
        <v>2.1583526199644054</v>
      </c>
      <c r="AF9237">
        <v>1</v>
      </c>
    </row>
    <row r="9238" spans="27:32" x14ac:dyDescent="0.3">
      <c r="AA9238" s="3">
        <v>4467.9900935791211</v>
      </c>
      <c r="AB9238">
        <v>1E-4</v>
      </c>
      <c r="AC9238">
        <v>8</v>
      </c>
      <c r="AD9238" s="5">
        <v>5.1362219350333556</v>
      </c>
      <c r="AE9238" s="5">
        <v>2.1731741826334652</v>
      </c>
      <c r="AF9238">
        <v>0</v>
      </c>
    </row>
    <row r="9239" spans="27:32" x14ac:dyDescent="0.3">
      <c r="AA9239" s="3">
        <v>30911.98</v>
      </c>
      <c r="AB9239">
        <v>1E-4</v>
      </c>
      <c r="AC9239">
        <v>7</v>
      </c>
      <c r="AD9239" s="5">
        <v>5.0189614769447273</v>
      </c>
      <c r="AE9239" s="5">
        <v>2.1667984266632128</v>
      </c>
      <c r="AF9239">
        <v>1</v>
      </c>
    </row>
    <row r="9240" spans="27:32" x14ac:dyDescent="0.3">
      <c r="AA9240" s="3">
        <v>25420.32</v>
      </c>
      <c r="AB9240">
        <v>1E-4</v>
      </c>
      <c r="AC9240">
        <v>8</v>
      </c>
      <c r="AD9240" s="5">
        <v>4.95689584041956</v>
      </c>
      <c r="AE9240" s="5">
        <v>2.2160978509641938</v>
      </c>
      <c r="AF9240">
        <v>1</v>
      </c>
    </row>
    <row r="9241" spans="27:32" x14ac:dyDescent="0.3">
      <c r="AA9241" s="3">
        <v>25244.54</v>
      </c>
      <c r="AB9241">
        <v>1E-4</v>
      </c>
      <c r="AC9241">
        <v>8</v>
      </c>
      <c r="AD9241" s="5">
        <v>5.0819059509752051</v>
      </c>
      <c r="AE9241" s="5">
        <v>2.1954742249842636</v>
      </c>
      <c r="AF9241">
        <v>1</v>
      </c>
    </row>
    <row r="9242" spans="27:32" x14ac:dyDescent="0.3">
      <c r="AA9242" s="3">
        <v>36534.089999999997</v>
      </c>
      <c r="AB9242">
        <v>1E-4</v>
      </c>
      <c r="AC9242">
        <v>7</v>
      </c>
      <c r="AD9242" s="5">
        <v>5.0926867463747927</v>
      </c>
      <c r="AE9242" s="5">
        <v>2.225789525785284</v>
      </c>
      <c r="AF9242">
        <v>1</v>
      </c>
    </row>
    <row r="9243" spans="27:32" x14ac:dyDescent="0.3">
      <c r="AA9243" s="3">
        <v>26971.19</v>
      </c>
      <c r="AB9243">
        <v>1E-4</v>
      </c>
      <c r="AC9243">
        <v>8</v>
      </c>
      <c r="AD9243" s="5">
        <v>4.983536631746496</v>
      </c>
      <c r="AE9243" s="5">
        <v>2.240073642383658</v>
      </c>
      <c r="AF9243">
        <v>1</v>
      </c>
    </row>
    <row r="9244" spans="27:32" x14ac:dyDescent="0.3">
      <c r="AA9244" s="3">
        <v>3960.73</v>
      </c>
      <c r="AB9244">
        <v>1E-4</v>
      </c>
      <c r="AC9244">
        <v>8</v>
      </c>
      <c r="AD9244" s="5">
        <v>5.0170850899656525</v>
      </c>
      <c r="AE9244" s="5">
        <v>2.1163212150041337</v>
      </c>
      <c r="AF9244">
        <v>1</v>
      </c>
    </row>
    <row r="9245" spans="27:32" x14ac:dyDescent="0.3">
      <c r="AA9245" s="3">
        <v>393.78</v>
      </c>
      <c r="AB9245">
        <v>1E-4</v>
      </c>
      <c r="AC9245">
        <v>8</v>
      </c>
      <c r="AD9245" s="5">
        <v>4.9350308379084318</v>
      </c>
      <c r="AE9245" s="5">
        <v>2.1669716104894485</v>
      </c>
      <c r="AF9245">
        <v>1</v>
      </c>
    </row>
    <row r="9246" spans="27:32" x14ac:dyDescent="0.3">
      <c r="AA9246" s="3">
        <v>15313.7</v>
      </c>
      <c r="AB9246">
        <v>1E-4</v>
      </c>
      <c r="AC9246">
        <v>8</v>
      </c>
      <c r="AD9246" s="5">
        <v>4.9986533341109922</v>
      </c>
      <c r="AE9246" s="5">
        <v>2.1817593847447796</v>
      </c>
      <c r="AF9246">
        <v>1</v>
      </c>
    </row>
    <row r="9247" spans="27:32" x14ac:dyDescent="0.3">
      <c r="AA9247" s="3">
        <v>6302.73</v>
      </c>
      <c r="AB9247">
        <v>1E-4</v>
      </c>
      <c r="AC9247">
        <v>8</v>
      </c>
      <c r="AD9247" s="5">
        <v>4.9080833120141349</v>
      </c>
      <c r="AE9247" s="5">
        <v>2.1537824915560364</v>
      </c>
      <c r="AF9247">
        <v>1</v>
      </c>
    </row>
    <row r="9248" spans="27:32" x14ac:dyDescent="0.3">
      <c r="AA9248" s="3">
        <v>16996.599999999999</v>
      </c>
      <c r="AB9248">
        <v>1E-4</v>
      </c>
      <c r="AC9248">
        <v>8</v>
      </c>
      <c r="AD9248" s="5">
        <v>4.9804205281443261</v>
      </c>
      <c r="AE9248" s="5">
        <v>2.2404101070578708</v>
      </c>
      <c r="AF9248">
        <v>1</v>
      </c>
    </row>
    <row r="9249" spans="27:32" x14ac:dyDescent="0.3">
      <c r="AA9249" s="3">
        <v>22690.67</v>
      </c>
      <c r="AB9249">
        <v>1E-4</v>
      </c>
      <c r="AC9249">
        <v>8</v>
      </c>
      <c r="AD9249" s="5">
        <v>4.9664646864306317</v>
      </c>
      <c r="AE9249" s="5">
        <v>2.1565698761068974</v>
      </c>
      <c r="AF9249">
        <v>1</v>
      </c>
    </row>
    <row r="9250" spans="27:32" x14ac:dyDescent="0.3">
      <c r="AA9250" s="3">
        <v>15713.13</v>
      </c>
      <c r="AB9250">
        <v>1E-4</v>
      </c>
      <c r="AC9250">
        <v>8</v>
      </c>
      <c r="AD9250" s="5">
        <v>4.8833495853964406</v>
      </c>
      <c r="AE9250" s="5">
        <v>2.1821825629236558</v>
      </c>
      <c r="AF9250">
        <v>1</v>
      </c>
    </row>
    <row r="9251" spans="27:32" x14ac:dyDescent="0.3">
      <c r="AA9251" s="3">
        <v>11929.09</v>
      </c>
      <c r="AB9251">
        <v>1E-4</v>
      </c>
      <c r="AC9251">
        <v>8</v>
      </c>
      <c r="AD9251" s="5">
        <v>4.9413745760791228</v>
      </c>
      <c r="AE9251" s="5">
        <v>2.2470016624436631</v>
      </c>
      <c r="AF9251">
        <v>1</v>
      </c>
    </row>
    <row r="9252" spans="27:32" x14ac:dyDescent="0.3">
      <c r="AA9252" s="3">
        <v>24928.720000000001</v>
      </c>
      <c r="AB9252">
        <v>1E-4</v>
      </c>
      <c r="AC9252">
        <v>7</v>
      </c>
      <c r="AD9252" s="5">
        <v>5.0283998663084413</v>
      </c>
      <c r="AE9252" s="5">
        <v>2.1758435308757695</v>
      </c>
      <c r="AF9252">
        <v>1</v>
      </c>
    </row>
    <row r="9253" spans="27:32" x14ac:dyDescent="0.3">
      <c r="AA9253" s="3">
        <v>1135.43</v>
      </c>
      <c r="AB9253">
        <v>1E-4</v>
      </c>
      <c r="AC9253">
        <v>8</v>
      </c>
      <c r="AD9253" s="5">
        <v>5.0429071549718758</v>
      </c>
      <c r="AE9253" s="5">
        <v>2.235092667818448</v>
      </c>
      <c r="AF9253">
        <v>1</v>
      </c>
    </row>
    <row r="9254" spans="27:32" x14ac:dyDescent="0.3">
      <c r="AA9254" s="3">
        <v>24696.26</v>
      </c>
      <c r="AB9254">
        <v>1E-4</v>
      </c>
      <c r="AC9254">
        <v>7</v>
      </c>
      <c r="AD9254" s="5">
        <v>4.9931321804098383</v>
      </c>
      <c r="AE9254" s="5">
        <v>2.2368013070276556</v>
      </c>
      <c r="AF9254">
        <v>1</v>
      </c>
    </row>
    <row r="9255" spans="27:32" x14ac:dyDescent="0.3">
      <c r="AA9255" s="3">
        <v>28697.4</v>
      </c>
      <c r="AB9255">
        <v>1E-4</v>
      </c>
      <c r="AC9255">
        <v>8</v>
      </c>
      <c r="AD9255" s="5">
        <v>5.0215271963810197</v>
      </c>
      <c r="AE9255" s="5">
        <v>2.1638920033383453</v>
      </c>
      <c r="AF9255">
        <v>1</v>
      </c>
    </row>
    <row r="9256" spans="27:32" x14ac:dyDescent="0.3">
      <c r="AA9256" s="3">
        <v>-6263.33</v>
      </c>
      <c r="AB9256">
        <v>1E-4</v>
      </c>
      <c r="AC9256">
        <v>9</v>
      </c>
      <c r="AD9256" s="5">
        <v>4.9895265077248148</v>
      </c>
      <c r="AE9256" s="5">
        <v>2.1683080098198051</v>
      </c>
      <c r="AF9256">
        <v>1</v>
      </c>
    </row>
    <row r="9257" spans="27:32" x14ac:dyDescent="0.3">
      <c r="AA9257" s="3">
        <v>45708.800000000003</v>
      </c>
      <c r="AB9257">
        <v>1E-4</v>
      </c>
      <c r="AC9257">
        <v>7</v>
      </c>
      <c r="AD9257" s="5">
        <v>5.2248430650460094</v>
      </c>
      <c r="AE9257" s="5">
        <v>2.1756599290205947</v>
      </c>
      <c r="AF9257">
        <v>1</v>
      </c>
    </row>
    <row r="9258" spans="27:32" x14ac:dyDescent="0.3">
      <c r="AA9258" s="3">
        <v>-15174.64</v>
      </c>
      <c r="AB9258">
        <v>1E-4</v>
      </c>
      <c r="AC9258">
        <v>9</v>
      </c>
      <c r="AD9258" s="5">
        <v>5.0198023460957204</v>
      </c>
      <c r="AE9258" s="5">
        <v>2.2577395756010818</v>
      </c>
      <c r="AF9258">
        <v>1</v>
      </c>
    </row>
    <row r="9259" spans="27:32" x14ac:dyDescent="0.3">
      <c r="AA9259" s="3">
        <v>-12320.78</v>
      </c>
      <c r="AB9259">
        <v>1E-4</v>
      </c>
      <c r="AC9259">
        <v>9</v>
      </c>
      <c r="AD9259" s="5">
        <v>4.8635749058793731</v>
      </c>
      <c r="AE9259" s="5">
        <v>2.1926645611959059</v>
      </c>
      <c r="AF9259">
        <v>1</v>
      </c>
    </row>
    <row r="9260" spans="27:32" x14ac:dyDescent="0.3">
      <c r="AA9260" s="3">
        <v>4862.95</v>
      </c>
      <c r="AB9260">
        <v>1E-4</v>
      </c>
      <c r="AC9260">
        <v>8</v>
      </c>
      <c r="AD9260" s="5">
        <v>4.9525824344681011</v>
      </c>
      <c r="AE9260" s="5">
        <v>2.170812099675417</v>
      </c>
      <c r="AF9260">
        <v>1</v>
      </c>
    </row>
    <row r="9261" spans="27:32" x14ac:dyDescent="0.3">
      <c r="AA9261" s="3">
        <v>44507.77</v>
      </c>
      <c r="AB9261">
        <v>1E-4</v>
      </c>
      <c r="AC9261">
        <v>7</v>
      </c>
      <c r="AD9261" s="5">
        <v>5.0525487110251657</v>
      </c>
      <c r="AE9261" s="5">
        <v>2.0664069863127126</v>
      </c>
      <c r="AF9261">
        <v>1</v>
      </c>
    </row>
    <row r="9262" spans="27:32" x14ac:dyDescent="0.3">
      <c r="AA9262" s="3">
        <v>7009.26</v>
      </c>
      <c r="AB9262">
        <v>1E-4</v>
      </c>
      <c r="AC9262">
        <v>8</v>
      </c>
      <c r="AD9262" s="5">
        <v>5.079133701760397</v>
      </c>
      <c r="AE9262" s="5">
        <v>2.2867459980627554</v>
      </c>
      <c r="AF9262">
        <v>1</v>
      </c>
    </row>
    <row r="9263" spans="27:32" x14ac:dyDescent="0.3">
      <c r="AA9263" s="3">
        <v>19530.75</v>
      </c>
      <c r="AB9263">
        <v>1E-4</v>
      </c>
      <c r="AC9263">
        <v>8</v>
      </c>
      <c r="AD9263" s="5">
        <v>5.0746373570456793</v>
      </c>
      <c r="AE9263" s="5">
        <v>2.2437715026243894</v>
      </c>
      <c r="AF9263">
        <v>1</v>
      </c>
    </row>
    <row r="9264" spans="27:32" x14ac:dyDescent="0.3">
      <c r="AA9264" s="3">
        <v>14962.32</v>
      </c>
      <c r="AB9264">
        <v>1E-4</v>
      </c>
      <c r="AC9264">
        <v>8</v>
      </c>
      <c r="AD9264" s="5">
        <v>5.0446882800802184</v>
      </c>
      <c r="AE9264" s="5">
        <v>2.300533369417801</v>
      </c>
      <c r="AF9264">
        <v>1</v>
      </c>
    </row>
    <row r="9265" spans="27:32" x14ac:dyDescent="0.3">
      <c r="AA9265" s="3">
        <v>33941.43</v>
      </c>
      <c r="AB9265">
        <v>1E-4</v>
      </c>
      <c r="AC9265">
        <v>7</v>
      </c>
      <c r="AD9265" s="5">
        <v>5.0655951019279515</v>
      </c>
      <c r="AE9265" s="5">
        <v>2.1962364206243588</v>
      </c>
      <c r="AF9265">
        <v>1</v>
      </c>
    </row>
    <row r="9266" spans="27:32" x14ac:dyDescent="0.3">
      <c r="AA9266" s="3">
        <v>33234.78</v>
      </c>
      <c r="AB9266">
        <v>1E-4</v>
      </c>
      <c r="AC9266">
        <v>7</v>
      </c>
      <c r="AD9266" s="5">
        <v>5.0148286082649092</v>
      </c>
      <c r="AE9266" s="5">
        <v>2.167928855770306</v>
      </c>
      <c r="AF9266">
        <v>1</v>
      </c>
    </row>
    <row r="9267" spans="27:32" x14ac:dyDescent="0.3">
      <c r="AA9267" s="3">
        <v>19231.7</v>
      </c>
      <c r="AB9267">
        <v>1E-4</v>
      </c>
      <c r="AC9267">
        <v>8</v>
      </c>
      <c r="AD9267" s="5">
        <v>4.8921402426734781</v>
      </c>
      <c r="AE9267" s="5">
        <v>2.286260843905763</v>
      </c>
      <c r="AF9267">
        <v>1</v>
      </c>
    </row>
    <row r="9268" spans="27:32" x14ac:dyDescent="0.3">
      <c r="AA9268" s="3">
        <v>28705.42</v>
      </c>
      <c r="AB9268">
        <v>1E-4</v>
      </c>
      <c r="AC9268">
        <v>8</v>
      </c>
      <c r="AD9268" s="5">
        <v>5.0759798576888926</v>
      </c>
      <c r="AE9268" s="5">
        <v>2.2070994231854946</v>
      </c>
      <c r="AF9268">
        <v>1</v>
      </c>
    </row>
    <row r="9269" spans="27:32" x14ac:dyDescent="0.3">
      <c r="AA9269" s="3">
        <v>27794.2</v>
      </c>
      <c r="AB9269">
        <v>1E-4</v>
      </c>
      <c r="AC9269">
        <v>8</v>
      </c>
      <c r="AD9269" s="5">
        <v>5.0274230658364614</v>
      </c>
      <c r="AE9269" s="5">
        <v>2.1741154027751501</v>
      </c>
      <c r="AF9269">
        <v>1</v>
      </c>
    </row>
    <row r="9270" spans="27:32" x14ac:dyDescent="0.3">
      <c r="AA9270" s="3">
        <v>29984.73</v>
      </c>
      <c r="AB9270">
        <v>1E-4</v>
      </c>
      <c r="AC9270">
        <v>8</v>
      </c>
      <c r="AD9270" s="5">
        <v>4.9980198083819793</v>
      </c>
      <c r="AE9270" s="5">
        <v>2.2336160085290366</v>
      </c>
      <c r="AF9270">
        <v>1</v>
      </c>
    </row>
    <row r="9271" spans="27:32" x14ac:dyDescent="0.3">
      <c r="AA9271" s="3">
        <v>15069.47</v>
      </c>
      <c r="AB9271">
        <v>1E-4</v>
      </c>
      <c r="AC9271">
        <v>8</v>
      </c>
      <c r="AD9271" s="5">
        <v>4.996323541755868</v>
      </c>
      <c r="AE9271" s="5">
        <v>2.0792974292930895</v>
      </c>
      <c r="AF9271">
        <v>1</v>
      </c>
    </row>
    <row r="9272" spans="27:32" x14ac:dyDescent="0.3">
      <c r="AA9272" s="3">
        <v>30427.84</v>
      </c>
      <c r="AB9272">
        <v>1E-4</v>
      </c>
      <c r="AC9272">
        <v>8</v>
      </c>
      <c r="AD9272" s="5">
        <v>4.9964771970032249</v>
      </c>
      <c r="AE9272" s="5">
        <v>2.1901062861520804</v>
      </c>
      <c r="AF9272">
        <v>1</v>
      </c>
    </row>
    <row r="9273" spans="27:32" x14ac:dyDescent="0.3">
      <c r="AA9273" s="3">
        <v>43399.47</v>
      </c>
      <c r="AB9273">
        <v>1E-4</v>
      </c>
      <c r="AC9273">
        <v>7</v>
      </c>
      <c r="AD9273" s="5">
        <v>5.0443802058134732</v>
      </c>
      <c r="AE9273" s="5">
        <v>2.2306546200217561</v>
      </c>
      <c r="AF9273">
        <v>1</v>
      </c>
    </row>
    <row r="9274" spans="27:32" x14ac:dyDescent="0.3">
      <c r="AA9274" s="3">
        <v>5616.62</v>
      </c>
      <c r="AB9274">
        <v>1E-4</v>
      </c>
      <c r="AC9274">
        <v>8</v>
      </c>
      <c r="AD9274" s="5">
        <v>4.9410329462240172</v>
      </c>
      <c r="AE9274" s="5">
        <v>2.1759338004832314</v>
      </c>
      <c r="AF9274">
        <v>1</v>
      </c>
    </row>
    <row r="9275" spans="27:32" x14ac:dyDescent="0.3">
      <c r="AA9275" s="3">
        <v>-13105.018376790364</v>
      </c>
      <c r="AB9275">
        <v>1E-4</v>
      </c>
      <c r="AC9275">
        <v>8</v>
      </c>
      <c r="AD9275" s="5">
        <v>5.0093502022677159</v>
      </c>
      <c r="AE9275" s="5">
        <v>2.1598707750880157</v>
      </c>
      <c r="AF9275">
        <v>0</v>
      </c>
    </row>
    <row r="9276" spans="27:32" x14ac:dyDescent="0.3">
      <c r="AA9276" s="3">
        <v>40212.769999999997</v>
      </c>
      <c r="AB9276">
        <v>1E-4</v>
      </c>
      <c r="AC9276">
        <v>7</v>
      </c>
      <c r="AD9276" s="5">
        <v>5.0235236342750733</v>
      </c>
      <c r="AE9276" s="5">
        <v>2.1652137414372032</v>
      </c>
      <c r="AF9276">
        <v>1</v>
      </c>
    </row>
    <row r="9277" spans="27:32" x14ac:dyDescent="0.3">
      <c r="AA9277" s="3">
        <v>28169.759999999998</v>
      </c>
      <c r="AB9277">
        <v>1E-4</v>
      </c>
      <c r="AC9277">
        <v>8</v>
      </c>
      <c r="AD9277" s="5">
        <v>4.9829123940433799</v>
      </c>
      <c r="AE9277" s="5">
        <v>2.1224386639941706</v>
      </c>
      <c r="AF9277">
        <v>1</v>
      </c>
    </row>
    <row r="9278" spans="27:32" x14ac:dyDescent="0.3">
      <c r="AA9278" s="3">
        <v>18972.71</v>
      </c>
      <c r="AB9278">
        <v>1E-4</v>
      </c>
      <c r="AC9278">
        <v>8</v>
      </c>
      <c r="AD9278" s="5">
        <v>5.0238899812712701</v>
      </c>
      <c r="AE9278" s="5">
        <v>2.2395841891029487</v>
      </c>
      <c r="AF9278">
        <v>1</v>
      </c>
    </row>
    <row r="9279" spans="27:32" x14ac:dyDescent="0.3">
      <c r="AA9279" s="3">
        <v>50185.09</v>
      </c>
      <c r="AB9279">
        <v>1E-4</v>
      </c>
      <c r="AC9279">
        <v>6</v>
      </c>
      <c r="AD9279" s="5">
        <v>5.0116521133295029</v>
      </c>
      <c r="AE9279" s="5">
        <v>2.1612436602671359</v>
      </c>
      <c r="AF9279">
        <v>1</v>
      </c>
    </row>
    <row r="9280" spans="27:32" x14ac:dyDescent="0.3">
      <c r="AA9280" s="3">
        <v>17773.96</v>
      </c>
      <c r="AB9280">
        <v>1E-4</v>
      </c>
      <c r="AC9280">
        <v>8</v>
      </c>
      <c r="AD9280" s="5">
        <v>4.9448605756999715</v>
      </c>
      <c r="AE9280" s="5">
        <v>2.1745802473609634</v>
      </c>
      <c r="AF9280">
        <v>1</v>
      </c>
    </row>
    <row r="9281" spans="27:32" x14ac:dyDescent="0.3">
      <c r="AA9281" s="3">
        <v>-2882.8</v>
      </c>
      <c r="AB9281">
        <v>1E-4</v>
      </c>
      <c r="AC9281">
        <v>9</v>
      </c>
      <c r="AD9281" s="5">
        <v>4.971750606583873</v>
      </c>
      <c r="AE9281" s="5">
        <v>2.1773323381403991</v>
      </c>
      <c r="AF9281">
        <v>1</v>
      </c>
    </row>
    <row r="9282" spans="27:32" x14ac:dyDescent="0.3">
      <c r="AA9282" s="3">
        <v>39612.839999999997</v>
      </c>
      <c r="AB9282">
        <v>1E-4</v>
      </c>
      <c r="AC9282">
        <v>7</v>
      </c>
      <c r="AD9282" s="5">
        <v>5.274683235343498</v>
      </c>
      <c r="AE9282" s="5">
        <v>2.1160884390704129</v>
      </c>
      <c r="AF9282">
        <v>1</v>
      </c>
    </row>
    <row r="9283" spans="27:32" x14ac:dyDescent="0.3">
      <c r="AA9283" s="3">
        <v>15668.56</v>
      </c>
      <c r="AB9283">
        <v>1E-4</v>
      </c>
      <c r="AC9283">
        <v>8</v>
      </c>
      <c r="AD9283" s="5">
        <v>5.0598133539807275</v>
      </c>
      <c r="AE9283" s="5">
        <v>2.1672666142489714</v>
      </c>
      <c r="AF9283">
        <v>1</v>
      </c>
    </row>
    <row r="9284" spans="27:32" x14ac:dyDescent="0.3">
      <c r="AA9284" s="3">
        <v>-26571.853397187511</v>
      </c>
      <c r="AB9284">
        <v>1E-4</v>
      </c>
      <c r="AC9284">
        <v>9</v>
      </c>
      <c r="AD9284" s="5">
        <v>4.8128510675764469</v>
      </c>
      <c r="AE9284" s="5">
        <v>2.2734782222314345</v>
      </c>
      <c r="AF9284">
        <v>0</v>
      </c>
    </row>
    <row r="9285" spans="27:32" x14ac:dyDescent="0.3">
      <c r="AA9285" s="3">
        <v>-3519.65</v>
      </c>
      <c r="AB9285">
        <v>1E-4</v>
      </c>
      <c r="AC9285">
        <v>9</v>
      </c>
      <c r="AD9285" s="5">
        <v>4.8779568087059442</v>
      </c>
      <c r="AE9285" s="5">
        <v>2.1944495843630292</v>
      </c>
      <c r="AF9285">
        <v>1</v>
      </c>
    </row>
    <row r="9286" spans="27:32" x14ac:dyDescent="0.3">
      <c r="AA9286" s="3">
        <v>33816.14</v>
      </c>
      <c r="AB9286">
        <v>1E-4</v>
      </c>
      <c r="AC9286">
        <v>7</v>
      </c>
      <c r="AD9286" s="5">
        <v>5.0456495845978893</v>
      </c>
      <c r="AE9286" s="5">
        <v>2.1890740774316368</v>
      </c>
      <c r="AF9286">
        <v>1</v>
      </c>
    </row>
    <row r="9287" spans="27:32" x14ac:dyDescent="0.3">
      <c r="AA9287" s="3">
        <v>30658.89</v>
      </c>
      <c r="AB9287">
        <v>1E-4</v>
      </c>
      <c r="AC9287">
        <v>7</v>
      </c>
      <c r="AD9287" s="5">
        <v>4.9812671856829711</v>
      </c>
      <c r="AE9287" s="5">
        <v>2.242308756809162</v>
      </c>
      <c r="AF9287">
        <v>1</v>
      </c>
    </row>
    <row r="9288" spans="27:32" x14ac:dyDescent="0.3">
      <c r="AA9288" s="3">
        <v>12709.54</v>
      </c>
      <c r="AB9288">
        <v>1E-4</v>
      </c>
      <c r="AC9288">
        <v>8</v>
      </c>
      <c r="AD9288" s="5">
        <v>5.0490332806872251</v>
      </c>
      <c r="AE9288" s="5">
        <v>2.2154069823118601</v>
      </c>
      <c r="AF9288">
        <v>1</v>
      </c>
    </row>
    <row r="9289" spans="27:32" x14ac:dyDescent="0.3">
      <c r="AA9289" s="3">
        <v>-886.95</v>
      </c>
      <c r="AB9289">
        <v>1E-4</v>
      </c>
      <c r="AC9289">
        <v>9</v>
      </c>
      <c r="AD9289" s="5">
        <v>5.0853623382821302</v>
      </c>
      <c r="AE9289" s="5">
        <v>2.212669083489212</v>
      </c>
      <c r="AF9289">
        <v>1</v>
      </c>
    </row>
    <row r="9290" spans="27:32" x14ac:dyDescent="0.3">
      <c r="AA9290" s="3">
        <v>15283.92</v>
      </c>
      <c r="AB9290">
        <v>1E-4</v>
      </c>
      <c r="AC9290">
        <v>8</v>
      </c>
      <c r="AD9290" s="5">
        <v>4.9552741209248667</v>
      </c>
      <c r="AE9290" s="5">
        <v>2.2158605900895911</v>
      </c>
      <c r="AF9290">
        <v>1</v>
      </c>
    </row>
    <row r="9291" spans="27:32" x14ac:dyDescent="0.3">
      <c r="AA9291" s="3">
        <v>6865.1</v>
      </c>
      <c r="AB9291">
        <v>1E-4</v>
      </c>
      <c r="AC9291">
        <v>8</v>
      </c>
      <c r="AD9291" s="5">
        <v>4.9396425777801012</v>
      </c>
      <c r="AE9291" s="5">
        <v>2.2053489557749666</v>
      </c>
      <c r="AF9291">
        <v>1</v>
      </c>
    </row>
    <row r="9292" spans="27:32" x14ac:dyDescent="0.3">
      <c r="AA9292" s="3">
        <v>28644.87</v>
      </c>
      <c r="AB9292">
        <v>1E-4</v>
      </c>
      <c r="AC9292">
        <v>8</v>
      </c>
      <c r="AD9292" s="5">
        <v>5.044990883852102</v>
      </c>
      <c r="AE9292" s="5">
        <v>2.2488782325292207</v>
      </c>
      <c r="AF9292">
        <v>1</v>
      </c>
    </row>
    <row r="9293" spans="27:32" x14ac:dyDescent="0.3">
      <c r="AA9293" s="3">
        <v>-10597.98</v>
      </c>
      <c r="AB9293">
        <v>1E-4</v>
      </c>
      <c r="AC9293">
        <v>9</v>
      </c>
      <c r="AD9293" s="5">
        <v>4.8755003205991203</v>
      </c>
      <c r="AE9293" s="5">
        <v>2.1156573670234606</v>
      </c>
      <c r="AF9293">
        <v>1</v>
      </c>
    </row>
    <row r="9294" spans="27:32" x14ac:dyDescent="0.3">
      <c r="AA9294" s="3">
        <v>12432.09</v>
      </c>
      <c r="AB9294">
        <v>1E-4</v>
      </c>
      <c r="AC9294">
        <v>8</v>
      </c>
      <c r="AD9294" s="5">
        <v>4.9698947350407581</v>
      </c>
      <c r="AE9294" s="5">
        <v>2.2134841232115297</v>
      </c>
      <c r="AF9294">
        <v>1</v>
      </c>
    </row>
    <row r="9295" spans="27:32" x14ac:dyDescent="0.3">
      <c r="AA9295" s="3">
        <v>4101.82</v>
      </c>
      <c r="AB9295">
        <v>1E-4</v>
      </c>
      <c r="AC9295">
        <v>8</v>
      </c>
      <c r="AD9295" s="5">
        <v>5.0035551184649192</v>
      </c>
      <c r="AE9295" s="5">
        <v>2.284362643211828</v>
      </c>
      <c r="AF9295">
        <v>1</v>
      </c>
    </row>
    <row r="9296" spans="27:32" x14ac:dyDescent="0.3">
      <c r="AA9296" s="3">
        <v>-9023.93</v>
      </c>
      <c r="AB9296">
        <v>1E-4</v>
      </c>
      <c r="AC9296">
        <v>9</v>
      </c>
      <c r="AD9296" s="5">
        <v>5.044904307790687</v>
      </c>
      <c r="AE9296" s="5">
        <v>2.1904578353207285</v>
      </c>
      <c r="AF9296">
        <v>1</v>
      </c>
    </row>
    <row r="9297" spans="27:32" x14ac:dyDescent="0.3">
      <c r="AA9297" s="3">
        <v>35388.25</v>
      </c>
      <c r="AB9297">
        <v>1E-4</v>
      </c>
      <c r="AC9297">
        <v>7</v>
      </c>
      <c r="AD9297" s="5">
        <v>4.9939080233644146</v>
      </c>
      <c r="AE9297" s="5">
        <v>2.1821413863549606</v>
      </c>
      <c r="AF9297">
        <v>1</v>
      </c>
    </row>
    <row r="9298" spans="27:32" x14ac:dyDescent="0.3">
      <c r="AA9298" s="3">
        <v>-5345.66</v>
      </c>
      <c r="AB9298">
        <v>1E-4</v>
      </c>
      <c r="AC9298">
        <v>9</v>
      </c>
      <c r="AD9298" s="5">
        <v>4.9389924193179944</v>
      </c>
      <c r="AE9298" s="5">
        <v>2.1947937497777552</v>
      </c>
      <c r="AF9298">
        <v>1</v>
      </c>
    </row>
    <row r="9299" spans="27:32" x14ac:dyDescent="0.3">
      <c r="AA9299" s="3">
        <v>22989.279999999999</v>
      </c>
      <c r="AB9299">
        <v>1E-4</v>
      </c>
      <c r="AC9299">
        <v>8</v>
      </c>
      <c r="AD9299" s="5">
        <v>4.9601657839161719</v>
      </c>
      <c r="AE9299" s="5">
        <v>2.1287773613112191</v>
      </c>
      <c r="AF9299">
        <v>1</v>
      </c>
    </row>
    <row r="9300" spans="27:32" x14ac:dyDescent="0.3">
      <c r="AA9300" s="3">
        <v>11513.05</v>
      </c>
      <c r="AB9300">
        <v>1E-4</v>
      </c>
      <c r="AC9300">
        <v>8</v>
      </c>
      <c r="AD9300" s="5">
        <v>5.1225688681703678</v>
      </c>
      <c r="AE9300" s="5">
        <v>2.1587334899605022</v>
      </c>
      <c r="AF9300">
        <v>1</v>
      </c>
    </row>
    <row r="9301" spans="27:32" x14ac:dyDescent="0.3">
      <c r="AA9301" s="3">
        <v>20975.5</v>
      </c>
      <c r="AB9301">
        <v>1E-4</v>
      </c>
      <c r="AC9301">
        <v>8</v>
      </c>
      <c r="AD9301" s="5">
        <v>5.0512255538361863</v>
      </c>
      <c r="AE9301" s="5">
        <v>2.173860070210528</v>
      </c>
      <c r="AF9301">
        <v>1</v>
      </c>
    </row>
    <row r="9302" spans="27:32" x14ac:dyDescent="0.3">
      <c r="AA9302" s="3">
        <v>11288.82</v>
      </c>
      <c r="AB9302">
        <v>1E-4</v>
      </c>
      <c r="AC9302">
        <v>8</v>
      </c>
      <c r="AD9302" s="5">
        <v>4.9796967495518984</v>
      </c>
      <c r="AE9302" s="5">
        <v>2.1675515334318676</v>
      </c>
      <c r="AF9302">
        <v>1</v>
      </c>
    </row>
    <row r="9303" spans="27:32" x14ac:dyDescent="0.3">
      <c r="AA9303" s="3">
        <v>13890.93</v>
      </c>
      <c r="AB9303">
        <v>1E-4</v>
      </c>
      <c r="AC9303">
        <v>8</v>
      </c>
      <c r="AD9303" s="5">
        <v>5.0908847413106475</v>
      </c>
      <c r="AE9303" s="5">
        <v>2.1406951221450914</v>
      </c>
      <c r="AF9303">
        <v>1</v>
      </c>
    </row>
    <row r="9304" spans="27:32" x14ac:dyDescent="0.3">
      <c r="AA9304" s="3">
        <v>33224.879999999997</v>
      </c>
      <c r="AB9304">
        <v>1E-4</v>
      </c>
      <c r="AC9304">
        <v>7</v>
      </c>
      <c r="AD9304" s="5">
        <v>4.9400073900310302</v>
      </c>
      <c r="AE9304" s="5">
        <v>2.2460786251932308</v>
      </c>
      <c r="AF9304">
        <v>1</v>
      </c>
    </row>
    <row r="9305" spans="27:32" x14ac:dyDescent="0.3">
      <c r="AA9305" s="3">
        <v>4850.12</v>
      </c>
      <c r="AB9305">
        <v>1E-4</v>
      </c>
      <c r="AC9305">
        <v>8</v>
      </c>
      <c r="AD9305" s="5">
        <v>4.9331064415052044</v>
      </c>
      <c r="AE9305" s="5">
        <v>2.1905178304460251</v>
      </c>
      <c r="AF9305">
        <v>1</v>
      </c>
    </row>
    <row r="9306" spans="27:32" x14ac:dyDescent="0.3">
      <c r="AA9306" s="3">
        <v>28267.97</v>
      </c>
      <c r="AB9306">
        <v>1E-4</v>
      </c>
      <c r="AC9306">
        <v>8</v>
      </c>
      <c r="AD9306" s="5">
        <v>4.9621927107967991</v>
      </c>
      <c r="AE9306" s="5">
        <v>2.2020139328389075</v>
      </c>
      <c r="AF9306">
        <v>1</v>
      </c>
    </row>
    <row r="9307" spans="27:32" x14ac:dyDescent="0.3">
      <c r="AA9307" s="3">
        <v>28163.73</v>
      </c>
      <c r="AB9307">
        <v>1E-4</v>
      </c>
      <c r="AC9307">
        <v>8</v>
      </c>
      <c r="AD9307" s="5">
        <v>5.002502040638908</v>
      </c>
      <c r="AE9307" s="5">
        <v>2.1829701105015058</v>
      </c>
      <c r="AF9307">
        <v>1</v>
      </c>
    </row>
    <row r="9308" spans="27:32" x14ac:dyDescent="0.3">
      <c r="AA9308" s="3">
        <v>10907.54</v>
      </c>
      <c r="AB9308">
        <v>1E-4</v>
      </c>
      <c r="AC9308">
        <v>8</v>
      </c>
      <c r="AD9308" s="5">
        <v>5.1243251449223202</v>
      </c>
      <c r="AE9308" s="5">
        <v>2.2573566089805355</v>
      </c>
      <c r="AF9308">
        <v>1</v>
      </c>
    </row>
    <row r="9309" spans="27:32" x14ac:dyDescent="0.3">
      <c r="AA9309" s="3">
        <v>-321.88</v>
      </c>
      <c r="AB9309">
        <v>1E-4</v>
      </c>
      <c r="AC9309">
        <v>9</v>
      </c>
      <c r="AD9309" s="5">
        <v>4.9056130284531791</v>
      </c>
      <c r="AE9309" s="5">
        <v>2.1952974809994585</v>
      </c>
      <c r="AF9309">
        <v>1</v>
      </c>
    </row>
    <row r="9310" spans="27:32" x14ac:dyDescent="0.3">
      <c r="AA9310" s="3">
        <v>-7401.97</v>
      </c>
      <c r="AB9310">
        <v>1E-4</v>
      </c>
      <c r="AC9310">
        <v>9</v>
      </c>
      <c r="AD9310" s="5">
        <v>4.8356705183887856</v>
      </c>
      <c r="AE9310" s="5">
        <v>2.1603450122733761</v>
      </c>
      <c r="AF9310">
        <v>1</v>
      </c>
    </row>
    <row r="9311" spans="27:32" x14ac:dyDescent="0.3">
      <c r="AA9311" s="3">
        <v>32300.67</v>
      </c>
      <c r="AB9311">
        <v>1E-4</v>
      </c>
      <c r="AC9311">
        <v>7</v>
      </c>
      <c r="AD9311" s="5">
        <v>5.0340204560495225</v>
      </c>
      <c r="AE9311" s="5">
        <v>2.1827526817807485</v>
      </c>
      <c r="AF9311">
        <v>1</v>
      </c>
    </row>
    <row r="9312" spans="27:32" x14ac:dyDescent="0.3">
      <c r="AA9312" s="3">
        <v>-20350.48</v>
      </c>
      <c r="AB9312">
        <v>1E-4</v>
      </c>
      <c r="AC9312">
        <v>9</v>
      </c>
      <c r="AD9312" s="5">
        <v>4.882067880652297</v>
      </c>
      <c r="AE9312" s="5">
        <v>2.2060597788678549</v>
      </c>
      <c r="AF9312">
        <v>1</v>
      </c>
    </row>
    <row r="9313" spans="27:32" x14ac:dyDescent="0.3">
      <c r="AA9313" s="3">
        <v>515.24</v>
      </c>
      <c r="AB9313">
        <v>1E-4</v>
      </c>
      <c r="AC9313">
        <v>8</v>
      </c>
      <c r="AD9313" s="5">
        <v>4.9301689889980826</v>
      </c>
      <c r="AE9313" s="5">
        <v>2.2977622891902447</v>
      </c>
      <c r="AF9313">
        <v>1</v>
      </c>
    </row>
    <row r="9314" spans="27:32" x14ac:dyDescent="0.3">
      <c r="AA9314" s="3">
        <v>25848.27</v>
      </c>
      <c r="AB9314">
        <v>1E-4</v>
      </c>
      <c r="AC9314">
        <v>8</v>
      </c>
      <c r="AD9314" s="5">
        <v>5.0140311482169428</v>
      </c>
      <c r="AE9314" s="5">
        <v>2.1484745346075882</v>
      </c>
      <c r="AF9314">
        <v>1</v>
      </c>
    </row>
    <row r="9315" spans="27:32" x14ac:dyDescent="0.3">
      <c r="AA9315" s="3">
        <v>47447.199999999997</v>
      </c>
      <c r="AB9315">
        <v>1E-4</v>
      </c>
      <c r="AC9315">
        <v>7</v>
      </c>
      <c r="AD9315" s="5">
        <v>4.995709755015711</v>
      </c>
      <c r="AE9315" s="5">
        <v>2.1812706134597892</v>
      </c>
      <c r="AF9315">
        <v>1</v>
      </c>
    </row>
    <row r="9316" spans="27:32" x14ac:dyDescent="0.3">
      <c r="AA9316" s="3">
        <v>42684.13</v>
      </c>
      <c r="AB9316">
        <v>1E-4</v>
      </c>
      <c r="AC9316">
        <v>7</v>
      </c>
      <c r="AD9316" s="5">
        <v>5.0776592739935547</v>
      </c>
      <c r="AE9316" s="5">
        <v>2.2049802862729262</v>
      </c>
      <c r="AF9316">
        <v>1</v>
      </c>
    </row>
    <row r="9317" spans="27:32" x14ac:dyDescent="0.3">
      <c r="AA9317" s="3">
        <v>17815.669999999998</v>
      </c>
      <c r="AB9317">
        <v>1E-4</v>
      </c>
      <c r="AC9317">
        <v>8</v>
      </c>
      <c r="AD9317" s="5">
        <v>5.0234821306042114</v>
      </c>
      <c r="AE9317" s="5">
        <v>2.2746373500280925</v>
      </c>
      <c r="AF9317">
        <v>1</v>
      </c>
    </row>
    <row r="9318" spans="27:32" x14ac:dyDescent="0.3">
      <c r="AA9318" s="3">
        <v>27184.3</v>
      </c>
      <c r="AB9318">
        <v>1E-4</v>
      </c>
      <c r="AC9318">
        <v>8</v>
      </c>
      <c r="AD9318" s="5">
        <v>4.9227706285656598</v>
      </c>
      <c r="AE9318" s="5">
        <v>2.2760968633945713</v>
      </c>
      <c r="AF9318">
        <v>1</v>
      </c>
    </row>
    <row r="9319" spans="27:32" x14ac:dyDescent="0.3">
      <c r="AA9319" s="3">
        <v>-8258.67</v>
      </c>
      <c r="AB9319">
        <v>1E-4</v>
      </c>
      <c r="AC9319">
        <v>9</v>
      </c>
      <c r="AD9319" s="5">
        <v>4.9970495042284213</v>
      </c>
      <c r="AE9319" s="5">
        <v>2.2403775629860312</v>
      </c>
      <c r="AF9319">
        <v>1</v>
      </c>
    </row>
    <row r="9320" spans="27:32" x14ac:dyDescent="0.3">
      <c r="AA9320" s="3">
        <v>4680.57</v>
      </c>
      <c r="AB9320">
        <v>1E-4</v>
      </c>
      <c r="AC9320">
        <v>8</v>
      </c>
      <c r="AD9320" s="5">
        <v>4.9182454627511651</v>
      </c>
      <c r="AE9320" s="5">
        <v>2.2418862280117051</v>
      </c>
      <c r="AF9320">
        <v>1</v>
      </c>
    </row>
    <row r="9321" spans="27:32" x14ac:dyDescent="0.3">
      <c r="AA9321" s="3">
        <v>23077.93</v>
      </c>
      <c r="AB9321">
        <v>1E-4</v>
      </c>
      <c r="AC9321">
        <v>8</v>
      </c>
      <c r="AD9321" s="5">
        <v>5.0726797663575232</v>
      </c>
      <c r="AE9321" s="5">
        <v>2.1911205483901495</v>
      </c>
      <c r="AF9321">
        <v>1</v>
      </c>
    </row>
    <row r="9322" spans="27:32" x14ac:dyDescent="0.3">
      <c r="AA9322" s="3">
        <v>23170.52</v>
      </c>
      <c r="AB9322">
        <v>1E-4</v>
      </c>
      <c r="AC9322">
        <v>8</v>
      </c>
      <c r="AD9322" s="5">
        <v>4.9579930219463337</v>
      </c>
      <c r="AE9322" s="5">
        <v>2.1474603862493034</v>
      </c>
      <c r="AF9322">
        <v>1</v>
      </c>
    </row>
    <row r="9323" spans="27:32" x14ac:dyDescent="0.3">
      <c r="AA9323" s="3">
        <v>57921.65</v>
      </c>
      <c r="AB9323">
        <v>1E-4</v>
      </c>
      <c r="AC9323">
        <v>6</v>
      </c>
      <c r="AD9323" s="5">
        <v>5.2074352894462903</v>
      </c>
      <c r="AE9323" s="5">
        <v>2.1317869139205272</v>
      </c>
      <c r="AF9323">
        <v>1</v>
      </c>
    </row>
    <row r="9324" spans="27:32" x14ac:dyDescent="0.3">
      <c r="AA9324" s="3">
        <v>27470.799999999999</v>
      </c>
      <c r="AB9324">
        <v>1E-4</v>
      </c>
      <c r="AC9324">
        <v>8</v>
      </c>
      <c r="AD9324" s="5">
        <v>5.1187819492292173</v>
      </c>
      <c r="AE9324" s="5">
        <v>2.1598583536880378</v>
      </c>
      <c r="AF9324">
        <v>1</v>
      </c>
    </row>
    <row r="9325" spans="27:32" x14ac:dyDescent="0.3">
      <c r="AA9325" s="3">
        <v>16020.14</v>
      </c>
      <c r="AB9325">
        <v>1E-4</v>
      </c>
      <c r="AC9325">
        <v>8</v>
      </c>
      <c r="AD9325" s="5">
        <v>4.9558781982572127</v>
      </c>
      <c r="AE9325" s="5">
        <v>2.2192630778739253</v>
      </c>
      <c r="AF9325">
        <v>1</v>
      </c>
    </row>
    <row r="9326" spans="27:32" x14ac:dyDescent="0.3">
      <c r="AA9326" s="3">
        <v>8091.14</v>
      </c>
      <c r="AB9326">
        <v>1E-4</v>
      </c>
      <c r="AC9326">
        <v>8</v>
      </c>
      <c r="AD9326" s="5">
        <v>4.9763776936290585</v>
      </c>
      <c r="AE9326" s="5">
        <v>2.1499568685011003</v>
      </c>
      <c r="AF9326">
        <v>1</v>
      </c>
    </row>
    <row r="9327" spans="27:32" x14ac:dyDescent="0.3">
      <c r="AA9327" s="3">
        <v>29611</v>
      </c>
      <c r="AB9327">
        <v>1E-4</v>
      </c>
      <c r="AC9327">
        <v>8</v>
      </c>
      <c r="AD9327" s="5">
        <v>5.0275033615469624</v>
      </c>
      <c r="AE9327" s="5">
        <v>2.1836348258978595</v>
      </c>
      <c r="AF9327">
        <v>1</v>
      </c>
    </row>
    <row r="9328" spans="27:32" x14ac:dyDescent="0.3">
      <c r="AA9328" s="3">
        <v>6895.8</v>
      </c>
      <c r="AB9328">
        <v>1E-4</v>
      </c>
      <c r="AC9328">
        <v>8</v>
      </c>
      <c r="AD9328" s="5">
        <v>4.8337615695094698</v>
      </c>
      <c r="AE9328" s="5">
        <v>2.2312999632405792</v>
      </c>
      <c r="AF9328">
        <v>1</v>
      </c>
    </row>
    <row r="9329" spans="27:32" x14ac:dyDescent="0.3">
      <c r="AA9329" s="3">
        <v>22502.25</v>
      </c>
      <c r="AB9329">
        <v>1E-4</v>
      </c>
      <c r="AC9329">
        <v>8</v>
      </c>
      <c r="AD9329" s="5">
        <v>5.0056634211256066</v>
      </c>
      <c r="AE9329" s="5">
        <v>2.2148387808619105</v>
      </c>
      <c r="AF9329">
        <v>1</v>
      </c>
    </row>
    <row r="9330" spans="27:32" x14ac:dyDescent="0.3">
      <c r="AA9330" s="3">
        <v>13838.43</v>
      </c>
      <c r="AB9330">
        <v>1E-4</v>
      </c>
      <c r="AC9330">
        <v>8</v>
      </c>
      <c r="AD9330" s="5">
        <v>5.0066294276687158</v>
      </c>
      <c r="AE9330" s="5">
        <v>2.1519562892775106</v>
      </c>
      <c r="AF9330">
        <v>1</v>
      </c>
    </row>
    <row r="9331" spans="27:32" x14ac:dyDescent="0.3">
      <c r="AA9331" s="3">
        <v>5433.16</v>
      </c>
      <c r="AB9331">
        <v>1E-4</v>
      </c>
      <c r="AC9331">
        <v>8</v>
      </c>
      <c r="AD9331" s="5">
        <v>4.8769931032048071</v>
      </c>
      <c r="AE9331" s="5">
        <v>2.1825564387596441</v>
      </c>
      <c r="AF9331">
        <v>1</v>
      </c>
    </row>
    <row r="9332" spans="27:32" x14ac:dyDescent="0.3">
      <c r="AA9332" s="3">
        <v>20603.52</v>
      </c>
      <c r="AB9332">
        <v>1E-4</v>
      </c>
      <c r="AC9332">
        <v>8</v>
      </c>
      <c r="AD9332" s="5">
        <v>5.0554455784157115</v>
      </c>
      <c r="AE9332" s="5">
        <v>2.2237432148556149</v>
      </c>
      <c r="AF9332">
        <v>1</v>
      </c>
    </row>
    <row r="9333" spans="27:32" x14ac:dyDescent="0.3">
      <c r="AA9333" s="3">
        <v>6947.5</v>
      </c>
      <c r="AB9333">
        <v>1E-4</v>
      </c>
      <c r="AC9333">
        <v>8</v>
      </c>
      <c r="AD9333" s="5">
        <v>4.825254921556021</v>
      </c>
      <c r="AE9333" s="5">
        <v>2.2578035631533271</v>
      </c>
      <c r="AF9333">
        <v>1</v>
      </c>
    </row>
    <row r="9334" spans="27:32" x14ac:dyDescent="0.3">
      <c r="AA9334" s="3">
        <v>17458.28</v>
      </c>
      <c r="AB9334">
        <v>1E-4</v>
      </c>
      <c r="AC9334">
        <v>8</v>
      </c>
      <c r="AD9334" s="5">
        <v>4.8991127644924886</v>
      </c>
      <c r="AE9334" s="5">
        <v>2.2477982903572684</v>
      </c>
      <c r="AF9334">
        <v>1</v>
      </c>
    </row>
    <row r="9335" spans="27:32" x14ac:dyDescent="0.3">
      <c r="AA9335" s="3">
        <v>1610.26</v>
      </c>
      <c r="AB9335">
        <v>1E-4</v>
      </c>
      <c r="AC9335">
        <v>8</v>
      </c>
      <c r="AD9335" s="5">
        <v>4.9951579308765686</v>
      </c>
      <c r="AE9335" s="5">
        <v>2.2736405239684538</v>
      </c>
      <c r="AF9335">
        <v>1</v>
      </c>
    </row>
    <row r="9336" spans="27:32" x14ac:dyDescent="0.3">
      <c r="AA9336" s="3">
        <v>-4182.3900000000003</v>
      </c>
      <c r="AB9336">
        <v>1E-4</v>
      </c>
      <c r="AC9336">
        <v>9</v>
      </c>
      <c r="AD9336" s="5">
        <v>4.9234873860862516</v>
      </c>
      <c r="AE9336" s="5">
        <v>2.2333612321488183</v>
      </c>
      <c r="AF9336">
        <v>1</v>
      </c>
    </row>
    <row r="9337" spans="27:32" x14ac:dyDescent="0.3">
      <c r="AA9337" s="3">
        <v>23267.51</v>
      </c>
      <c r="AB9337">
        <v>1E-4</v>
      </c>
      <c r="AC9337">
        <v>8</v>
      </c>
      <c r="AD9337" s="5">
        <v>5.0413335150179126</v>
      </c>
      <c r="AE9337" s="5">
        <v>2.1476490068349192</v>
      </c>
      <c r="AF9337">
        <v>1</v>
      </c>
    </row>
    <row r="9338" spans="27:32" x14ac:dyDescent="0.3">
      <c r="AA9338" s="3">
        <v>14992.58</v>
      </c>
      <c r="AB9338">
        <v>1E-4</v>
      </c>
      <c r="AC9338">
        <v>8</v>
      </c>
      <c r="AD9338" s="5">
        <v>4.9777360233328949</v>
      </c>
      <c r="AE9338" s="5">
        <v>2.1360734388664482</v>
      </c>
      <c r="AF9338">
        <v>1</v>
      </c>
    </row>
    <row r="9339" spans="27:32" x14ac:dyDescent="0.3">
      <c r="AA9339" s="3">
        <v>-3140.03</v>
      </c>
      <c r="AB9339">
        <v>1E-4</v>
      </c>
      <c r="AC9339">
        <v>9</v>
      </c>
      <c r="AD9339" s="5">
        <v>5.0040144146032999</v>
      </c>
      <c r="AE9339" s="5">
        <v>2.3370351337672108</v>
      </c>
      <c r="AF9339">
        <v>1</v>
      </c>
    </row>
    <row r="9340" spans="27:32" x14ac:dyDescent="0.3">
      <c r="AA9340" s="3">
        <v>4869.67</v>
      </c>
      <c r="AB9340">
        <v>1E-4</v>
      </c>
      <c r="AC9340">
        <v>8</v>
      </c>
      <c r="AD9340" s="5">
        <v>5.0605950847903003</v>
      </c>
      <c r="AE9340" s="5">
        <v>2.104707716709898</v>
      </c>
      <c r="AF9340">
        <v>1</v>
      </c>
    </row>
    <row r="9341" spans="27:32" x14ac:dyDescent="0.3">
      <c r="AA9341" s="3">
        <v>16800.53</v>
      </c>
      <c r="AB9341">
        <v>1E-4</v>
      </c>
      <c r="AC9341">
        <v>8</v>
      </c>
      <c r="AD9341" s="5">
        <v>4.9895414989044253</v>
      </c>
      <c r="AE9341" s="5">
        <v>2.1845707427744512</v>
      </c>
      <c r="AF9341">
        <v>1</v>
      </c>
    </row>
    <row r="9342" spans="27:32" x14ac:dyDescent="0.3">
      <c r="AA9342" s="3">
        <v>14549.54</v>
      </c>
      <c r="AB9342">
        <v>1E-4</v>
      </c>
      <c r="AC9342">
        <v>8</v>
      </c>
      <c r="AD9342" s="5">
        <v>4.9517996918103533</v>
      </c>
      <c r="AE9342" s="5">
        <v>2.1469349524537331</v>
      </c>
      <c r="AF9342">
        <v>1</v>
      </c>
    </row>
    <row r="9343" spans="27:32" x14ac:dyDescent="0.3">
      <c r="AA9343" s="3">
        <v>6060.06</v>
      </c>
      <c r="AB9343">
        <v>1E-4</v>
      </c>
      <c r="AC9343">
        <v>8</v>
      </c>
      <c r="AD9343" s="5">
        <v>4.9106443244098141</v>
      </c>
      <c r="AE9343" s="5">
        <v>2.1428921156166938</v>
      </c>
      <c r="AF9343">
        <v>1</v>
      </c>
    </row>
    <row r="9344" spans="27:32" x14ac:dyDescent="0.3">
      <c r="AA9344" s="3">
        <v>4640.51</v>
      </c>
      <c r="AB9344">
        <v>1E-4</v>
      </c>
      <c r="AC9344">
        <v>8</v>
      </c>
      <c r="AD9344" s="5">
        <v>4.9635011503763273</v>
      </c>
      <c r="AE9344" s="5">
        <v>2.3009454564435599</v>
      </c>
      <c r="AF9344">
        <v>1</v>
      </c>
    </row>
    <row r="9345" spans="27:32" x14ac:dyDescent="0.3">
      <c r="AA9345" s="3">
        <v>-15677.08</v>
      </c>
      <c r="AB9345">
        <v>1E-4</v>
      </c>
      <c r="AC9345">
        <v>9</v>
      </c>
      <c r="AD9345" s="5">
        <v>5.0560247701409473</v>
      </c>
      <c r="AE9345" s="5">
        <v>2.2351724716673873</v>
      </c>
      <c r="AF9345">
        <v>1</v>
      </c>
    </row>
    <row r="9346" spans="27:32" x14ac:dyDescent="0.3">
      <c r="AA9346" s="3">
        <v>12504.48</v>
      </c>
      <c r="AB9346">
        <v>1E-4</v>
      </c>
      <c r="AC9346">
        <v>8</v>
      </c>
      <c r="AD9346" s="5">
        <v>4.7452003935411913</v>
      </c>
      <c r="AE9346" s="5">
        <v>2.2318443280167242</v>
      </c>
      <c r="AF9346">
        <v>1</v>
      </c>
    </row>
    <row r="9347" spans="27:32" x14ac:dyDescent="0.3">
      <c r="AA9347" s="3">
        <v>23492.06</v>
      </c>
      <c r="AB9347">
        <v>1E-4</v>
      </c>
      <c r="AC9347">
        <v>8</v>
      </c>
      <c r="AD9347" s="5">
        <v>4.9268295643613795</v>
      </c>
      <c r="AE9347" s="5">
        <v>2.1910443237498067</v>
      </c>
      <c r="AF9347">
        <v>1</v>
      </c>
    </row>
    <row r="9348" spans="27:32" x14ac:dyDescent="0.3">
      <c r="AA9348" s="3">
        <v>11180.77</v>
      </c>
      <c r="AB9348">
        <v>1E-4</v>
      </c>
      <c r="AC9348">
        <v>8</v>
      </c>
      <c r="AD9348" s="5">
        <v>5.0433851611510461</v>
      </c>
      <c r="AE9348" s="5">
        <v>2.1845955465530977</v>
      </c>
      <c r="AF9348">
        <v>1</v>
      </c>
    </row>
    <row r="9349" spans="27:32" x14ac:dyDescent="0.3">
      <c r="AA9349" s="3">
        <v>5091.07</v>
      </c>
      <c r="AB9349">
        <v>1E-4</v>
      </c>
      <c r="AC9349">
        <v>8</v>
      </c>
      <c r="AD9349" s="5">
        <v>5.033802013795448</v>
      </c>
      <c r="AE9349" s="5">
        <v>2.3331600720767809</v>
      </c>
      <c r="AF9349">
        <v>1</v>
      </c>
    </row>
    <row r="9350" spans="27:32" x14ac:dyDescent="0.3">
      <c r="AA9350" s="3">
        <v>2969.71</v>
      </c>
      <c r="AB9350">
        <v>1E-4</v>
      </c>
      <c r="AC9350">
        <v>8</v>
      </c>
      <c r="AD9350" s="5">
        <v>5.0345525005355638</v>
      </c>
      <c r="AE9350" s="5">
        <v>2.1767855030117902</v>
      </c>
      <c r="AF9350">
        <v>1</v>
      </c>
    </row>
    <row r="9351" spans="27:32" x14ac:dyDescent="0.3">
      <c r="AA9351" s="3">
        <v>-13995.54</v>
      </c>
      <c r="AB9351">
        <v>1E-4</v>
      </c>
      <c r="AC9351">
        <v>9</v>
      </c>
      <c r="AD9351" s="5">
        <v>4.9468673453377843</v>
      </c>
      <c r="AE9351" s="5">
        <v>2.2192567671352892</v>
      </c>
      <c r="AF9351">
        <v>1</v>
      </c>
    </row>
    <row r="9352" spans="27:32" x14ac:dyDescent="0.3">
      <c r="AA9352" s="3">
        <v>17374.62</v>
      </c>
      <c r="AB9352">
        <v>1E-4</v>
      </c>
      <c r="AC9352">
        <v>8</v>
      </c>
      <c r="AD9352" s="5">
        <v>4.860548541428229</v>
      </c>
      <c r="AE9352" s="5">
        <v>2.1745133438289175</v>
      </c>
      <c r="AF9352">
        <v>1</v>
      </c>
    </row>
    <row r="9353" spans="27:32" x14ac:dyDescent="0.3">
      <c r="AA9353" s="3">
        <v>14470.7</v>
      </c>
      <c r="AB9353">
        <v>1E-4</v>
      </c>
      <c r="AC9353">
        <v>8</v>
      </c>
      <c r="AD9353" s="5">
        <v>4.9649560774358319</v>
      </c>
      <c r="AE9353" s="5">
        <v>2.1650752799408006</v>
      </c>
      <c r="AF9353">
        <v>1</v>
      </c>
    </row>
    <row r="9354" spans="27:32" x14ac:dyDescent="0.3">
      <c r="AA9354" s="3">
        <v>20481.25</v>
      </c>
      <c r="AB9354">
        <v>1E-4</v>
      </c>
      <c r="AC9354">
        <v>8</v>
      </c>
      <c r="AD9354" s="5">
        <v>4.9882908780418527</v>
      </c>
      <c r="AE9354" s="5">
        <v>2.2215388744876248</v>
      </c>
      <c r="AF9354">
        <v>1</v>
      </c>
    </row>
    <row r="9355" spans="27:32" x14ac:dyDescent="0.3">
      <c r="AA9355" s="3">
        <v>29384.12</v>
      </c>
      <c r="AB9355">
        <v>1E-4</v>
      </c>
      <c r="AC9355">
        <v>8</v>
      </c>
      <c r="AD9355" s="5">
        <v>5.064199570247288</v>
      </c>
      <c r="AE9355" s="5">
        <v>2.2179455871487481</v>
      </c>
      <c r="AF9355">
        <v>1</v>
      </c>
    </row>
    <row r="9356" spans="27:32" x14ac:dyDescent="0.3">
      <c r="AA9356" s="3">
        <v>22919.07</v>
      </c>
      <c r="AB9356">
        <v>1E-4</v>
      </c>
      <c r="AC9356">
        <v>8</v>
      </c>
      <c r="AD9356" s="5">
        <v>4.74353853338192</v>
      </c>
      <c r="AE9356" s="5">
        <v>2.1493711461249729</v>
      </c>
      <c r="AF9356">
        <v>1</v>
      </c>
    </row>
    <row r="9357" spans="27:32" x14ac:dyDescent="0.3">
      <c r="AA9357" s="3">
        <v>17953.990000000002</v>
      </c>
      <c r="AB9357">
        <v>1E-4</v>
      </c>
      <c r="AC9357">
        <v>8</v>
      </c>
      <c r="AD9357" s="5">
        <v>5.118545071264986</v>
      </c>
      <c r="AE9357" s="5">
        <v>2.2514385191348047</v>
      </c>
      <c r="AF9357">
        <v>1</v>
      </c>
    </row>
    <row r="9358" spans="27:32" x14ac:dyDescent="0.3">
      <c r="AA9358" s="3">
        <v>12381.64</v>
      </c>
      <c r="AB9358">
        <v>1E-4</v>
      </c>
      <c r="AC9358">
        <v>8</v>
      </c>
      <c r="AD9358" s="5">
        <v>5.0486084210303321</v>
      </c>
      <c r="AE9358" s="5">
        <v>2.1656289126309893</v>
      </c>
      <c r="AF9358">
        <v>1</v>
      </c>
    </row>
    <row r="9359" spans="27:32" x14ac:dyDescent="0.3">
      <c r="AA9359" s="3">
        <v>21165.27</v>
      </c>
      <c r="AB9359">
        <v>1E-4</v>
      </c>
      <c r="AC9359">
        <v>8</v>
      </c>
      <c r="AD9359" s="5">
        <v>5.0094018890953178</v>
      </c>
      <c r="AE9359" s="5">
        <v>2.2348710552037208</v>
      </c>
      <c r="AF9359">
        <v>1</v>
      </c>
    </row>
    <row r="9360" spans="27:32" x14ac:dyDescent="0.3">
      <c r="AA9360" s="3">
        <v>6421.62</v>
      </c>
      <c r="AB9360">
        <v>1E-4</v>
      </c>
      <c r="AC9360">
        <v>8</v>
      </c>
      <c r="AD9360" s="5">
        <v>4.8703705080887252</v>
      </c>
      <c r="AE9360" s="5">
        <v>2.1298660492898067</v>
      </c>
      <c r="AF9360">
        <v>1</v>
      </c>
    </row>
    <row r="9361" spans="27:32" x14ac:dyDescent="0.3">
      <c r="AA9361" s="3">
        <v>2448.3200000000002</v>
      </c>
      <c r="AB9361">
        <v>1E-4</v>
      </c>
      <c r="AC9361">
        <v>8</v>
      </c>
      <c r="AD9361" s="5">
        <v>4.89272127273615</v>
      </c>
      <c r="AE9361" s="5">
        <v>2.1739524577478924</v>
      </c>
      <c r="AF9361">
        <v>1</v>
      </c>
    </row>
    <row r="9362" spans="27:32" x14ac:dyDescent="0.3">
      <c r="AA9362" s="3">
        <v>24293.46</v>
      </c>
      <c r="AB9362">
        <v>1E-4</v>
      </c>
      <c r="AC9362">
        <v>8</v>
      </c>
      <c r="AD9362" s="5">
        <v>4.9345647038572071</v>
      </c>
      <c r="AE9362" s="5">
        <v>2.2332000060981119</v>
      </c>
      <c r="AF9362">
        <v>1</v>
      </c>
    </row>
    <row r="9363" spans="27:32" x14ac:dyDescent="0.3">
      <c r="AA9363" s="3">
        <v>51458.67</v>
      </c>
      <c r="AB9363">
        <v>1E-4</v>
      </c>
      <c r="AC9363">
        <v>6</v>
      </c>
      <c r="AD9363" s="5">
        <v>5.1809140920729453</v>
      </c>
      <c r="AE9363" s="5">
        <v>2.2060449509002065</v>
      </c>
      <c r="AF9363">
        <v>1</v>
      </c>
    </row>
    <row r="9364" spans="27:32" x14ac:dyDescent="0.3">
      <c r="AA9364" s="3">
        <v>19720.11</v>
      </c>
      <c r="AB9364">
        <v>1E-4</v>
      </c>
      <c r="AC9364">
        <v>8</v>
      </c>
      <c r="AD9364" s="5">
        <v>5.0284226865181765</v>
      </c>
      <c r="AE9364" s="5">
        <v>2.2619103187331624</v>
      </c>
      <c r="AF9364">
        <v>1</v>
      </c>
    </row>
    <row r="9365" spans="27:32" x14ac:dyDescent="0.3">
      <c r="AA9365" s="3">
        <v>38445.21</v>
      </c>
      <c r="AB9365">
        <v>1E-4</v>
      </c>
      <c r="AC9365">
        <v>7</v>
      </c>
      <c r="AD9365" s="5">
        <v>5.1098686832007587</v>
      </c>
      <c r="AE9365" s="5">
        <v>2.1923243300265636</v>
      </c>
      <c r="AF9365">
        <v>1</v>
      </c>
    </row>
    <row r="9366" spans="27:32" x14ac:dyDescent="0.3">
      <c r="AA9366" s="3">
        <v>20238.509999999998</v>
      </c>
      <c r="AB9366">
        <v>1E-4</v>
      </c>
      <c r="AC9366">
        <v>8</v>
      </c>
      <c r="AD9366" s="5">
        <v>4.9908173386515609</v>
      </c>
      <c r="AE9366" s="5">
        <v>2.2128642058251331</v>
      </c>
      <c r="AF9366">
        <v>1</v>
      </c>
    </row>
    <row r="9367" spans="27:32" x14ac:dyDescent="0.3">
      <c r="AA9367" s="3">
        <v>44563.43</v>
      </c>
      <c r="AB9367">
        <v>1E-4</v>
      </c>
      <c r="AC9367">
        <v>7</v>
      </c>
      <c r="AD9367" s="5">
        <v>5.0536447673784846</v>
      </c>
      <c r="AE9367" s="5">
        <v>2.2017755632038085</v>
      </c>
      <c r="AF9367">
        <v>1</v>
      </c>
    </row>
    <row r="9368" spans="27:32" x14ac:dyDescent="0.3">
      <c r="AA9368" s="3">
        <v>23763.08</v>
      </c>
      <c r="AB9368">
        <v>1E-4</v>
      </c>
      <c r="AC9368">
        <v>8</v>
      </c>
      <c r="AD9368" s="5">
        <v>5.1129956065090347</v>
      </c>
      <c r="AE9368" s="5">
        <v>2.1131326841276628</v>
      </c>
      <c r="AF9368">
        <v>1</v>
      </c>
    </row>
    <row r="9369" spans="27:32" x14ac:dyDescent="0.3">
      <c r="AA9369" s="3">
        <v>9333.5</v>
      </c>
      <c r="AB9369">
        <v>1E-4</v>
      </c>
      <c r="AC9369">
        <v>8</v>
      </c>
      <c r="AD9369" s="5">
        <v>5.0410079157652534</v>
      </c>
      <c r="AE9369" s="5">
        <v>2.1816155482212465</v>
      </c>
      <c r="AF9369">
        <v>1</v>
      </c>
    </row>
    <row r="9370" spans="27:32" x14ac:dyDescent="0.3">
      <c r="AA9370" s="3">
        <v>24560.66</v>
      </c>
      <c r="AB9370">
        <v>1E-4</v>
      </c>
      <c r="AC9370">
        <v>8</v>
      </c>
      <c r="AD9370" s="5">
        <v>4.9387727115262958</v>
      </c>
      <c r="AE9370" s="5">
        <v>2.1165995433558709</v>
      </c>
      <c r="AF9370">
        <v>1</v>
      </c>
    </row>
    <row r="9371" spans="27:32" x14ac:dyDescent="0.3">
      <c r="AA9371" s="3">
        <v>11208.95</v>
      </c>
      <c r="AB9371">
        <v>1E-4</v>
      </c>
      <c r="AC9371">
        <v>8</v>
      </c>
      <c r="AD9371" s="5">
        <v>4.9970376182300349</v>
      </c>
      <c r="AE9371" s="5">
        <v>2.1967905805783237</v>
      </c>
      <c r="AF9371">
        <v>1</v>
      </c>
    </row>
    <row r="9372" spans="27:32" x14ac:dyDescent="0.3">
      <c r="AA9372" s="3">
        <v>14407.09</v>
      </c>
      <c r="AB9372">
        <v>1E-4</v>
      </c>
      <c r="AC9372">
        <v>8</v>
      </c>
      <c r="AD9372" s="5">
        <v>5.0886786999743903</v>
      </c>
      <c r="AE9372" s="5">
        <v>2.2535513854322562</v>
      </c>
      <c r="AF9372">
        <v>1</v>
      </c>
    </row>
    <row r="9373" spans="27:32" x14ac:dyDescent="0.3">
      <c r="AA9373" s="3">
        <v>14398.4</v>
      </c>
      <c r="AB9373">
        <v>1E-4</v>
      </c>
      <c r="AC9373">
        <v>8</v>
      </c>
      <c r="AD9373" s="5">
        <v>4.9319373617624045</v>
      </c>
      <c r="AE9373" s="5">
        <v>2.1871476405275088</v>
      </c>
      <c r="AF9373">
        <v>1</v>
      </c>
    </row>
    <row r="9374" spans="27:32" x14ac:dyDescent="0.3">
      <c r="AA9374" s="3">
        <v>-18463.8</v>
      </c>
      <c r="AB9374">
        <v>1E-4</v>
      </c>
      <c r="AC9374">
        <v>9</v>
      </c>
      <c r="AD9374" s="5">
        <v>4.9084592881702882</v>
      </c>
      <c r="AE9374" s="5">
        <v>2.2887254647578659</v>
      </c>
      <c r="AF9374">
        <v>1</v>
      </c>
    </row>
    <row r="9375" spans="27:32" x14ac:dyDescent="0.3">
      <c r="AA9375" s="3">
        <v>24558.74</v>
      </c>
      <c r="AB9375">
        <v>1E-4</v>
      </c>
      <c r="AC9375">
        <v>8</v>
      </c>
      <c r="AD9375" s="5">
        <v>4.9258760553671737</v>
      </c>
      <c r="AE9375" s="5">
        <v>2.239595466621835</v>
      </c>
      <c r="AF9375">
        <v>1</v>
      </c>
    </row>
    <row r="9376" spans="27:32" x14ac:dyDescent="0.3">
      <c r="AA9376" s="3">
        <v>13205.22</v>
      </c>
      <c r="AB9376">
        <v>1E-4</v>
      </c>
      <c r="AC9376">
        <v>8</v>
      </c>
      <c r="AD9376" s="5">
        <v>5.0800964898554106</v>
      </c>
      <c r="AE9376" s="5">
        <v>2.2529789439472925</v>
      </c>
      <c r="AF9376">
        <v>1</v>
      </c>
    </row>
    <row r="9377" spans="27:32" x14ac:dyDescent="0.3">
      <c r="AA9377" s="3">
        <v>-5608.92</v>
      </c>
      <c r="AB9377">
        <v>1E-4</v>
      </c>
      <c r="AC9377">
        <v>9</v>
      </c>
      <c r="AD9377" s="5">
        <v>4.8163477360120126</v>
      </c>
      <c r="AE9377" s="5">
        <v>2.1718021008472665</v>
      </c>
      <c r="AF9377">
        <v>1</v>
      </c>
    </row>
    <row r="9378" spans="27:32" x14ac:dyDescent="0.3">
      <c r="AA9378" s="3">
        <v>13985.7</v>
      </c>
      <c r="AB9378">
        <v>1E-4</v>
      </c>
      <c r="AC9378">
        <v>8</v>
      </c>
      <c r="AD9378" s="5">
        <v>4.9382420021404059</v>
      </c>
      <c r="AE9378" s="5">
        <v>2.2245803396086687</v>
      </c>
      <c r="AF9378">
        <v>1</v>
      </c>
    </row>
    <row r="9379" spans="27:32" x14ac:dyDescent="0.3">
      <c r="AA9379" s="3">
        <v>14914.46</v>
      </c>
      <c r="AB9379">
        <v>1E-4</v>
      </c>
      <c r="AC9379">
        <v>8</v>
      </c>
      <c r="AD9379" s="5">
        <v>5.0969413366745888</v>
      </c>
      <c r="AE9379" s="5">
        <v>2.2197189297463726</v>
      </c>
      <c r="AF9379">
        <v>1</v>
      </c>
    </row>
    <row r="9380" spans="27:32" x14ac:dyDescent="0.3">
      <c r="AA9380" s="3">
        <v>39419.919999999998</v>
      </c>
      <c r="AB9380">
        <v>1E-4</v>
      </c>
      <c r="AC9380">
        <v>7</v>
      </c>
      <c r="AD9380" s="5">
        <v>5.1360223790061559</v>
      </c>
      <c r="AE9380" s="5">
        <v>2.2308959433891151</v>
      </c>
      <c r="AF9380">
        <v>1</v>
      </c>
    </row>
    <row r="9381" spans="27:32" x14ac:dyDescent="0.3">
      <c r="AA9381" s="3">
        <v>15873.1</v>
      </c>
      <c r="AB9381">
        <v>1E-4</v>
      </c>
      <c r="AC9381">
        <v>8</v>
      </c>
      <c r="AD9381" s="5">
        <v>5.0428160647434463</v>
      </c>
      <c r="AE9381" s="5">
        <v>2.2335845019216762</v>
      </c>
      <c r="AF9381">
        <v>1</v>
      </c>
    </row>
    <row r="9382" spans="27:32" x14ac:dyDescent="0.3">
      <c r="AA9382" s="3">
        <v>-6227.3780244929912</v>
      </c>
      <c r="AB9382">
        <v>1E-4</v>
      </c>
      <c r="AC9382">
        <v>8</v>
      </c>
      <c r="AD9382" s="5">
        <v>5.1533787725584785</v>
      </c>
      <c r="AE9382" s="5">
        <v>2.2078700278629908</v>
      </c>
      <c r="AF9382">
        <v>0</v>
      </c>
    </row>
    <row r="9383" spans="27:32" x14ac:dyDescent="0.3">
      <c r="AA9383" s="3">
        <v>24185.62</v>
      </c>
      <c r="AB9383">
        <v>1E-4</v>
      </c>
      <c r="AC9383">
        <v>8</v>
      </c>
      <c r="AD9383" s="5">
        <v>5.0694816211405307</v>
      </c>
      <c r="AE9383" s="5">
        <v>2.2384446743228117</v>
      </c>
      <c r="AF9383">
        <v>1</v>
      </c>
    </row>
    <row r="9384" spans="27:32" x14ac:dyDescent="0.3">
      <c r="AA9384" s="3">
        <v>39934.92</v>
      </c>
      <c r="AB9384">
        <v>1E-4</v>
      </c>
      <c r="AC9384">
        <v>7</v>
      </c>
      <c r="AD9384" s="5">
        <v>5.0264424503053799</v>
      </c>
      <c r="AE9384" s="5">
        <v>2.1370362044463271</v>
      </c>
      <c r="AF9384">
        <v>1</v>
      </c>
    </row>
    <row r="9385" spans="27:32" x14ac:dyDescent="0.3">
      <c r="AA9385" s="3">
        <v>-6394.86</v>
      </c>
      <c r="AB9385">
        <v>1E-4</v>
      </c>
      <c r="AC9385">
        <v>9</v>
      </c>
      <c r="AD9385" s="5">
        <v>4.7716929585825305</v>
      </c>
      <c r="AE9385" s="5">
        <v>2.1376215635473685</v>
      </c>
      <c r="AF9385">
        <v>1</v>
      </c>
    </row>
    <row r="9386" spans="27:32" x14ac:dyDescent="0.3">
      <c r="AA9386" s="3">
        <v>27555.040000000001</v>
      </c>
      <c r="AB9386">
        <v>1E-4</v>
      </c>
      <c r="AC9386">
        <v>8</v>
      </c>
      <c r="AD9386" s="5">
        <v>5.1421598305169285</v>
      </c>
      <c r="AE9386" s="5">
        <v>2.078860702413698</v>
      </c>
      <c r="AF9386">
        <v>1</v>
      </c>
    </row>
    <row r="9387" spans="27:32" x14ac:dyDescent="0.3">
      <c r="AA9387" s="3">
        <v>48549.39</v>
      </c>
      <c r="AB9387">
        <v>1E-4</v>
      </c>
      <c r="AC9387">
        <v>7</v>
      </c>
      <c r="AD9387" s="5">
        <v>5.1641733251653212</v>
      </c>
      <c r="AE9387" s="5">
        <v>2.1610841128754421</v>
      </c>
      <c r="AF9387">
        <v>1</v>
      </c>
    </row>
    <row r="9388" spans="27:32" x14ac:dyDescent="0.3">
      <c r="AA9388" s="3">
        <v>38099.78</v>
      </c>
      <c r="AB9388">
        <v>1E-4</v>
      </c>
      <c r="AC9388">
        <v>7</v>
      </c>
      <c r="AD9388" s="5">
        <v>4.9218808244144094</v>
      </c>
      <c r="AE9388" s="5">
        <v>2.1327406303199918</v>
      </c>
      <c r="AF9388">
        <v>1</v>
      </c>
    </row>
    <row r="9389" spans="27:32" x14ac:dyDescent="0.3">
      <c r="AA9389" s="3">
        <v>11363.44</v>
      </c>
      <c r="AB9389">
        <v>1E-4</v>
      </c>
      <c r="AC9389">
        <v>8</v>
      </c>
      <c r="AD9389" s="5">
        <v>4.9504906168422567</v>
      </c>
      <c r="AE9389" s="5">
        <v>2.2023664026538001</v>
      </c>
      <c r="AF9389">
        <v>1</v>
      </c>
    </row>
    <row r="9390" spans="27:32" x14ac:dyDescent="0.3">
      <c r="AA9390" s="3">
        <v>3660.68</v>
      </c>
      <c r="AB9390">
        <v>1E-4</v>
      </c>
      <c r="AC9390">
        <v>8</v>
      </c>
      <c r="AD9390" s="5">
        <v>5.0452682297333507</v>
      </c>
      <c r="AE9390" s="5">
        <v>2.2622131234593041</v>
      </c>
      <c r="AF9390">
        <v>1</v>
      </c>
    </row>
    <row r="9391" spans="27:32" x14ac:dyDescent="0.3">
      <c r="AA9391" s="3">
        <v>7663.6</v>
      </c>
      <c r="AB9391">
        <v>1E-4</v>
      </c>
      <c r="AC9391">
        <v>8</v>
      </c>
      <c r="AD9391" s="5">
        <v>5.0384635837334084</v>
      </c>
      <c r="AE9391" s="5">
        <v>2.2731387497353497</v>
      </c>
      <c r="AF9391">
        <v>1</v>
      </c>
    </row>
    <row r="9392" spans="27:32" x14ac:dyDescent="0.3">
      <c r="AA9392" s="3">
        <v>54434.879999999997</v>
      </c>
      <c r="AB9392">
        <v>1E-4</v>
      </c>
      <c r="AC9392">
        <v>6</v>
      </c>
      <c r="AD9392" s="5">
        <v>4.9602782808751931</v>
      </c>
      <c r="AE9392" s="5">
        <v>2.0981437753612147</v>
      </c>
      <c r="AF9392">
        <v>1</v>
      </c>
    </row>
    <row r="9393" spans="27:32" x14ac:dyDescent="0.3">
      <c r="AA9393" s="3">
        <v>17883.54</v>
      </c>
      <c r="AB9393">
        <v>1E-4</v>
      </c>
      <c r="AC9393">
        <v>8</v>
      </c>
      <c r="AD9393" s="5">
        <v>5.1592815042668567</v>
      </c>
      <c r="AE9393" s="5">
        <v>2.1763130966872191</v>
      </c>
      <c r="AF9393">
        <v>1</v>
      </c>
    </row>
    <row r="9394" spans="27:32" x14ac:dyDescent="0.3">
      <c r="AA9394" s="3">
        <v>485.32</v>
      </c>
      <c r="AB9394">
        <v>1E-4</v>
      </c>
      <c r="AC9394">
        <v>8</v>
      </c>
      <c r="AD9394" s="5">
        <v>4.9103500316234392</v>
      </c>
      <c r="AE9394" s="5">
        <v>2.2280073712324309</v>
      </c>
      <c r="AF9394">
        <v>1</v>
      </c>
    </row>
    <row r="9395" spans="27:32" x14ac:dyDescent="0.3">
      <c r="AA9395" s="3">
        <v>13341.75</v>
      </c>
      <c r="AB9395">
        <v>1E-4</v>
      </c>
      <c r="AC9395">
        <v>8</v>
      </c>
      <c r="AD9395" s="5">
        <v>5.1449351504309568</v>
      </c>
      <c r="AE9395" s="5">
        <v>2.129620110365563</v>
      </c>
      <c r="AF9395">
        <v>1</v>
      </c>
    </row>
    <row r="9396" spans="27:32" x14ac:dyDescent="0.3">
      <c r="AA9396" s="3">
        <v>23128.47</v>
      </c>
      <c r="AB9396">
        <v>1E-4</v>
      </c>
      <c r="AC9396">
        <v>8</v>
      </c>
      <c r="AD9396" s="5">
        <v>4.9363384102233026</v>
      </c>
      <c r="AE9396" s="5">
        <v>2.230554292643105</v>
      </c>
      <c r="AF9396">
        <v>1</v>
      </c>
    </row>
    <row r="9397" spans="27:32" x14ac:dyDescent="0.3">
      <c r="AA9397" s="3">
        <v>14300.83</v>
      </c>
      <c r="AB9397">
        <v>1E-4</v>
      </c>
      <c r="AC9397">
        <v>8</v>
      </c>
      <c r="AD9397" s="5">
        <v>5.0271561922118142</v>
      </c>
      <c r="AE9397" s="5">
        <v>2.2336111837646206</v>
      </c>
      <c r="AF9397">
        <v>1</v>
      </c>
    </row>
    <row r="9398" spans="27:32" x14ac:dyDescent="0.3">
      <c r="AA9398" s="3">
        <v>-17851.276163658818</v>
      </c>
      <c r="AB9398">
        <v>1E-4</v>
      </c>
      <c r="AC9398">
        <v>8</v>
      </c>
      <c r="AD9398" s="5">
        <v>5.1443083862764825</v>
      </c>
      <c r="AE9398" s="5">
        <v>2.256380392900935</v>
      </c>
      <c r="AF9398">
        <v>0</v>
      </c>
    </row>
    <row r="9399" spans="27:32" x14ac:dyDescent="0.3">
      <c r="AA9399" s="3">
        <v>13291.17</v>
      </c>
      <c r="AB9399">
        <v>1E-4</v>
      </c>
      <c r="AC9399">
        <v>8</v>
      </c>
      <c r="AD9399" s="5">
        <v>5.0289002000777128</v>
      </c>
      <c r="AE9399" s="5">
        <v>2.1336000765196133</v>
      </c>
      <c r="AF9399">
        <v>1</v>
      </c>
    </row>
    <row r="9400" spans="27:32" x14ac:dyDescent="0.3">
      <c r="AA9400" s="3">
        <v>-4627.88</v>
      </c>
      <c r="AB9400">
        <v>1E-4</v>
      </c>
      <c r="AC9400">
        <v>9</v>
      </c>
      <c r="AD9400" s="5">
        <v>4.9411866170841909</v>
      </c>
      <c r="AE9400" s="5">
        <v>2.2327068921265312</v>
      </c>
      <c r="AF9400">
        <v>1</v>
      </c>
    </row>
    <row r="9401" spans="27:32" x14ac:dyDescent="0.3">
      <c r="AA9401" s="3">
        <v>5074.18</v>
      </c>
      <c r="AB9401">
        <v>1E-4</v>
      </c>
      <c r="AC9401">
        <v>8</v>
      </c>
      <c r="AD9401" s="5">
        <v>4.86910808697652</v>
      </c>
      <c r="AE9401" s="5">
        <v>2.1839352715805962</v>
      </c>
      <c r="AF9401">
        <v>1</v>
      </c>
    </row>
    <row r="9402" spans="27:32" x14ac:dyDescent="0.3">
      <c r="AA9402" s="3">
        <v>38497.61</v>
      </c>
      <c r="AB9402">
        <v>1E-4</v>
      </c>
      <c r="AC9402">
        <v>7</v>
      </c>
      <c r="AD9402" s="5">
        <v>4.9188834089066926</v>
      </c>
      <c r="AE9402" s="5">
        <v>2.1812635876060571</v>
      </c>
      <c r="AF9402">
        <v>1</v>
      </c>
    </row>
    <row r="9403" spans="27:32" x14ac:dyDescent="0.3">
      <c r="AA9403" s="3">
        <v>11359.43</v>
      </c>
      <c r="AB9403">
        <v>1E-4</v>
      </c>
      <c r="AC9403">
        <v>8</v>
      </c>
      <c r="AD9403" s="5">
        <v>5.055844408749647</v>
      </c>
      <c r="AE9403" s="5">
        <v>2.1463583736059069</v>
      </c>
      <c r="AF9403">
        <v>1</v>
      </c>
    </row>
    <row r="9404" spans="27:32" x14ac:dyDescent="0.3">
      <c r="AA9404" s="3">
        <v>-7284.45</v>
      </c>
      <c r="AB9404">
        <v>1E-4</v>
      </c>
      <c r="AC9404">
        <v>9</v>
      </c>
      <c r="AD9404" s="5">
        <v>5.0987378538736081</v>
      </c>
      <c r="AE9404" s="5">
        <v>2.2019359269399752</v>
      </c>
      <c r="AF9404">
        <v>1</v>
      </c>
    </row>
    <row r="9405" spans="27:32" x14ac:dyDescent="0.3">
      <c r="AA9405" s="3">
        <v>20198.38</v>
      </c>
      <c r="AB9405">
        <v>1E-4</v>
      </c>
      <c r="AC9405">
        <v>8</v>
      </c>
      <c r="AD9405" s="5">
        <v>4.935391245461493</v>
      </c>
      <c r="AE9405" s="5">
        <v>2.101148462243223</v>
      </c>
      <c r="AF9405">
        <v>1</v>
      </c>
    </row>
    <row r="9406" spans="27:32" x14ac:dyDescent="0.3">
      <c r="AA9406" s="3">
        <v>11409.04</v>
      </c>
      <c r="AB9406">
        <v>1E-4</v>
      </c>
      <c r="AC9406">
        <v>8</v>
      </c>
      <c r="AD9406" s="5">
        <v>4.9560638195541662</v>
      </c>
      <c r="AE9406" s="5">
        <v>2.2050962914190055</v>
      </c>
      <c r="AF9406">
        <v>1</v>
      </c>
    </row>
    <row r="9407" spans="27:32" x14ac:dyDescent="0.3">
      <c r="AA9407" s="3">
        <v>19684.689999999999</v>
      </c>
      <c r="AB9407">
        <v>1E-4</v>
      </c>
      <c r="AC9407">
        <v>8</v>
      </c>
      <c r="AD9407" s="5">
        <v>4.8748991127209296</v>
      </c>
      <c r="AE9407" s="5">
        <v>2.1340739218466336</v>
      </c>
      <c r="AF9407">
        <v>1</v>
      </c>
    </row>
    <row r="9408" spans="27:32" x14ac:dyDescent="0.3">
      <c r="AA9408" s="3">
        <v>16378.66</v>
      </c>
      <c r="AB9408">
        <v>1E-4</v>
      </c>
      <c r="AC9408">
        <v>8</v>
      </c>
      <c r="AD9408" s="5">
        <v>4.9327014389638242</v>
      </c>
      <c r="AE9408" s="5">
        <v>2.2080273993973392</v>
      </c>
      <c r="AF9408">
        <v>1</v>
      </c>
    </row>
    <row r="9409" spans="27:32" x14ac:dyDescent="0.3">
      <c r="AA9409" s="3">
        <v>29172.67</v>
      </c>
      <c r="AB9409">
        <v>1E-4</v>
      </c>
      <c r="AC9409">
        <v>8</v>
      </c>
      <c r="AD9409" s="5">
        <v>4.929006492240398</v>
      </c>
      <c r="AE9409" s="5">
        <v>2.1997983974957829</v>
      </c>
      <c r="AF9409">
        <v>1</v>
      </c>
    </row>
    <row r="9410" spans="27:32" x14ac:dyDescent="0.3">
      <c r="AA9410" s="3">
        <v>35888.379999999997</v>
      </c>
      <c r="AB9410">
        <v>1E-4</v>
      </c>
      <c r="AC9410">
        <v>7</v>
      </c>
      <c r="AD9410" s="5">
        <v>4.9451746744010618</v>
      </c>
      <c r="AE9410" s="5">
        <v>2.1599868727906766</v>
      </c>
      <c r="AF9410">
        <v>1</v>
      </c>
    </row>
    <row r="9411" spans="27:32" x14ac:dyDescent="0.3">
      <c r="AA9411" s="3">
        <v>18619.66</v>
      </c>
      <c r="AB9411">
        <v>1E-4</v>
      </c>
      <c r="AC9411">
        <v>8</v>
      </c>
      <c r="AD9411" s="5">
        <v>4.8624661874673585</v>
      </c>
      <c r="AE9411" s="5">
        <v>2.2158612828251418</v>
      </c>
      <c r="AF9411">
        <v>1</v>
      </c>
    </row>
    <row r="9412" spans="27:32" x14ac:dyDescent="0.3">
      <c r="AA9412" s="3">
        <v>-11589.74</v>
      </c>
      <c r="AB9412">
        <v>1E-4</v>
      </c>
      <c r="AC9412">
        <v>9</v>
      </c>
      <c r="AD9412" s="5">
        <v>4.87143106927617</v>
      </c>
      <c r="AE9412" s="5">
        <v>2.1812422200979098</v>
      </c>
      <c r="AF9412">
        <v>1</v>
      </c>
    </row>
    <row r="9413" spans="27:32" x14ac:dyDescent="0.3">
      <c r="AA9413" s="3">
        <v>-1436.75</v>
      </c>
      <c r="AB9413">
        <v>1E-4</v>
      </c>
      <c r="AC9413">
        <v>9</v>
      </c>
      <c r="AD9413" s="5">
        <v>4.9415808781568451</v>
      </c>
      <c r="AE9413" s="5">
        <v>2.2752386769218034</v>
      </c>
      <c r="AF9413">
        <v>1</v>
      </c>
    </row>
    <row r="9414" spans="27:32" x14ac:dyDescent="0.3">
      <c r="AA9414" s="3">
        <v>22758.39</v>
      </c>
      <c r="AB9414">
        <v>1E-4</v>
      </c>
      <c r="AC9414">
        <v>8</v>
      </c>
      <c r="AD9414" s="5">
        <v>5.0529880979340716</v>
      </c>
      <c r="AE9414" s="5">
        <v>2.1832223001103914</v>
      </c>
      <c r="AF9414">
        <v>1</v>
      </c>
    </row>
    <row r="9415" spans="27:32" x14ac:dyDescent="0.3">
      <c r="AA9415" s="3">
        <v>818.16</v>
      </c>
      <c r="AB9415">
        <v>1E-4</v>
      </c>
      <c r="AC9415">
        <v>8</v>
      </c>
      <c r="AD9415" s="5">
        <v>5.0292623650323405</v>
      </c>
      <c r="AE9415" s="5">
        <v>2.1979061137005824</v>
      </c>
      <c r="AF9415">
        <v>1</v>
      </c>
    </row>
    <row r="9416" spans="27:32" x14ac:dyDescent="0.3">
      <c r="AA9416" s="3">
        <v>18286.98</v>
      </c>
      <c r="AB9416">
        <v>1E-4</v>
      </c>
      <c r="AC9416">
        <v>8</v>
      </c>
      <c r="AD9416" s="5">
        <v>4.9469659060225144</v>
      </c>
      <c r="AE9416" s="5">
        <v>2.1959251742631407</v>
      </c>
      <c r="AF9416">
        <v>1</v>
      </c>
    </row>
    <row r="9417" spans="27:32" x14ac:dyDescent="0.3">
      <c r="AA9417" s="3">
        <v>17261.71</v>
      </c>
      <c r="AB9417">
        <v>1E-4</v>
      </c>
      <c r="AC9417">
        <v>8</v>
      </c>
      <c r="AD9417" s="5">
        <v>5.0765093734966404</v>
      </c>
      <c r="AE9417" s="5">
        <v>2.1690249274197613</v>
      </c>
      <c r="AF9417">
        <v>1</v>
      </c>
    </row>
    <row r="9418" spans="27:32" x14ac:dyDescent="0.3">
      <c r="AA9418" s="3">
        <v>24587.39</v>
      </c>
      <c r="AB9418">
        <v>1E-4</v>
      </c>
      <c r="AC9418">
        <v>8</v>
      </c>
      <c r="AD9418" s="5">
        <v>5.0552277922989504</v>
      </c>
      <c r="AE9418" s="5">
        <v>2.1702048827414928</v>
      </c>
      <c r="AF9418">
        <v>1</v>
      </c>
    </row>
    <row r="9419" spans="27:32" x14ac:dyDescent="0.3">
      <c r="AA9419" s="3">
        <v>30265.84</v>
      </c>
      <c r="AB9419">
        <v>1E-4</v>
      </c>
      <c r="AC9419">
        <v>7</v>
      </c>
      <c r="AD9419" s="5">
        <v>4.8876467747930485</v>
      </c>
      <c r="AE9419" s="5">
        <v>2.2233294711074501</v>
      </c>
      <c r="AF9419">
        <v>1</v>
      </c>
    </row>
    <row r="9420" spans="27:32" x14ac:dyDescent="0.3">
      <c r="AA9420" s="3">
        <v>23727.919999999998</v>
      </c>
      <c r="AB9420">
        <v>1E-4</v>
      </c>
      <c r="AC9420">
        <v>8</v>
      </c>
      <c r="AD9420" s="5">
        <v>5.0507299056608765</v>
      </c>
      <c r="AE9420" s="5">
        <v>2.1576296845985783</v>
      </c>
      <c r="AF9420">
        <v>1</v>
      </c>
    </row>
    <row r="9421" spans="27:32" x14ac:dyDescent="0.3">
      <c r="AA9421" s="3">
        <v>40723.370000000003</v>
      </c>
      <c r="AB9421">
        <v>1E-4</v>
      </c>
      <c r="AC9421">
        <v>7</v>
      </c>
      <c r="AD9421" s="5">
        <v>5.0211349144782522</v>
      </c>
      <c r="AE9421" s="5">
        <v>2.1952036490890938</v>
      </c>
      <c r="AF9421">
        <v>1</v>
      </c>
    </row>
    <row r="9422" spans="27:32" x14ac:dyDescent="0.3">
      <c r="AA9422" s="3">
        <v>322.2</v>
      </c>
      <c r="AB9422">
        <v>1E-4</v>
      </c>
      <c r="AC9422">
        <v>8</v>
      </c>
      <c r="AD9422" s="5">
        <v>4.928180097224736</v>
      </c>
      <c r="AE9422" s="5">
        <v>2.2395496184065875</v>
      </c>
      <c r="AF9422">
        <v>1</v>
      </c>
    </row>
    <row r="9423" spans="27:32" x14ac:dyDescent="0.3">
      <c r="AA9423" s="3">
        <v>15786.4</v>
      </c>
      <c r="AB9423">
        <v>1E-4</v>
      </c>
      <c r="AC9423">
        <v>8</v>
      </c>
      <c r="AD9423" s="5">
        <v>5.0416640581440246</v>
      </c>
      <c r="AE9423" s="5">
        <v>2.1795918828545515</v>
      </c>
      <c r="AF9423">
        <v>1</v>
      </c>
    </row>
    <row r="9424" spans="27:32" x14ac:dyDescent="0.3">
      <c r="AA9424" s="3">
        <v>20449.189999999999</v>
      </c>
      <c r="AB9424">
        <v>1E-4</v>
      </c>
      <c r="AC9424">
        <v>8</v>
      </c>
      <c r="AD9424" s="5">
        <v>5.0352062355506408</v>
      </c>
      <c r="AE9424" s="5">
        <v>2.1904765412775626</v>
      </c>
      <c r="AF9424">
        <v>1</v>
      </c>
    </row>
    <row r="9425" spans="27:32" x14ac:dyDescent="0.3">
      <c r="AA9425" s="3">
        <v>3801.07</v>
      </c>
      <c r="AB9425">
        <v>1E-4</v>
      </c>
      <c r="AC9425">
        <v>8</v>
      </c>
      <c r="AD9425" s="5">
        <v>4.9957067735038692</v>
      </c>
      <c r="AE9425" s="5">
        <v>2.2183328924121972</v>
      </c>
      <c r="AF9425">
        <v>1</v>
      </c>
    </row>
    <row r="9426" spans="27:32" x14ac:dyDescent="0.3">
      <c r="AA9426" s="3">
        <v>-17754.38</v>
      </c>
      <c r="AB9426">
        <v>1E-4</v>
      </c>
      <c r="AC9426">
        <v>9</v>
      </c>
      <c r="AD9426" s="5">
        <v>4.9604806877757568</v>
      </c>
      <c r="AE9426" s="5">
        <v>2.2244723075132753</v>
      </c>
      <c r="AF9426">
        <v>1</v>
      </c>
    </row>
    <row r="9427" spans="27:32" x14ac:dyDescent="0.3">
      <c r="AA9427" s="3">
        <v>25977.71</v>
      </c>
      <c r="AB9427">
        <v>1E-4</v>
      </c>
      <c r="AC9427">
        <v>8</v>
      </c>
      <c r="AD9427" s="5">
        <v>5.0676135243869593</v>
      </c>
      <c r="AE9427" s="5">
        <v>2.2114152515571179</v>
      </c>
      <c r="AF9427">
        <v>1</v>
      </c>
    </row>
    <row r="9428" spans="27:32" x14ac:dyDescent="0.3">
      <c r="AA9428" s="3">
        <v>51458.83</v>
      </c>
      <c r="AB9428">
        <v>1E-4</v>
      </c>
      <c r="AC9428">
        <v>6</v>
      </c>
      <c r="AD9428" s="5">
        <v>5.0101643171136123</v>
      </c>
      <c r="AE9428" s="5">
        <v>2.1555170249236713</v>
      </c>
      <c r="AF9428">
        <v>1</v>
      </c>
    </row>
    <row r="9429" spans="27:32" x14ac:dyDescent="0.3">
      <c r="AA9429" s="3">
        <v>-20556.63</v>
      </c>
      <c r="AB9429">
        <v>1E-4</v>
      </c>
      <c r="AC9429">
        <v>9</v>
      </c>
      <c r="AD9429" s="5">
        <v>4.8877913590401878</v>
      </c>
      <c r="AE9429" s="5">
        <v>2.2438913107691185</v>
      </c>
      <c r="AF9429">
        <v>1</v>
      </c>
    </row>
    <row r="9430" spans="27:32" x14ac:dyDescent="0.3">
      <c r="AA9430" s="3">
        <v>39011.06</v>
      </c>
      <c r="AB9430">
        <v>1E-4</v>
      </c>
      <c r="AC9430">
        <v>7</v>
      </c>
      <c r="AD9430" s="5">
        <v>5.1186298885029338</v>
      </c>
      <c r="AE9430" s="5">
        <v>2.1271927910233415</v>
      </c>
      <c r="AF9430">
        <v>1</v>
      </c>
    </row>
    <row r="9431" spans="27:32" x14ac:dyDescent="0.3">
      <c r="AA9431" s="3">
        <v>-3619.7</v>
      </c>
      <c r="AB9431">
        <v>1E-4</v>
      </c>
      <c r="AC9431">
        <v>9</v>
      </c>
      <c r="AD9431" s="5">
        <v>4.9732892110794822</v>
      </c>
      <c r="AE9431" s="5">
        <v>2.2797018657682813</v>
      </c>
      <c r="AF9431">
        <v>1</v>
      </c>
    </row>
    <row r="9432" spans="27:32" x14ac:dyDescent="0.3">
      <c r="AA9432" s="3">
        <v>18937.38</v>
      </c>
      <c r="AB9432">
        <v>1E-4</v>
      </c>
      <c r="AC9432">
        <v>8</v>
      </c>
      <c r="AD9432" s="5">
        <v>5.0227570048124095</v>
      </c>
      <c r="AE9432" s="5">
        <v>2.252150620695816</v>
      </c>
      <c r="AF9432">
        <v>1</v>
      </c>
    </row>
    <row r="9433" spans="27:32" x14ac:dyDescent="0.3">
      <c r="AA9433" s="3">
        <v>4540.01</v>
      </c>
      <c r="AB9433">
        <v>1E-4</v>
      </c>
      <c r="AC9433">
        <v>8</v>
      </c>
      <c r="AD9433" s="5">
        <v>4.9529581123164927</v>
      </c>
      <c r="AE9433" s="5">
        <v>2.1793792921672921</v>
      </c>
      <c r="AF9433">
        <v>1</v>
      </c>
    </row>
    <row r="9434" spans="27:32" x14ac:dyDescent="0.3">
      <c r="AA9434" s="3">
        <v>11844.05</v>
      </c>
      <c r="AB9434">
        <v>1E-4</v>
      </c>
      <c r="AC9434">
        <v>8</v>
      </c>
      <c r="AD9434" s="5">
        <v>4.8826909749500134</v>
      </c>
      <c r="AE9434" s="5">
        <v>2.1703349818158921</v>
      </c>
      <c r="AF9434">
        <v>1</v>
      </c>
    </row>
    <row r="9435" spans="27:32" x14ac:dyDescent="0.3">
      <c r="AA9435" s="3">
        <v>13266.71</v>
      </c>
      <c r="AB9435">
        <v>1E-4</v>
      </c>
      <c r="AC9435">
        <v>8</v>
      </c>
      <c r="AD9435" s="5">
        <v>5.0152692499700988</v>
      </c>
      <c r="AE9435" s="5">
        <v>2.2059286592288578</v>
      </c>
      <c r="AF9435">
        <v>1</v>
      </c>
    </row>
    <row r="9436" spans="27:32" x14ac:dyDescent="0.3">
      <c r="AA9436" s="3">
        <v>40303.339999999997</v>
      </c>
      <c r="AB9436">
        <v>1E-4</v>
      </c>
      <c r="AC9436">
        <v>7</v>
      </c>
      <c r="AD9436" s="5">
        <v>5.0980791314729323</v>
      </c>
      <c r="AE9436" s="5">
        <v>2.0635575705270823</v>
      </c>
      <c r="AF9436">
        <v>1</v>
      </c>
    </row>
    <row r="9437" spans="27:32" x14ac:dyDescent="0.3">
      <c r="AA9437" s="3">
        <v>27280.55</v>
      </c>
      <c r="AB9437">
        <v>1E-4</v>
      </c>
      <c r="AC9437">
        <v>8</v>
      </c>
      <c r="AD9437" s="5">
        <v>5.1213621831483449</v>
      </c>
      <c r="AE9437" s="5">
        <v>2.1717360658749478</v>
      </c>
      <c r="AF9437">
        <v>1</v>
      </c>
    </row>
    <row r="9438" spans="27:32" x14ac:dyDescent="0.3">
      <c r="AA9438" s="3">
        <v>-1838.15</v>
      </c>
      <c r="AB9438">
        <v>1E-4</v>
      </c>
      <c r="AC9438">
        <v>9</v>
      </c>
      <c r="AD9438" s="5">
        <v>4.897885202148295</v>
      </c>
      <c r="AE9438" s="5">
        <v>2.2834807171645393</v>
      </c>
      <c r="AF9438">
        <v>1</v>
      </c>
    </row>
    <row r="9439" spans="27:32" x14ac:dyDescent="0.3">
      <c r="AA9439" s="3">
        <v>-7041.61</v>
      </c>
      <c r="AB9439">
        <v>1E-4</v>
      </c>
      <c r="AC9439">
        <v>9</v>
      </c>
      <c r="AD9439" s="5">
        <v>5.0720240066752362</v>
      </c>
      <c r="AE9439" s="5">
        <v>2.2101110154874357</v>
      </c>
      <c r="AF9439">
        <v>1</v>
      </c>
    </row>
    <row r="9440" spans="27:32" x14ac:dyDescent="0.3">
      <c r="AA9440" s="3">
        <v>27655.97</v>
      </c>
      <c r="AB9440">
        <v>1E-4</v>
      </c>
      <c r="AC9440">
        <v>8</v>
      </c>
      <c r="AD9440" s="5">
        <v>5.1555519190219208</v>
      </c>
      <c r="AE9440" s="5">
        <v>2.2279781397504377</v>
      </c>
      <c r="AF9440">
        <v>1</v>
      </c>
    </row>
    <row r="9441" spans="27:32" x14ac:dyDescent="0.3">
      <c r="AA9441" s="3">
        <v>-15061.26</v>
      </c>
      <c r="AB9441">
        <v>1E-4</v>
      </c>
      <c r="AC9441">
        <v>9</v>
      </c>
      <c r="AD9441" s="5">
        <v>4.9348846827262616</v>
      </c>
      <c r="AE9441" s="5">
        <v>2.188924715954121</v>
      </c>
      <c r="AF9441">
        <v>1</v>
      </c>
    </row>
    <row r="9442" spans="27:32" x14ac:dyDescent="0.3">
      <c r="AA9442" s="3">
        <v>26491.39</v>
      </c>
      <c r="AB9442">
        <v>1E-4</v>
      </c>
      <c r="AC9442">
        <v>8</v>
      </c>
      <c r="AD9442" s="5">
        <v>5.0325404343341145</v>
      </c>
      <c r="AE9442" s="5">
        <v>2.1778230148760689</v>
      </c>
      <c r="AF9442">
        <v>1</v>
      </c>
    </row>
    <row r="9443" spans="27:32" x14ac:dyDescent="0.3">
      <c r="AA9443" s="3">
        <v>-3657.92</v>
      </c>
      <c r="AB9443">
        <v>1E-4</v>
      </c>
      <c r="AC9443">
        <v>9</v>
      </c>
      <c r="AD9443" s="5">
        <v>4.9350597119954092</v>
      </c>
      <c r="AE9443" s="5">
        <v>2.2159782710678453</v>
      </c>
      <c r="AF9443">
        <v>1</v>
      </c>
    </row>
    <row r="9444" spans="27:32" x14ac:dyDescent="0.3">
      <c r="AA9444" s="3">
        <v>-34010.699999999997</v>
      </c>
      <c r="AB9444">
        <v>1E-4</v>
      </c>
      <c r="AC9444">
        <v>9</v>
      </c>
      <c r="AD9444" s="5">
        <v>5.0867368224485316</v>
      </c>
      <c r="AE9444" s="5">
        <v>2.277693342249822</v>
      </c>
      <c r="AF9444">
        <v>1</v>
      </c>
    </row>
    <row r="9445" spans="27:32" x14ac:dyDescent="0.3">
      <c r="AA9445" s="3">
        <v>35881.360000000001</v>
      </c>
      <c r="AB9445">
        <v>1E-4</v>
      </c>
      <c r="AC9445">
        <v>7</v>
      </c>
      <c r="AD9445" s="5">
        <v>4.9300547874589045</v>
      </c>
      <c r="AE9445" s="5">
        <v>2.2503204264715122</v>
      </c>
      <c r="AF9445">
        <v>1</v>
      </c>
    </row>
    <row r="9446" spans="27:32" x14ac:dyDescent="0.3">
      <c r="AA9446" s="3">
        <v>30732.53</v>
      </c>
      <c r="AB9446">
        <v>1E-4</v>
      </c>
      <c r="AC9446">
        <v>7</v>
      </c>
      <c r="AD9446" s="5">
        <v>4.9568951478442962</v>
      </c>
      <c r="AE9446" s="5">
        <v>2.2111193686203365</v>
      </c>
      <c r="AF9446">
        <v>1</v>
      </c>
    </row>
    <row r="9447" spans="27:32" x14ac:dyDescent="0.3">
      <c r="AA9447" s="3">
        <v>5722.24</v>
      </c>
      <c r="AB9447">
        <v>1E-4</v>
      </c>
      <c r="AC9447">
        <v>8</v>
      </c>
      <c r="AD9447" s="5">
        <v>4.8950673028567637</v>
      </c>
      <c r="AE9447" s="5">
        <v>2.2414785801087258</v>
      </c>
      <c r="AF9447">
        <v>1</v>
      </c>
    </row>
    <row r="9448" spans="27:32" x14ac:dyDescent="0.3">
      <c r="AA9448" s="3">
        <v>5578.06</v>
      </c>
      <c r="AB9448">
        <v>1E-4</v>
      </c>
      <c r="AC9448">
        <v>8</v>
      </c>
      <c r="AD9448" s="5">
        <v>5.0023372475118331</v>
      </c>
      <c r="AE9448" s="5">
        <v>2.2486203707445398</v>
      </c>
      <c r="AF9448">
        <v>1</v>
      </c>
    </row>
    <row r="9449" spans="27:32" x14ac:dyDescent="0.3">
      <c r="AA9449" s="3">
        <v>18432.599999999999</v>
      </c>
      <c r="AB9449">
        <v>1E-4</v>
      </c>
      <c r="AC9449">
        <v>8</v>
      </c>
      <c r="AD9449" s="5">
        <v>5.0264594003004328</v>
      </c>
      <c r="AE9449" s="5">
        <v>2.2245304645028696</v>
      </c>
      <c r="AF9449">
        <v>1</v>
      </c>
    </row>
    <row r="9450" spans="27:32" x14ac:dyDescent="0.3">
      <c r="AA9450" s="3">
        <v>36629.79</v>
      </c>
      <c r="AB9450">
        <v>1E-4</v>
      </c>
      <c r="AC9450">
        <v>7</v>
      </c>
      <c r="AD9450" s="5">
        <v>4.9586668491102275</v>
      </c>
      <c r="AE9450" s="5">
        <v>2.1341114951120037</v>
      </c>
      <c r="AF9450">
        <v>1</v>
      </c>
    </row>
    <row r="9451" spans="27:32" x14ac:dyDescent="0.3">
      <c r="AA9451" s="3">
        <v>15008.3</v>
      </c>
      <c r="AB9451">
        <v>1E-4</v>
      </c>
      <c r="AC9451">
        <v>8</v>
      </c>
      <c r="AD9451" s="5">
        <v>4.9487954050906868</v>
      </c>
      <c r="AE9451" s="5">
        <v>2.152156630921696</v>
      </c>
      <c r="AF9451">
        <v>1</v>
      </c>
    </row>
    <row r="9452" spans="27:32" x14ac:dyDescent="0.3">
      <c r="AA9452" s="3">
        <v>-13560.34</v>
      </c>
      <c r="AB9452">
        <v>1E-4</v>
      </c>
      <c r="AC9452">
        <v>9</v>
      </c>
      <c r="AD9452" s="5">
        <v>4.9667608633719169</v>
      </c>
      <c r="AE9452" s="5">
        <v>2.1870948261763239</v>
      </c>
      <c r="AF9452">
        <v>1</v>
      </c>
    </row>
    <row r="9453" spans="27:32" x14ac:dyDescent="0.3">
      <c r="AA9453" s="3">
        <v>15843.57</v>
      </c>
      <c r="AB9453">
        <v>1E-4</v>
      </c>
      <c r="AC9453">
        <v>8</v>
      </c>
      <c r="AD9453" s="5">
        <v>5.0293122018038723</v>
      </c>
      <c r="AE9453" s="5">
        <v>2.2236355548793525</v>
      </c>
      <c r="AF9453">
        <v>1</v>
      </c>
    </row>
    <row r="9454" spans="27:32" x14ac:dyDescent="0.3">
      <c r="AA9454" s="3">
        <v>11950.09</v>
      </c>
      <c r="AB9454">
        <v>1E-4</v>
      </c>
      <c r="AC9454">
        <v>8</v>
      </c>
      <c r="AD9454" s="5">
        <v>5.1468894739949871</v>
      </c>
      <c r="AE9454" s="5">
        <v>2.2047089043637804</v>
      </c>
      <c r="AF9454">
        <v>1</v>
      </c>
    </row>
    <row r="9455" spans="27:32" x14ac:dyDescent="0.3">
      <c r="AA9455" s="3">
        <v>-1934.38</v>
      </c>
      <c r="AB9455">
        <v>1E-4</v>
      </c>
      <c r="AC9455">
        <v>9</v>
      </c>
      <c r="AD9455" s="5">
        <v>5.0031867778799404</v>
      </c>
      <c r="AE9455" s="5">
        <v>2.1650243398002478</v>
      </c>
      <c r="AF9455">
        <v>1</v>
      </c>
    </row>
    <row r="9456" spans="27:32" x14ac:dyDescent="0.3">
      <c r="AA9456" s="3">
        <v>40160.74</v>
      </c>
      <c r="AB9456">
        <v>1E-4</v>
      </c>
      <c r="AC9456">
        <v>7</v>
      </c>
      <c r="AD9456" s="5">
        <v>5.1026313938214241</v>
      </c>
      <c r="AE9456" s="5">
        <v>2.2383757198307377</v>
      </c>
      <c r="AF9456">
        <v>1</v>
      </c>
    </row>
    <row r="9457" spans="27:32" x14ac:dyDescent="0.3">
      <c r="AA9457" s="3">
        <v>-16701.75255444814</v>
      </c>
      <c r="AB9457">
        <v>1E-4</v>
      </c>
      <c r="AC9457">
        <v>8</v>
      </c>
      <c r="AD9457" s="5">
        <v>4.8700324804208392</v>
      </c>
      <c r="AE9457" s="5">
        <v>2.1502339366890193</v>
      </c>
      <c r="AF9457">
        <v>0</v>
      </c>
    </row>
    <row r="9458" spans="27:32" x14ac:dyDescent="0.3">
      <c r="AA9458" s="3">
        <v>8382.9500000000007</v>
      </c>
      <c r="AB9458">
        <v>1E-4</v>
      </c>
      <c r="AC9458">
        <v>8</v>
      </c>
      <c r="AD9458" s="5">
        <v>4.8452199992805678</v>
      </c>
      <c r="AE9458" s="5">
        <v>2.0993197835417838</v>
      </c>
      <c r="AF9458">
        <v>1</v>
      </c>
    </row>
    <row r="9459" spans="27:32" x14ac:dyDescent="0.3">
      <c r="AA9459" s="3">
        <v>28988.67</v>
      </c>
      <c r="AB9459">
        <v>1E-4</v>
      </c>
      <c r="AC9459">
        <v>8</v>
      </c>
      <c r="AD9459" s="5">
        <v>5.0476005753866637</v>
      </c>
      <c r="AE9459" s="5">
        <v>2.1348101003001516</v>
      </c>
      <c r="AF9459">
        <v>1</v>
      </c>
    </row>
    <row r="9460" spans="27:32" x14ac:dyDescent="0.3">
      <c r="AA9460" s="3">
        <v>1494.01</v>
      </c>
      <c r="AB9460">
        <v>1E-4</v>
      </c>
      <c r="AC9460">
        <v>8</v>
      </c>
      <c r="AD9460" s="5">
        <v>4.9023991148833179</v>
      </c>
      <c r="AE9460" s="5">
        <v>2.2014959931946492</v>
      </c>
      <c r="AF9460">
        <v>1</v>
      </c>
    </row>
    <row r="9461" spans="27:32" x14ac:dyDescent="0.3">
      <c r="AA9461" s="3">
        <v>3853.85</v>
      </c>
      <c r="AB9461">
        <v>1E-4</v>
      </c>
      <c r="AC9461">
        <v>8</v>
      </c>
      <c r="AD9461" s="5">
        <v>4.974515133993588</v>
      </c>
      <c r="AE9461" s="5">
        <v>2.1871209800638725</v>
      </c>
      <c r="AF9461">
        <v>1</v>
      </c>
    </row>
    <row r="9462" spans="27:32" x14ac:dyDescent="0.3">
      <c r="AA9462" s="3">
        <v>34705.620000000003</v>
      </c>
      <c r="AB9462">
        <v>1E-4</v>
      </c>
      <c r="AC9462">
        <v>7</v>
      </c>
      <c r="AD9462" s="5">
        <v>5.0080000907357336</v>
      </c>
      <c r="AE9462" s="5">
        <v>2.1969092016468244</v>
      </c>
      <c r="AF9462">
        <v>1</v>
      </c>
    </row>
    <row r="9463" spans="27:32" x14ac:dyDescent="0.3">
      <c r="AA9463" s="3">
        <v>30079.81</v>
      </c>
      <c r="AB9463">
        <v>1E-4</v>
      </c>
      <c r="AC9463">
        <v>8</v>
      </c>
      <c r="AD9463" s="5">
        <v>5.0778307275447094</v>
      </c>
      <c r="AE9463" s="5">
        <v>2.1752414570824339</v>
      </c>
      <c r="AF9463">
        <v>1</v>
      </c>
    </row>
    <row r="9464" spans="27:32" x14ac:dyDescent="0.3">
      <c r="AA9464" s="3">
        <v>10905.34</v>
      </c>
      <c r="AB9464">
        <v>1E-4</v>
      </c>
      <c r="AC9464">
        <v>8</v>
      </c>
      <c r="AD9464" s="5">
        <v>4.996705103276037</v>
      </c>
      <c r="AE9464" s="5">
        <v>2.1883360484395502</v>
      </c>
      <c r="AF9464">
        <v>1</v>
      </c>
    </row>
    <row r="9465" spans="27:32" x14ac:dyDescent="0.3">
      <c r="AA9465" s="3">
        <v>454.02</v>
      </c>
      <c r="AB9465">
        <v>1E-4</v>
      </c>
      <c r="AC9465">
        <v>8</v>
      </c>
      <c r="AD9465" s="5">
        <v>5.1199557813056007</v>
      </c>
      <c r="AE9465" s="5">
        <v>2.2580681359290624</v>
      </c>
      <c r="AF9465">
        <v>1</v>
      </c>
    </row>
    <row r="9466" spans="27:32" x14ac:dyDescent="0.3">
      <c r="AA9466" s="3">
        <v>18506.740000000002</v>
      </c>
      <c r="AB9466">
        <v>1E-4</v>
      </c>
      <c r="AC9466">
        <v>8</v>
      </c>
      <c r="AD9466" s="5">
        <v>4.9980321466474722</v>
      </c>
      <c r="AE9466" s="5">
        <v>2.2577154446288628</v>
      </c>
      <c r="AF9466">
        <v>1</v>
      </c>
    </row>
    <row r="9467" spans="27:32" x14ac:dyDescent="0.3">
      <c r="AA9467" s="3">
        <v>6443.15</v>
      </c>
      <c r="AB9467">
        <v>1E-4</v>
      </c>
      <c r="AC9467">
        <v>8</v>
      </c>
      <c r="AD9467" s="5">
        <v>4.9233721597757558</v>
      </c>
      <c r="AE9467" s="5">
        <v>2.2111826927798859</v>
      </c>
      <c r="AF9467">
        <v>1</v>
      </c>
    </row>
    <row r="9468" spans="27:32" x14ac:dyDescent="0.3">
      <c r="AA9468" s="3">
        <v>25037.33</v>
      </c>
      <c r="AB9468">
        <v>1E-4</v>
      </c>
      <c r="AC9468">
        <v>8</v>
      </c>
      <c r="AD9468" s="5">
        <v>4.9702723696522453</v>
      </c>
      <c r="AE9468" s="5">
        <v>2.1409204880946491</v>
      </c>
      <c r="AF9468">
        <v>1</v>
      </c>
    </row>
    <row r="9469" spans="27:32" x14ac:dyDescent="0.3">
      <c r="AA9469" s="3">
        <v>17570.68</v>
      </c>
      <c r="AB9469">
        <v>1E-4</v>
      </c>
      <c r="AC9469">
        <v>8</v>
      </c>
      <c r="AD9469" s="5">
        <v>4.901142151641217</v>
      </c>
      <c r="AE9469" s="5">
        <v>2.2136110396662785</v>
      </c>
      <c r="AF9469">
        <v>1</v>
      </c>
    </row>
    <row r="9470" spans="27:32" x14ac:dyDescent="0.3">
      <c r="AA9470" s="3">
        <v>5006.1000000000004</v>
      </c>
      <c r="AB9470">
        <v>1E-4</v>
      </c>
      <c r="AC9470">
        <v>8</v>
      </c>
      <c r="AD9470" s="5">
        <v>4.9075367708204585</v>
      </c>
      <c r="AE9470" s="5">
        <v>2.2262913569702842</v>
      </c>
      <c r="AF9470">
        <v>1</v>
      </c>
    </row>
    <row r="9471" spans="27:32" x14ac:dyDescent="0.3">
      <c r="AA9471" s="3">
        <v>-9595.91</v>
      </c>
      <c r="AB9471">
        <v>1E-4</v>
      </c>
      <c r="AC9471">
        <v>9</v>
      </c>
      <c r="AD9471" s="5">
        <v>4.8737884776117673</v>
      </c>
      <c r="AE9471" s="5">
        <v>2.2309680179349916</v>
      </c>
      <c r="AF9471">
        <v>1</v>
      </c>
    </row>
    <row r="9472" spans="27:32" x14ac:dyDescent="0.3">
      <c r="AA9472" s="3">
        <v>-38267.124678637745</v>
      </c>
      <c r="AB9472">
        <v>1E-4</v>
      </c>
      <c r="AC9472">
        <v>9</v>
      </c>
      <c r="AD9472" s="5">
        <v>5.1061409458920615</v>
      </c>
      <c r="AE9472" s="5">
        <v>2.2570553712222661</v>
      </c>
      <c r="AF9472">
        <v>0</v>
      </c>
    </row>
    <row r="9473" spans="27:32" x14ac:dyDescent="0.3">
      <c r="AA9473" s="3">
        <v>21692.77</v>
      </c>
      <c r="AB9473">
        <v>1E-4</v>
      </c>
      <c r="AC9473">
        <v>8</v>
      </c>
      <c r="AD9473" s="5">
        <v>4.9822280522096571</v>
      </c>
      <c r="AE9473" s="5">
        <v>2.243637785807246</v>
      </c>
      <c r="AF9473">
        <v>1</v>
      </c>
    </row>
    <row r="9474" spans="27:32" x14ac:dyDescent="0.3">
      <c r="AA9474" s="3">
        <v>31271.54</v>
      </c>
      <c r="AB9474">
        <v>1E-4</v>
      </c>
      <c r="AC9474">
        <v>7</v>
      </c>
      <c r="AD9474" s="5">
        <v>5.1212702152960468</v>
      </c>
      <c r="AE9474" s="5">
        <v>2.2896893756545569</v>
      </c>
      <c r="AF9474">
        <v>1</v>
      </c>
    </row>
    <row r="9475" spans="27:32" x14ac:dyDescent="0.3">
      <c r="AA9475" s="3">
        <v>9174.98</v>
      </c>
      <c r="AB9475">
        <v>1E-4</v>
      </c>
      <c r="AC9475">
        <v>8</v>
      </c>
      <c r="AD9475" s="5">
        <v>4.8664459029339593</v>
      </c>
      <c r="AE9475" s="5">
        <v>2.1891807707997595</v>
      </c>
      <c r="AF9475">
        <v>1</v>
      </c>
    </row>
    <row r="9476" spans="27:32" x14ac:dyDescent="0.3">
      <c r="AA9476" s="3">
        <v>14722.42</v>
      </c>
      <c r="AB9476">
        <v>1E-4</v>
      </c>
      <c r="AC9476">
        <v>8</v>
      </c>
      <c r="AD9476" s="5">
        <v>5.0298133736981363</v>
      </c>
      <c r="AE9476" s="5">
        <v>2.1725810301289923</v>
      </c>
      <c r="AF9476">
        <v>1</v>
      </c>
    </row>
    <row r="9477" spans="27:32" x14ac:dyDescent="0.3">
      <c r="AA9477" s="3">
        <v>21590.93</v>
      </c>
      <c r="AB9477">
        <v>1E-4</v>
      </c>
      <c r="AC9477">
        <v>8</v>
      </c>
      <c r="AD9477" s="5">
        <v>5.0831068944859252</v>
      </c>
      <c r="AE9477" s="5">
        <v>2.1451224719879214</v>
      </c>
      <c r="AF9477">
        <v>1</v>
      </c>
    </row>
    <row r="9478" spans="27:32" x14ac:dyDescent="0.3">
      <c r="AA9478" s="3">
        <v>-3667.26</v>
      </c>
      <c r="AB9478">
        <v>1E-4</v>
      </c>
      <c r="AC9478">
        <v>9</v>
      </c>
      <c r="AD9478" s="5">
        <v>5.0639786903837898</v>
      </c>
      <c r="AE9478" s="5">
        <v>2.1692534972535773</v>
      </c>
      <c r="AF9478">
        <v>1</v>
      </c>
    </row>
    <row r="9479" spans="27:32" x14ac:dyDescent="0.3">
      <c r="AA9479" s="3">
        <v>10439.48</v>
      </c>
      <c r="AB9479">
        <v>1E-4</v>
      </c>
      <c r="AC9479">
        <v>8</v>
      </c>
      <c r="AD9479" s="5">
        <v>4.9302741856291625</v>
      </c>
      <c r="AE9479" s="5">
        <v>2.1653028459489585</v>
      </c>
      <c r="AF9479">
        <v>1</v>
      </c>
    </row>
    <row r="9480" spans="27:32" x14ac:dyDescent="0.3">
      <c r="AA9480" s="3">
        <v>11737.96</v>
      </c>
      <c r="AB9480">
        <v>1E-4</v>
      </c>
      <c r="AC9480">
        <v>8</v>
      </c>
      <c r="AD9480" s="5">
        <v>5.089740342210483</v>
      </c>
      <c r="AE9480" s="5">
        <v>2.2317996246415737</v>
      </c>
      <c r="AF9480">
        <v>1</v>
      </c>
    </row>
    <row r="9481" spans="27:32" x14ac:dyDescent="0.3">
      <c r="AA9481" s="3">
        <v>38668.980000000003</v>
      </c>
      <c r="AB9481">
        <v>1E-4</v>
      </c>
      <c r="AC9481">
        <v>7</v>
      </c>
      <c r="AD9481" s="5">
        <v>5.0454605415670333</v>
      </c>
      <c r="AE9481" s="5">
        <v>2.2498747421842245</v>
      </c>
      <c r="AF9481">
        <v>1</v>
      </c>
    </row>
    <row r="9482" spans="27:32" x14ac:dyDescent="0.3">
      <c r="AA9482" s="3">
        <v>18595.77</v>
      </c>
      <c r="AB9482">
        <v>1E-4</v>
      </c>
      <c r="AC9482">
        <v>8</v>
      </c>
      <c r="AD9482" s="5">
        <v>5.104473791382933</v>
      </c>
      <c r="AE9482" s="5">
        <v>2.2560599820500733</v>
      </c>
      <c r="AF9482">
        <v>1</v>
      </c>
    </row>
    <row r="9483" spans="27:32" x14ac:dyDescent="0.3">
      <c r="AA9483" s="3">
        <v>2487.91</v>
      </c>
      <c r="AB9483">
        <v>1E-4</v>
      </c>
      <c r="AC9483">
        <v>8</v>
      </c>
      <c r="AD9483" s="5">
        <v>5.0489802758178284</v>
      </c>
      <c r="AE9483" s="5">
        <v>2.1887816947668624</v>
      </c>
      <c r="AF9483">
        <v>1</v>
      </c>
    </row>
    <row r="9484" spans="27:32" x14ac:dyDescent="0.3">
      <c r="AA9484" s="3">
        <v>29193.1</v>
      </c>
      <c r="AB9484">
        <v>1E-4</v>
      </c>
      <c r="AC9484">
        <v>7</v>
      </c>
      <c r="AD9484" s="5">
        <v>4.8818011614794363</v>
      </c>
      <c r="AE9484" s="5">
        <v>2.1023367762668252</v>
      </c>
      <c r="AF9484">
        <v>1</v>
      </c>
    </row>
    <row r="9485" spans="27:32" x14ac:dyDescent="0.3">
      <c r="AA9485" s="3">
        <v>1971.41</v>
      </c>
      <c r="AB9485">
        <v>1E-4</v>
      </c>
      <c r="AC9485">
        <v>8</v>
      </c>
      <c r="AD9485" s="5">
        <v>4.8479610273918388</v>
      </c>
      <c r="AE9485" s="5">
        <v>2.1079724489173044</v>
      </c>
      <c r="AF9485">
        <v>1</v>
      </c>
    </row>
    <row r="9486" spans="27:32" x14ac:dyDescent="0.3">
      <c r="AA9486" s="3">
        <v>22800.65</v>
      </c>
      <c r="AB9486">
        <v>1E-4</v>
      </c>
      <c r="AC9486">
        <v>8</v>
      </c>
      <c r="AD9486" s="5">
        <v>4.892828986210489</v>
      </c>
      <c r="AE9486" s="5">
        <v>2.2351676344447813</v>
      </c>
      <c r="AF9486">
        <v>1</v>
      </c>
    </row>
    <row r="9487" spans="27:32" x14ac:dyDescent="0.3">
      <c r="AA9487" s="3">
        <v>53856.5</v>
      </c>
      <c r="AB9487">
        <v>1E-4</v>
      </c>
      <c r="AC9487">
        <v>6</v>
      </c>
      <c r="AD9487" s="5">
        <v>5.0674510081092761</v>
      </c>
      <c r="AE9487" s="5">
        <v>2.1735751964605043</v>
      </c>
      <c r="AF9487">
        <v>1</v>
      </c>
    </row>
    <row r="9488" spans="27:32" x14ac:dyDescent="0.3">
      <c r="AA9488" s="3">
        <v>21913.14</v>
      </c>
      <c r="AB9488">
        <v>1E-4</v>
      </c>
      <c r="AC9488">
        <v>8</v>
      </c>
      <c r="AD9488" s="5">
        <v>5.1491533677051047</v>
      </c>
      <c r="AE9488" s="5">
        <v>2.1804489480124363</v>
      </c>
      <c r="AF9488">
        <v>1</v>
      </c>
    </row>
    <row r="9489" spans="27:32" x14ac:dyDescent="0.3">
      <c r="AA9489" s="3">
        <v>14154.87</v>
      </c>
      <c r="AB9489">
        <v>1E-4</v>
      </c>
      <c r="AC9489">
        <v>8</v>
      </c>
      <c r="AD9489" s="5">
        <v>5.0985248786345059</v>
      </c>
      <c r="AE9489" s="5">
        <v>2.1695922005598742</v>
      </c>
      <c r="AF9489">
        <v>1</v>
      </c>
    </row>
    <row r="9490" spans="27:32" x14ac:dyDescent="0.3">
      <c r="AA9490" s="3">
        <v>17108.72</v>
      </c>
      <c r="AB9490">
        <v>1E-4</v>
      </c>
      <c r="AC9490">
        <v>8</v>
      </c>
      <c r="AD9490" s="5">
        <v>5.0613887994547078</v>
      </c>
      <c r="AE9490" s="5">
        <v>2.361254926432792</v>
      </c>
      <c r="AF9490">
        <v>1</v>
      </c>
    </row>
    <row r="9491" spans="27:32" x14ac:dyDescent="0.3">
      <c r="AA9491" s="3">
        <v>44284.07</v>
      </c>
      <c r="AB9491">
        <v>1E-4</v>
      </c>
      <c r="AC9491">
        <v>7</v>
      </c>
      <c r="AD9491" s="5">
        <v>5.1385847661928317</v>
      </c>
      <c r="AE9491" s="5">
        <v>2.2266022303313724</v>
      </c>
      <c r="AF9491">
        <v>1</v>
      </c>
    </row>
    <row r="9492" spans="27:32" x14ac:dyDescent="0.3">
      <c r="AA9492" s="3">
        <v>52029.31</v>
      </c>
      <c r="AB9492">
        <v>1E-4</v>
      </c>
      <c r="AC9492">
        <v>6</v>
      </c>
      <c r="AD9492" s="5">
        <v>5.0550279103904767</v>
      </c>
      <c r="AE9492" s="5">
        <v>2.208834973217825</v>
      </c>
      <c r="AF9492">
        <v>1</v>
      </c>
    </row>
    <row r="9493" spans="27:32" x14ac:dyDescent="0.3">
      <c r="AA9493" s="3">
        <v>20230.36</v>
      </c>
      <c r="AB9493">
        <v>1E-4</v>
      </c>
      <c r="AC9493">
        <v>8</v>
      </c>
      <c r="AD9493" s="5">
        <v>4.981929805335743</v>
      </c>
      <c r="AE9493" s="5">
        <v>2.1797829732226579</v>
      </c>
      <c r="AF9493">
        <v>1</v>
      </c>
    </row>
    <row r="9494" spans="27:32" x14ac:dyDescent="0.3">
      <c r="AA9494" s="3">
        <v>29702.94</v>
      </c>
      <c r="AB9494">
        <v>1E-4</v>
      </c>
      <c r="AC9494">
        <v>8</v>
      </c>
      <c r="AD9494" s="5">
        <v>4.9497835293783732</v>
      </c>
      <c r="AE9494" s="5">
        <v>2.1897611243033324</v>
      </c>
      <c r="AF9494">
        <v>1</v>
      </c>
    </row>
    <row r="9495" spans="27:32" x14ac:dyDescent="0.3">
      <c r="AA9495" s="3">
        <v>-21145.360000000001</v>
      </c>
      <c r="AB9495">
        <v>1E-4</v>
      </c>
      <c r="AC9495">
        <v>9</v>
      </c>
      <c r="AD9495" s="5">
        <v>5.1129479576067007</v>
      </c>
      <c r="AE9495" s="5">
        <v>2.2227944935892365</v>
      </c>
      <c r="AF9495">
        <v>1</v>
      </c>
    </row>
    <row r="9496" spans="27:32" x14ac:dyDescent="0.3">
      <c r="AA9496" s="3">
        <v>16707.34</v>
      </c>
      <c r="AB9496">
        <v>1E-4</v>
      </c>
      <c r="AC9496">
        <v>8</v>
      </c>
      <c r="AD9496" s="5">
        <v>5.0644813957102821</v>
      </c>
      <c r="AE9496" s="5">
        <v>2.2145208610156835</v>
      </c>
      <c r="AF9496">
        <v>1</v>
      </c>
    </row>
    <row r="9497" spans="27:32" x14ac:dyDescent="0.3">
      <c r="AA9497" s="3">
        <v>14960.41</v>
      </c>
      <c r="AB9497">
        <v>1E-4</v>
      </c>
      <c r="AC9497">
        <v>8</v>
      </c>
      <c r="AD9497" s="5">
        <v>5.0381879364086384</v>
      </c>
      <c r="AE9497" s="5">
        <v>2.1935200221597806</v>
      </c>
      <c r="AF9497">
        <v>1</v>
      </c>
    </row>
    <row r="9498" spans="27:32" x14ac:dyDescent="0.3">
      <c r="AA9498" s="3">
        <v>27116.98</v>
      </c>
      <c r="AB9498">
        <v>1E-4</v>
      </c>
      <c r="AC9498">
        <v>8</v>
      </c>
      <c r="AD9498" s="5">
        <v>5.0310320471449792</v>
      </c>
      <c r="AE9498" s="5">
        <v>2.1318694495376422</v>
      </c>
      <c r="AF9498">
        <v>1</v>
      </c>
    </row>
    <row r="9499" spans="27:32" x14ac:dyDescent="0.3">
      <c r="AA9499" s="3">
        <v>21695.4</v>
      </c>
      <c r="AB9499">
        <v>1E-4</v>
      </c>
      <c r="AC9499">
        <v>8</v>
      </c>
      <c r="AD9499" s="5">
        <v>4.9699758963350691</v>
      </c>
      <c r="AE9499" s="5">
        <v>2.2432163484863832</v>
      </c>
      <c r="AF9499">
        <v>1</v>
      </c>
    </row>
    <row r="9500" spans="27:32" x14ac:dyDescent="0.3">
      <c r="AA9500" s="3">
        <v>21965.68</v>
      </c>
      <c r="AB9500">
        <v>1E-4</v>
      </c>
      <c r="AC9500">
        <v>8</v>
      </c>
      <c r="AD9500" s="5">
        <v>5.0195558587175269</v>
      </c>
      <c r="AE9500" s="5">
        <v>2.1932035080394261</v>
      </c>
      <c r="AF9500">
        <v>1</v>
      </c>
    </row>
    <row r="9501" spans="27:32" x14ac:dyDescent="0.3">
      <c r="AA9501" s="3">
        <v>-7650.84</v>
      </c>
      <c r="AB9501">
        <v>1E-4</v>
      </c>
      <c r="AC9501">
        <v>9</v>
      </c>
      <c r="AD9501" s="5">
        <v>4.884983806483584</v>
      </c>
      <c r="AE9501" s="5">
        <v>2.1492631437337266</v>
      </c>
      <c r="AF9501">
        <v>1</v>
      </c>
    </row>
    <row r="9502" spans="27:32" x14ac:dyDescent="0.3">
      <c r="AA9502" s="3">
        <v>24847.74</v>
      </c>
      <c r="AB9502">
        <v>1E-4</v>
      </c>
      <c r="AC9502">
        <v>8</v>
      </c>
      <c r="AD9502" s="5">
        <v>5.1101663310653729</v>
      </c>
      <c r="AE9502" s="5">
        <v>2.2286444491887476</v>
      </c>
      <c r="AF9502">
        <v>1</v>
      </c>
    </row>
    <row r="9503" spans="27:32" x14ac:dyDescent="0.3">
      <c r="AA9503" s="3">
        <v>38434.120000000003</v>
      </c>
      <c r="AB9503">
        <v>1E-4</v>
      </c>
      <c r="AC9503">
        <v>7</v>
      </c>
      <c r="AD9503" s="5">
        <v>5.0925136948648335</v>
      </c>
      <c r="AE9503" s="5">
        <v>2.149050715955938</v>
      </c>
      <c r="AF9503">
        <v>1</v>
      </c>
    </row>
    <row r="9504" spans="27:32" x14ac:dyDescent="0.3">
      <c r="AA9504" s="3">
        <v>3906.56</v>
      </c>
      <c r="AB9504">
        <v>1E-4</v>
      </c>
      <c r="AC9504">
        <v>8</v>
      </c>
      <c r="AD9504" s="5">
        <v>5.0981542546167287</v>
      </c>
      <c r="AE9504" s="5">
        <v>2.183828102719426</v>
      </c>
      <c r="AF9504">
        <v>1</v>
      </c>
    </row>
    <row r="9505" spans="27:32" x14ac:dyDescent="0.3">
      <c r="AA9505" s="3">
        <v>11259.77</v>
      </c>
      <c r="AB9505">
        <v>1E-4</v>
      </c>
      <c r="AC9505">
        <v>8</v>
      </c>
      <c r="AD9505" s="5">
        <v>5.1287769620848538</v>
      </c>
      <c r="AE9505" s="5">
        <v>2.2080159243845348</v>
      </c>
      <c r="AF9505">
        <v>1</v>
      </c>
    </row>
    <row r="9506" spans="27:32" x14ac:dyDescent="0.3">
      <c r="AA9506" s="3">
        <v>26021.27</v>
      </c>
      <c r="AB9506">
        <v>1E-4</v>
      </c>
      <c r="AC9506">
        <v>8</v>
      </c>
      <c r="AD9506" s="5">
        <v>4.8991034871770998</v>
      </c>
      <c r="AE9506" s="5">
        <v>2.1609758144611515</v>
      </c>
      <c r="AF9506">
        <v>1</v>
      </c>
    </row>
    <row r="9507" spans="27:32" x14ac:dyDescent="0.3">
      <c r="AA9507" s="3">
        <v>34408.239999999998</v>
      </c>
      <c r="AB9507">
        <v>1E-4</v>
      </c>
      <c r="AC9507">
        <v>7</v>
      </c>
      <c r="AD9507" s="5">
        <v>5.0248110001205051</v>
      </c>
      <c r="AE9507" s="5">
        <v>2.2397271333172331</v>
      </c>
      <c r="AF9507">
        <v>1</v>
      </c>
    </row>
    <row r="9508" spans="27:32" x14ac:dyDescent="0.3">
      <c r="AA9508" s="3">
        <v>9010.08</v>
      </c>
      <c r="AB9508">
        <v>1E-4</v>
      </c>
      <c r="AC9508">
        <v>8</v>
      </c>
      <c r="AD9508" s="5">
        <v>4.9668303872869766</v>
      </c>
      <c r="AE9508" s="5">
        <v>2.2024295788314401</v>
      </c>
      <c r="AF9508">
        <v>1</v>
      </c>
    </row>
    <row r="9509" spans="27:32" x14ac:dyDescent="0.3">
      <c r="AA9509" s="3">
        <v>47993.01</v>
      </c>
      <c r="AB9509">
        <v>1E-4</v>
      </c>
      <c r="AC9509">
        <v>7</v>
      </c>
      <c r="AD9509" s="5">
        <v>5.0726608645092774</v>
      </c>
      <c r="AE9509" s="5">
        <v>2.2081525159412343</v>
      </c>
      <c r="AF9509">
        <v>1</v>
      </c>
    </row>
    <row r="9510" spans="27:32" x14ac:dyDescent="0.3">
      <c r="AA9510" s="3">
        <v>30999.95</v>
      </c>
      <c r="AB9510">
        <v>1E-4</v>
      </c>
      <c r="AC9510">
        <v>7</v>
      </c>
      <c r="AD9510" s="5">
        <v>5.0004896495695208</v>
      </c>
      <c r="AE9510" s="5">
        <v>2.2165461478864441</v>
      </c>
      <c r="AF9510">
        <v>1</v>
      </c>
    </row>
    <row r="9511" spans="27:32" x14ac:dyDescent="0.3">
      <c r="AA9511" s="3">
        <v>28325.919999999998</v>
      </c>
      <c r="AB9511">
        <v>1E-4</v>
      </c>
      <c r="AC9511">
        <v>8</v>
      </c>
      <c r="AD9511" s="5">
        <v>5.0198219163286621</v>
      </c>
      <c r="AE9511" s="5">
        <v>2.1587149113256681</v>
      </c>
      <c r="AF9511">
        <v>1</v>
      </c>
    </row>
    <row r="9512" spans="27:32" x14ac:dyDescent="0.3">
      <c r="AA9512" s="3">
        <v>22182.71</v>
      </c>
      <c r="AB9512">
        <v>1E-4</v>
      </c>
      <c r="AC9512">
        <v>7</v>
      </c>
      <c r="AD9512" s="5">
        <v>4.9635136300018461</v>
      </c>
      <c r="AE9512" s="5">
        <v>2.2416482430616336</v>
      </c>
      <c r="AF9512">
        <v>1</v>
      </c>
    </row>
    <row r="9513" spans="27:32" x14ac:dyDescent="0.3">
      <c r="AA9513" s="3">
        <v>25205</v>
      </c>
      <c r="AB9513">
        <v>1E-4</v>
      </c>
      <c r="AC9513">
        <v>8</v>
      </c>
      <c r="AD9513" s="5">
        <v>4.9151053885341964</v>
      </c>
      <c r="AE9513" s="5">
        <v>2.1169891085191241</v>
      </c>
      <c r="AF9513">
        <v>1</v>
      </c>
    </row>
    <row r="9514" spans="27:32" x14ac:dyDescent="0.3">
      <c r="AA9514" s="3">
        <v>-10358.700000000001</v>
      </c>
      <c r="AB9514">
        <v>1E-4</v>
      </c>
      <c r="AC9514">
        <v>9</v>
      </c>
      <c r="AD9514" s="5">
        <v>4.9775620438068087</v>
      </c>
      <c r="AE9514" s="5">
        <v>2.1447774053088065</v>
      </c>
      <c r="AF9514">
        <v>1</v>
      </c>
    </row>
    <row r="9515" spans="27:32" x14ac:dyDescent="0.3">
      <c r="AA9515" s="3">
        <v>32130.15</v>
      </c>
      <c r="AB9515">
        <v>1E-4</v>
      </c>
      <c r="AC9515">
        <v>7</v>
      </c>
      <c r="AD9515" s="5">
        <v>5.0693795450342698</v>
      </c>
      <c r="AE9515" s="5">
        <v>2.1220738155851766</v>
      </c>
      <c r="AF9515">
        <v>1</v>
      </c>
    </row>
    <row r="9516" spans="27:32" x14ac:dyDescent="0.3">
      <c r="AA9516" s="3">
        <v>6504.85</v>
      </c>
      <c r="AB9516">
        <v>1E-4</v>
      </c>
      <c r="AC9516">
        <v>8</v>
      </c>
      <c r="AD9516" s="5">
        <v>5.0939928522657567</v>
      </c>
      <c r="AE9516" s="5">
        <v>2.2925082082341706</v>
      </c>
      <c r="AF9516">
        <v>1</v>
      </c>
    </row>
    <row r="9517" spans="27:32" x14ac:dyDescent="0.3">
      <c r="AA9517" s="3">
        <v>-974.81</v>
      </c>
      <c r="AB9517">
        <v>1E-4</v>
      </c>
      <c r="AC9517">
        <v>9</v>
      </c>
      <c r="AD9517" s="5">
        <v>4.9208360381815384</v>
      </c>
      <c r="AE9517" s="5">
        <v>2.2515170128056541</v>
      </c>
      <c r="AF9517">
        <v>1</v>
      </c>
    </row>
    <row r="9518" spans="27:32" x14ac:dyDescent="0.3">
      <c r="AA9518" s="3">
        <v>37855.879999999997</v>
      </c>
      <c r="AB9518">
        <v>1E-4</v>
      </c>
      <c r="AC9518">
        <v>7</v>
      </c>
      <c r="AD9518" s="5">
        <v>4.9696901271517007</v>
      </c>
      <c r="AE9518" s="5">
        <v>2.1725009702280218</v>
      </c>
      <c r="AF9518">
        <v>1</v>
      </c>
    </row>
    <row r="9519" spans="27:32" x14ac:dyDescent="0.3">
      <c r="AA9519" s="3">
        <v>-5592.66</v>
      </c>
      <c r="AB9519">
        <v>1E-4</v>
      </c>
      <c r="AC9519">
        <v>9</v>
      </c>
      <c r="AD9519" s="5">
        <v>4.9242605159254769</v>
      </c>
      <c r="AE9519" s="5">
        <v>2.2632137750375527</v>
      </c>
      <c r="AF9519">
        <v>1</v>
      </c>
    </row>
    <row r="9520" spans="27:32" x14ac:dyDescent="0.3">
      <c r="AA9520" s="3">
        <v>-29309.519151121014</v>
      </c>
      <c r="AB9520">
        <v>1E-4</v>
      </c>
      <c r="AC9520">
        <v>9</v>
      </c>
      <c r="AD9520" s="5">
        <v>4.9753713104269925</v>
      </c>
      <c r="AE9520" s="5">
        <v>2.2923187275090751</v>
      </c>
      <c r="AF9520">
        <v>0</v>
      </c>
    </row>
    <row r="9521" spans="27:32" x14ac:dyDescent="0.3">
      <c r="AA9521" s="3">
        <v>35790.44</v>
      </c>
      <c r="AB9521">
        <v>1E-4</v>
      </c>
      <c r="AC9521">
        <v>7</v>
      </c>
      <c r="AD9521" s="5">
        <v>5.0555108556916313</v>
      </c>
      <c r="AE9521" s="5">
        <v>2.1406340223568985</v>
      </c>
      <c r="AF9521">
        <v>1</v>
      </c>
    </row>
    <row r="9522" spans="27:32" x14ac:dyDescent="0.3">
      <c r="AA9522" s="3">
        <v>43835.17</v>
      </c>
      <c r="AB9522">
        <v>1E-4</v>
      </c>
      <c r="AC9522">
        <v>7</v>
      </c>
      <c r="AD9522" s="5">
        <v>5.1113259598595864</v>
      </c>
      <c r="AE9522" s="5">
        <v>2.2072876509139721</v>
      </c>
      <c r="AF9522">
        <v>1</v>
      </c>
    </row>
    <row r="9523" spans="27:32" x14ac:dyDescent="0.3">
      <c r="AA9523" s="3">
        <v>5000.41</v>
      </c>
      <c r="AB9523">
        <v>1E-4</v>
      </c>
      <c r="AC9523">
        <v>8</v>
      </c>
      <c r="AD9523" s="5">
        <v>4.9435872793031708</v>
      </c>
      <c r="AE9523" s="5">
        <v>2.2512629681068201</v>
      </c>
      <c r="AF9523">
        <v>1</v>
      </c>
    </row>
    <row r="9524" spans="27:32" x14ac:dyDescent="0.3">
      <c r="AA9524" s="3">
        <v>8927.2800000000007</v>
      </c>
      <c r="AB9524">
        <v>1E-4</v>
      </c>
      <c r="AC9524">
        <v>8</v>
      </c>
      <c r="AD9524" s="5">
        <v>5.0325338688011909</v>
      </c>
      <c r="AE9524" s="5">
        <v>2.3238999203648634</v>
      </c>
      <c r="AF9524">
        <v>1</v>
      </c>
    </row>
    <row r="9525" spans="27:32" x14ac:dyDescent="0.3">
      <c r="AA9525" s="3">
        <v>31245.64</v>
      </c>
      <c r="AB9525">
        <v>1E-4</v>
      </c>
      <c r="AC9525">
        <v>7</v>
      </c>
      <c r="AD9525" s="5">
        <v>4.9567781317348123</v>
      </c>
      <c r="AE9525" s="5">
        <v>2.208505013214999</v>
      </c>
      <c r="AF9525">
        <v>1</v>
      </c>
    </row>
    <row r="9526" spans="27:32" x14ac:dyDescent="0.3">
      <c r="AA9526" s="3">
        <v>-4811.83</v>
      </c>
      <c r="AB9526">
        <v>1E-4</v>
      </c>
      <c r="AC9526">
        <v>9</v>
      </c>
      <c r="AD9526" s="5">
        <v>4.9198629904439111</v>
      </c>
      <c r="AE9526" s="5">
        <v>2.1952662452575207</v>
      </c>
      <c r="AF9526">
        <v>1</v>
      </c>
    </row>
    <row r="9527" spans="27:32" x14ac:dyDescent="0.3">
      <c r="AA9527" s="3">
        <v>19843.43</v>
      </c>
      <c r="AB9527">
        <v>1E-4</v>
      </c>
      <c r="AC9527">
        <v>8</v>
      </c>
      <c r="AD9527" s="5">
        <v>5.0620294986926737</v>
      </c>
      <c r="AE9527" s="5">
        <v>2.2782670325228613</v>
      </c>
      <c r="AF9527">
        <v>1</v>
      </c>
    </row>
    <row r="9528" spans="27:32" x14ac:dyDescent="0.3">
      <c r="AA9528" s="3">
        <v>7519.01</v>
      </c>
      <c r="AB9528">
        <v>1E-4</v>
      </c>
      <c r="AC9528">
        <v>8</v>
      </c>
      <c r="AD9528" s="5">
        <v>4.9158560143270043</v>
      </c>
      <c r="AE9528" s="5">
        <v>2.1489813054513442</v>
      </c>
      <c r="AF9528">
        <v>1</v>
      </c>
    </row>
    <row r="9529" spans="27:32" x14ac:dyDescent="0.3">
      <c r="AA9529" s="3">
        <v>-1518.15</v>
      </c>
      <c r="AB9529">
        <v>1E-4</v>
      </c>
      <c r="AC9529">
        <v>9</v>
      </c>
      <c r="AD9529" s="5">
        <v>4.9883186587849107</v>
      </c>
      <c r="AE9529" s="5">
        <v>2.2836979170311587</v>
      </c>
      <c r="AF9529">
        <v>1</v>
      </c>
    </row>
    <row r="9530" spans="27:32" x14ac:dyDescent="0.3">
      <c r="AA9530" s="3">
        <v>52489.67</v>
      </c>
      <c r="AB9530">
        <v>1E-4</v>
      </c>
      <c r="AC9530">
        <v>6</v>
      </c>
      <c r="AD9530" s="5">
        <v>4.9759611401420099</v>
      </c>
      <c r="AE9530" s="5">
        <v>2.1427837692307183</v>
      </c>
      <c r="AF9530">
        <v>1</v>
      </c>
    </row>
    <row r="9531" spans="27:32" x14ac:dyDescent="0.3">
      <c r="AA9531" s="3">
        <v>8704.6200000000008</v>
      </c>
      <c r="AB9531">
        <v>1E-4</v>
      </c>
      <c r="AC9531">
        <v>8</v>
      </c>
      <c r="AD9531" s="5">
        <v>4.9983719185584743</v>
      </c>
      <c r="AE9531" s="5">
        <v>2.1788441819811948</v>
      </c>
      <c r="AF9531">
        <v>1</v>
      </c>
    </row>
    <row r="9532" spans="27:32" x14ac:dyDescent="0.3">
      <c r="AA9532" s="3">
        <v>-17562.79</v>
      </c>
      <c r="AB9532">
        <v>1E-4</v>
      </c>
      <c r="AC9532">
        <v>9</v>
      </c>
      <c r="AD9532" s="5">
        <v>4.9645883413018499</v>
      </c>
      <c r="AE9532" s="5">
        <v>2.2786211807331975</v>
      </c>
      <c r="AF9532">
        <v>1</v>
      </c>
    </row>
    <row r="9533" spans="27:32" x14ac:dyDescent="0.3">
      <c r="AA9533" s="3">
        <v>16706.11</v>
      </c>
      <c r="AB9533">
        <v>1E-4</v>
      </c>
      <c r="AC9533">
        <v>8</v>
      </c>
      <c r="AD9533" s="5">
        <v>5.0902832115993677</v>
      </c>
      <c r="AE9533" s="5">
        <v>2.1516847308052656</v>
      </c>
      <c r="AF9533">
        <v>1</v>
      </c>
    </row>
    <row r="9534" spans="27:32" x14ac:dyDescent="0.3">
      <c r="AA9534" s="3">
        <v>29161.97</v>
      </c>
      <c r="AB9534">
        <v>1E-4</v>
      </c>
      <c r="AC9534">
        <v>8</v>
      </c>
      <c r="AD9534" s="5">
        <v>5.1147805903488992</v>
      </c>
      <c r="AE9534" s="5">
        <v>2.1759654587713455</v>
      </c>
      <c r="AF9534">
        <v>1</v>
      </c>
    </row>
    <row r="9535" spans="27:32" x14ac:dyDescent="0.3">
      <c r="AA9535" s="3">
        <v>20724.73</v>
      </c>
      <c r="AB9535">
        <v>1E-4</v>
      </c>
      <c r="AC9535">
        <v>8</v>
      </c>
      <c r="AD9535" s="5">
        <v>5.0235039736146438</v>
      </c>
      <c r="AE9535" s="5">
        <v>2.1772377861428889</v>
      </c>
      <c r="AF9535">
        <v>1</v>
      </c>
    </row>
    <row r="9536" spans="27:32" x14ac:dyDescent="0.3">
      <c r="AA9536" s="3">
        <v>38857.19</v>
      </c>
      <c r="AB9536">
        <v>1E-4</v>
      </c>
      <c r="AC9536">
        <v>7</v>
      </c>
      <c r="AD9536" s="5">
        <v>5.0628170062328683</v>
      </c>
      <c r="AE9536" s="5">
        <v>2.1927697071814127</v>
      </c>
      <c r="AF9536">
        <v>1</v>
      </c>
    </row>
    <row r="9537" spans="27:32" x14ac:dyDescent="0.3">
      <c r="AA9537" s="3">
        <v>390.43</v>
      </c>
      <c r="AB9537">
        <v>1E-4</v>
      </c>
      <c r="AC9537">
        <v>8</v>
      </c>
      <c r="AD9537" s="5">
        <v>4.7679563148338113</v>
      </c>
      <c r="AE9537" s="5">
        <v>2.2247259230181262</v>
      </c>
      <c r="AF9537">
        <v>1</v>
      </c>
    </row>
    <row r="9538" spans="27:32" x14ac:dyDescent="0.3">
      <c r="AA9538" s="3">
        <v>29458.400000000001</v>
      </c>
      <c r="AB9538">
        <v>1E-4</v>
      </c>
      <c r="AC9538">
        <v>8</v>
      </c>
      <c r="AD9538" s="5">
        <v>4.9856848863177765</v>
      </c>
      <c r="AE9538" s="5">
        <v>2.1610876540382087</v>
      </c>
      <c r="AF9538">
        <v>1</v>
      </c>
    </row>
    <row r="9539" spans="27:32" x14ac:dyDescent="0.3">
      <c r="AA9539" s="3">
        <v>13529.61</v>
      </c>
      <c r="AB9539">
        <v>1E-4</v>
      </c>
      <c r="AC9539">
        <v>8</v>
      </c>
      <c r="AD9539" s="5">
        <v>4.8919835575917743</v>
      </c>
      <c r="AE9539" s="5">
        <v>2.1473374841647663</v>
      </c>
      <c r="AF9539">
        <v>1</v>
      </c>
    </row>
    <row r="9540" spans="27:32" x14ac:dyDescent="0.3">
      <c r="AA9540" s="3">
        <v>16037.83</v>
      </c>
      <c r="AB9540">
        <v>1E-4</v>
      </c>
      <c r="AC9540">
        <v>8</v>
      </c>
      <c r="AD9540" s="5">
        <v>4.9321115366163948</v>
      </c>
      <c r="AE9540" s="5">
        <v>2.1410088060940216</v>
      </c>
      <c r="AF9540">
        <v>1</v>
      </c>
    </row>
    <row r="9541" spans="27:32" x14ac:dyDescent="0.3">
      <c r="AA9541" s="3">
        <v>30582.9</v>
      </c>
      <c r="AB9541">
        <v>1E-4</v>
      </c>
      <c r="AC9541">
        <v>8</v>
      </c>
      <c r="AD9541" s="5">
        <v>5.179072446311018</v>
      </c>
      <c r="AE9541" s="5">
        <v>2.146695017558887</v>
      </c>
      <c r="AF9541">
        <v>1</v>
      </c>
    </row>
    <row r="9542" spans="27:32" x14ac:dyDescent="0.3">
      <c r="AA9542" s="3">
        <v>24068.05</v>
      </c>
      <c r="AB9542">
        <v>1E-4</v>
      </c>
      <c r="AC9542">
        <v>8</v>
      </c>
      <c r="AD9542" s="5">
        <v>4.9525704418282883</v>
      </c>
      <c r="AE9542" s="5">
        <v>2.204355242321693</v>
      </c>
      <c r="AF9542">
        <v>1</v>
      </c>
    </row>
    <row r="9543" spans="27:32" x14ac:dyDescent="0.3">
      <c r="AA9543" s="3">
        <v>28479.439999999999</v>
      </c>
      <c r="AB9543">
        <v>1E-4</v>
      </c>
      <c r="AC9543">
        <v>7</v>
      </c>
      <c r="AD9543" s="5">
        <v>4.9865216587476224</v>
      </c>
      <c r="AE9543" s="5">
        <v>2.2990455258123221</v>
      </c>
      <c r="AF9543">
        <v>1</v>
      </c>
    </row>
    <row r="9544" spans="27:32" x14ac:dyDescent="0.3">
      <c r="AA9544" s="3">
        <v>15458.72</v>
      </c>
      <c r="AB9544">
        <v>1E-4</v>
      </c>
      <c r="AC9544">
        <v>8</v>
      </c>
      <c r="AD9544" s="5">
        <v>4.8726041120819845</v>
      </c>
      <c r="AE9544" s="5">
        <v>2.1899110156932573</v>
      </c>
      <c r="AF9544">
        <v>1</v>
      </c>
    </row>
    <row r="9545" spans="27:32" x14ac:dyDescent="0.3">
      <c r="AA9545" s="3">
        <v>20544.830000000002</v>
      </c>
      <c r="AB9545">
        <v>1E-4</v>
      </c>
      <c r="AC9545">
        <v>8</v>
      </c>
      <c r="AD9545" s="5">
        <v>4.9934053403457543</v>
      </c>
      <c r="AE9545" s="5">
        <v>2.2448789315762951</v>
      </c>
      <c r="AF9545">
        <v>1</v>
      </c>
    </row>
    <row r="9546" spans="27:32" x14ac:dyDescent="0.3">
      <c r="AA9546" s="3">
        <v>-13054.38</v>
      </c>
      <c r="AB9546">
        <v>1E-4</v>
      </c>
      <c r="AC9546">
        <v>9</v>
      </c>
      <c r="AD9546" s="5">
        <v>5.0434441967411496</v>
      </c>
      <c r="AE9546" s="5">
        <v>2.1791605836333812</v>
      </c>
      <c r="AF9546">
        <v>1</v>
      </c>
    </row>
    <row r="9547" spans="27:32" x14ac:dyDescent="0.3">
      <c r="AA9547" s="3">
        <v>-23409.599999999999</v>
      </c>
      <c r="AB9547">
        <v>1E-4</v>
      </c>
      <c r="AC9547">
        <v>9</v>
      </c>
      <c r="AD9547" s="5">
        <v>5.0653234347438696</v>
      </c>
      <c r="AE9547" s="5">
        <v>2.2088395213816354</v>
      </c>
      <c r="AF9547">
        <v>1</v>
      </c>
    </row>
    <row r="9548" spans="27:32" x14ac:dyDescent="0.3">
      <c r="AA9548" s="3">
        <v>-17363.419999999998</v>
      </c>
      <c r="AB9548">
        <v>1E-4</v>
      </c>
      <c r="AC9548">
        <v>9</v>
      </c>
      <c r="AD9548" s="5">
        <v>4.9689455387180379</v>
      </c>
      <c r="AE9548" s="5">
        <v>2.2267964588911089</v>
      </c>
      <c r="AF9548">
        <v>1</v>
      </c>
    </row>
    <row r="9549" spans="27:32" x14ac:dyDescent="0.3">
      <c r="AA9549" s="3">
        <v>-12966.46</v>
      </c>
      <c r="AB9549">
        <v>1E-4</v>
      </c>
      <c r="AC9549">
        <v>9</v>
      </c>
      <c r="AD9549" s="5">
        <v>5.0573539765934719</v>
      </c>
      <c r="AE9549" s="5">
        <v>2.2757483199291575</v>
      </c>
      <c r="AF9549">
        <v>1</v>
      </c>
    </row>
    <row r="9550" spans="27:32" x14ac:dyDescent="0.3">
      <c r="AA9550" s="3">
        <v>36652.980000000003</v>
      </c>
      <c r="AB9550">
        <v>1E-4</v>
      </c>
      <c r="AC9550">
        <v>7</v>
      </c>
      <c r="AD9550" s="5">
        <v>5.0382600236467061</v>
      </c>
      <c r="AE9550" s="5">
        <v>2.1746719325616635</v>
      </c>
      <c r="AF9550">
        <v>1</v>
      </c>
    </row>
    <row r="9551" spans="27:32" x14ac:dyDescent="0.3">
      <c r="AA9551" s="3">
        <v>-21737.744583229287</v>
      </c>
      <c r="AB9551">
        <v>1E-4</v>
      </c>
      <c r="AC9551">
        <v>9</v>
      </c>
      <c r="AD9551" s="5">
        <v>5.0844733021860842</v>
      </c>
      <c r="AE9551" s="5">
        <v>2.2685271123444042</v>
      </c>
      <c r="AF9551">
        <v>0</v>
      </c>
    </row>
    <row r="9552" spans="27:32" x14ac:dyDescent="0.3">
      <c r="AA9552" s="3">
        <v>32034.5</v>
      </c>
      <c r="AB9552">
        <v>1E-4</v>
      </c>
      <c r="AC9552">
        <v>7</v>
      </c>
      <c r="AD9552" s="5">
        <v>4.8831115826692129</v>
      </c>
      <c r="AE9552" s="5">
        <v>2.1533866947089297</v>
      </c>
      <c r="AF9552">
        <v>1</v>
      </c>
    </row>
    <row r="9553" spans="27:32" x14ac:dyDescent="0.3">
      <c r="AA9553" s="3">
        <v>27085.21</v>
      </c>
      <c r="AB9553">
        <v>1E-4</v>
      </c>
      <c r="AC9553">
        <v>8</v>
      </c>
      <c r="AD9553" s="5">
        <v>5.0303853646712406</v>
      </c>
      <c r="AE9553" s="5">
        <v>2.1779983555595854</v>
      </c>
      <c r="AF9553">
        <v>1</v>
      </c>
    </row>
    <row r="9554" spans="27:32" x14ac:dyDescent="0.3">
      <c r="AA9554" s="3">
        <v>8978.39</v>
      </c>
      <c r="AB9554">
        <v>1E-4</v>
      </c>
      <c r="AC9554">
        <v>8</v>
      </c>
      <c r="AD9554" s="5">
        <v>5.1297216580426932</v>
      </c>
      <c r="AE9554" s="5">
        <v>2.197966502349606</v>
      </c>
      <c r="AF9554">
        <v>1</v>
      </c>
    </row>
    <row r="9555" spans="27:32" x14ac:dyDescent="0.3">
      <c r="AA9555" s="3">
        <v>14976.17</v>
      </c>
      <c r="AB9555">
        <v>1E-4</v>
      </c>
      <c r="AC9555">
        <v>8</v>
      </c>
      <c r="AD9555" s="5">
        <v>4.953207974046502</v>
      </c>
      <c r="AE9555" s="5">
        <v>2.1293022949192002</v>
      </c>
      <c r="AF9555">
        <v>1</v>
      </c>
    </row>
    <row r="9556" spans="27:32" x14ac:dyDescent="0.3">
      <c r="AA9556" s="3">
        <v>17542.97</v>
      </c>
      <c r="AB9556">
        <v>1E-4</v>
      </c>
      <c r="AC9556">
        <v>8</v>
      </c>
      <c r="AD9556" s="5">
        <v>5.0415013466031224</v>
      </c>
      <c r="AE9556" s="5">
        <v>2.1178617682926251</v>
      </c>
      <c r="AF9556">
        <v>1</v>
      </c>
    </row>
    <row r="9557" spans="27:32" x14ac:dyDescent="0.3">
      <c r="AA9557" s="3">
        <v>-13369.33</v>
      </c>
      <c r="AB9557">
        <v>1E-4</v>
      </c>
      <c r="AC9557">
        <v>9</v>
      </c>
      <c r="AD9557" s="5">
        <v>4.8645968695253998</v>
      </c>
      <c r="AE9557" s="5">
        <v>2.2290810880726699</v>
      </c>
      <c r="AF9557">
        <v>1</v>
      </c>
    </row>
    <row r="9558" spans="27:32" x14ac:dyDescent="0.3">
      <c r="AA9558" s="3">
        <v>5331.38</v>
      </c>
      <c r="AB9558">
        <v>1E-4</v>
      </c>
      <c r="AC9558">
        <v>8</v>
      </c>
      <c r="AD9558" s="5">
        <v>4.9347353484455079</v>
      </c>
      <c r="AE9558" s="5">
        <v>2.2359524391864669</v>
      </c>
      <c r="AF9558">
        <v>1</v>
      </c>
    </row>
    <row r="9559" spans="27:32" x14ac:dyDescent="0.3">
      <c r="AA9559" s="3">
        <v>13826.47</v>
      </c>
      <c r="AB9559">
        <v>1E-4</v>
      </c>
      <c r="AC9559">
        <v>8</v>
      </c>
      <c r="AD9559" s="5">
        <v>4.9555973125293322</v>
      </c>
      <c r="AE9559" s="5">
        <v>2.1657253829930134</v>
      </c>
      <c r="AF9559">
        <v>1</v>
      </c>
    </row>
    <row r="9560" spans="27:32" x14ac:dyDescent="0.3">
      <c r="AA9560" s="3">
        <v>5140.26</v>
      </c>
      <c r="AB9560">
        <v>1E-4</v>
      </c>
      <c r="AC9560">
        <v>8</v>
      </c>
      <c r="AD9560" s="5">
        <v>5.0798903433163538</v>
      </c>
      <c r="AE9560" s="5">
        <v>2.1951858897113077</v>
      </c>
      <c r="AF9560">
        <v>1</v>
      </c>
    </row>
    <row r="9561" spans="27:32" x14ac:dyDescent="0.3">
      <c r="AA9561" s="3">
        <v>467.68</v>
      </c>
      <c r="AB9561">
        <v>1E-4</v>
      </c>
      <c r="AC9561">
        <v>8</v>
      </c>
      <c r="AD9561" s="5">
        <v>4.9690296726774363</v>
      </c>
      <c r="AE9561" s="5">
        <v>2.2639414065980241</v>
      </c>
      <c r="AF9561">
        <v>1</v>
      </c>
    </row>
    <row r="9562" spans="27:32" x14ac:dyDescent="0.3">
      <c r="AA9562" s="3">
        <v>15092</v>
      </c>
      <c r="AB9562">
        <v>1E-4</v>
      </c>
      <c r="AC9562">
        <v>8</v>
      </c>
      <c r="AD9562" s="5">
        <v>5.0089553848670061</v>
      </c>
      <c r="AE9562" s="5">
        <v>2.2598132084672198</v>
      </c>
      <c r="AF9562">
        <v>1</v>
      </c>
    </row>
    <row r="9563" spans="27:32" x14ac:dyDescent="0.3">
      <c r="AA9563" s="3">
        <v>-23087.33</v>
      </c>
      <c r="AB9563">
        <v>1E-4</v>
      </c>
      <c r="AC9563">
        <v>9</v>
      </c>
      <c r="AD9563" s="5">
        <v>4.9656096443306739</v>
      </c>
      <c r="AE9563" s="5">
        <v>2.3012834459504896</v>
      </c>
      <c r="AF9563">
        <v>1</v>
      </c>
    </row>
    <row r="9564" spans="27:32" x14ac:dyDescent="0.3">
      <c r="AA9564" s="3">
        <v>18006.48</v>
      </c>
      <c r="AB9564">
        <v>1E-4</v>
      </c>
      <c r="AC9564">
        <v>8</v>
      </c>
      <c r="AD9564" s="5">
        <v>5.0975956974755201</v>
      </c>
      <c r="AE9564" s="5">
        <v>2.2014792660332492</v>
      </c>
      <c r="AF9564">
        <v>1</v>
      </c>
    </row>
    <row r="9565" spans="27:32" x14ac:dyDescent="0.3">
      <c r="AA9565" s="3">
        <v>3247.55</v>
      </c>
      <c r="AB9565">
        <v>1E-4</v>
      </c>
      <c r="AC9565">
        <v>8</v>
      </c>
      <c r="AD9565" s="5">
        <v>4.8359589746880127</v>
      </c>
      <c r="AE9565" s="5">
        <v>2.260211302217662</v>
      </c>
      <c r="AF9565">
        <v>1</v>
      </c>
    </row>
    <row r="9566" spans="27:32" x14ac:dyDescent="0.3">
      <c r="AA9566" s="3">
        <v>20119.07</v>
      </c>
      <c r="AB9566">
        <v>1E-4</v>
      </c>
      <c r="AC9566">
        <v>8</v>
      </c>
      <c r="AD9566" s="5">
        <v>5.119905284516574</v>
      </c>
      <c r="AE9566" s="5">
        <v>2.2176821255545338</v>
      </c>
      <c r="AF9566">
        <v>1</v>
      </c>
    </row>
    <row r="9567" spans="27:32" x14ac:dyDescent="0.3">
      <c r="AA9567" s="3">
        <v>2116.7800000000002</v>
      </c>
      <c r="AB9567">
        <v>1E-4</v>
      </c>
      <c r="AC9567">
        <v>8</v>
      </c>
      <c r="AD9567" s="5">
        <v>5.0744039106542083</v>
      </c>
      <c r="AE9567" s="5">
        <v>2.2088828151838267</v>
      </c>
      <c r="AF9567">
        <v>1</v>
      </c>
    </row>
    <row r="9568" spans="27:32" x14ac:dyDescent="0.3">
      <c r="AA9568" s="3">
        <v>10589.01</v>
      </c>
      <c r="AB9568">
        <v>1E-4</v>
      </c>
      <c r="AC9568">
        <v>8</v>
      </c>
      <c r="AD9568" s="5">
        <v>4.9614060442331747</v>
      </c>
      <c r="AE9568" s="5">
        <v>2.1875656554648888</v>
      </c>
      <c r="AF9568">
        <v>1</v>
      </c>
    </row>
    <row r="9569" spans="27:32" x14ac:dyDescent="0.3">
      <c r="AA9569" s="3">
        <v>9575</v>
      </c>
      <c r="AB9569">
        <v>1E-4</v>
      </c>
      <c r="AC9569">
        <v>8</v>
      </c>
      <c r="AD9569" s="5">
        <v>4.8835076746710797</v>
      </c>
      <c r="AE9569" s="5">
        <v>2.1882756075672458</v>
      </c>
      <c r="AF9569">
        <v>1</v>
      </c>
    </row>
    <row r="9570" spans="27:32" x14ac:dyDescent="0.3">
      <c r="AA9570" s="3">
        <v>-1512.26</v>
      </c>
      <c r="AB9570">
        <v>1E-4</v>
      </c>
      <c r="AC9570">
        <v>9</v>
      </c>
      <c r="AD9570" s="5">
        <v>5.1085147432597875</v>
      </c>
      <c r="AE9570" s="5">
        <v>2.227417734626473</v>
      </c>
      <c r="AF9570">
        <v>1</v>
      </c>
    </row>
    <row r="9571" spans="27:32" x14ac:dyDescent="0.3">
      <c r="AA9571" s="3">
        <v>29204.27</v>
      </c>
      <c r="AB9571">
        <v>1E-4</v>
      </c>
      <c r="AC9571">
        <v>8</v>
      </c>
      <c r="AD9571" s="5">
        <v>5.0313738875750111</v>
      </c>
      <c r="AE9571" s="5">
        <v>2.2082032496308903</v>
      </c>
      <c r="AF9571">
        <v>1</v>
      </c>
    </row>
    <row r="9572" spans="27:32" x14ac:dyDescent="0.3">
      <c r="AA9572" s="3">
        <v>19704.689999999999</v>
      </c>
      <c r="AB9572">
        <v>1E-4</v>
      </c>
      <c r="AC9572">
        <v>8</v>
      </c>
      <c r="AD9572" s="5">
        <v>5.0464643614792246</v>
      </c>
      <c r="AE9572" s="5">
        <v>2.2009419463874904</v>
      </c>
      <c r="AF9572">
        <v>1</v>
      </c>
    </row>
    <row r="9573" spans="27:32" x14ac:dyDescent="0.3">
      <c r="AA9573" s="3">
        <v>19397.669999999998</v>
      </c>
      <c r="AB9573">
        <v>1E-4</v>
      </c>
      <c r="AC9573">
        <v>8</v>
      </c>
      <c r="AD9573" s="5">
        <v>5.1070607055223158</v>
      </c>
      <c r="AE9573" s="5">
        <v>2.2481821816824508</v>
      </c>
      <c r="AF9573">
        <v>1</v>
      </c>
    </row>
    <row r="9574" spans="27:32" x14ac:dyDescent="0.3">
      <c r="AA9574" s="3">
        <v>11514.04</v>
      </c>
      <c r="AB9574">
        <v>1E-4</v>
      </c>
      <c r="AC9574">
        <v>8</v>
      </c>
      <c r="AD9574" s="5">
        <v>5.0926584674601729</v>
      </c>
      <c r="AE9574" s="5">
        <v>2.2603472279676478</v>
      </c>
      <c r="AF9574">
        <v>1</v>
      </c>
    </row>
    <row r="9575" spans="27:32" x14ac:dyDescent="0.3">
      <c r="AA9575" s="3">
        <v>28520.12</v>
      </c>
      <c r="AB9575">
        <v>1E-4</v>
      </c>
      <c r="AC9575">
        <v>7</v>
      </c>
      <c r="AD9575" s="5">
        <v>4.9506875697410067</v>
      </c>
      <c r="AE9575" s="5">
        <v>2.1900904471275946</v>
      </c>
      <c r="AF9575">
        <v>1</v>
      </c>
    </row>
    <row r="9576" spans="27:32" x14ac:dyDescent="0.3">
      <c r="AA9576" s="3">
        <v>30322.61</v>
      </c>
      <c r="AB9576">
        <v>1E-4</v>
      </c>
      <c r="AC9576">
        <v>7</v>
      </c>
      <c r="AD9576" s="5">
        <v>5.1012054615895366</v>
      </c>
      <c r="AE9576" s="5">
        <v>2.2060494164472235</v>
      </c>
      <c r="AF9576">
        <v>1</v>
      </c>
    </row>
    <row r="9577" spans="27:32" x14ac:dyDescent="0.3">
      <c r="AA9577" s="3">
        <v>18477.25</v>
      </c>
      <c r="AB9577">
        <v>1E-4</v>
      </c>
      <c r="AC9577">
        <v>8</v>
      </c>
      <c r="AD9577" s="5">
        <v>5.0883227519960776</v>
      </c>
      <c r="AE9577" s="5">
        <v>2.1521371238357658</v>
      </c>
      <c r="AF9577">
        <v>1</v>
      </c>
    </row>
    <row r="9578" spans="27:32" x14ac:dyDescent="0.3">
      <c r="AA9578" s="3">
        <v>12732.34</v>
      </c>
      <c r="AB9578">
        <v>1E-4</v>
      </c>
      <c r="AC9578">
        <v>8</v>
      </c>
      <c r="AD9578" s="5">
        <v>5.0523453650381578</v>
      </c>
      <c r="AE9578" s="5">
        <v>2.1775558209254942</v>
      </c>
      <c r="AF9578">
        <v>1</v>
      </c>
    </row>
    <row r="9579" spans="27:32" x14ac:dyDescent="0.3">
      <c r="AA9579" s="3">
        <v>-16526.439999999999</v>
      </c>
      <c r="AB9579">
        <v>1E-4</v>
      </c>
      <c r="AC9579">
        <v>9</v>
      </c>
      <c r="AD9579" s="5">
        <v>4.8517491347404702</v>
      </c>
      <c r="AE9579" s="5">
        <v>2.2103305302258662</v>
      </c>
      <c r="AF9579">
        <v>1</v>
      </c>
    </row>
    <row r="9580" spans="27:32" x14ac:dyDescent="0.3">
      <c r="AA9580" s="3">
        <v>-6967.12</v>
      </c>
      <c r="AB9580">
        <v>1E-4</v>
      </c>
      <c r="AC9580">
        <v>9</v>
      </c>
      <c r="AD9580" s="5">
        <v>5.0816587478306312</v>
      </c>
      <c r="AE9580" s="5">
        <v>2.2345787770946446</v>
      </c>
      <c r="AF9580">
        <v>1</v>
      </c>
    </row>
    <row r="9581" spans="27:32" x14ac:dyDescent="0.3">
      <c r="AA9581" s="3">
        <v>22902.58</v>
      </c>
      <c r="AB9581">
        <v>1E-4</v>
      </c>
      <c r="AC9581">
        <v>8</v>
      </c>
      <c r="AD9581" s="5">
        <v>5.0152888514495615</v>
      </c>
      <c r="AE9581" s="5">
        <v>2.0847334355606026</v>
      </c>
      <c r="AF9581">
        <v>1</v>
      </c>
    </row>
    <row r="9582" spans="27:32" x14ac:dyDescent="0.3">
      <c r="AA9582" s="3">
        <v>36366.99</v>
      </c>
      <c r="AB9582">
        <v>1E-4</v>
      </c>
      <c r="AC9582">
        <v>7</v>
      </c>
      <c r="AD9582" s="5">
        <v>5.2366269209255378</v>
      </c>
      <c r="AE9582" s="5">
        <v>2.1852695356110727</v>
      </c>
      <c r="AF9582">
        <v>1</v>
      </c>
    </row>
    <row r="9583" spans="27:32" x14ac:dyDescent="0.3">
      <c r="AA9583" s="3">
        <v>-13024.99</v>
      </c>
      <c r="AB9583">
        <v>1E-4</v>
      </c>
      <c r="AC9583">
        <v>9</v>
      </c>
      <c r="AD9583" s="5">
        <v>4.9639504706266884</v>
      </c>
      <c r="AE9583" s="5">
        <v>2.2533008162411501</v>
      </c>
      <c r="AF9583">
        <v>1</v>
      </c>
    </row>
    <row r="9584" spans="27:32" x14ac:dyDescent="0.3">
      <c r="AA9584" s="3">
        <v>18313.86</v>
      </c>
      <c r="AB9584">
        <v>1E-4</v>
      </c>
      <c r="AC9584">
        <v>8</v>
      </c>
      <c r="AD9584" s="5">
        <v>5.180874096248254</v>
      </c>
      <c r="AE9584" s="5">
        <v>2.209611744599806</v>
      </c>
      <c r="AF9584">
        <v>1</v>
      </c>
    </row>
    <row r="9585" spans="27:32" x14ac:dyDescent="0.3">
      <c r="AA9585" s="3">
        <v>8819.99</v>
      </c>
      <c r="AB9585">
        <v>1E-4</v>
      </c>
      <c r="AC9585">
        <v>8</v>
      </c>
      <c r="AD9585" s="5">
        <v>4.8976894251663063</v>
      </c>
      <c r="AE9585" s="5">
        <v>2.1475590129951065</v>
      </c>
      <c r="AF9585">
        <v>1</v>
      </c>
    </row>
    <row r="9586" spans="27:32" x14ac:dyDescent="0.3">
      <c r="AA9586" s="3">
        <v>-13424.54</v>
      </c>
      <c r="AB9586">
        <v>1E-4</v>
      </c>
      <c r="AC9586">
        <v>9</v>
      </c>
      <c r="AD9586" s="5">
        <v>4.902058425516568</v>
      </c>
      <c r="AE9586" s="5">
        <v>2.2120796294539589</v>
      </c>
      <c r="AF9586">
        <v>1</v>
      </c>
    </row>
    <row r="9587" spans="27:32" x14ac:dyDescent="0.3">
      <c r="AA9587" s="3">
        <v>7469.2</v>
      </c>
      <c r="AB9587">
        <v>1E-4</v>
      </c>
      <c r="AC9587">
        <v>8</v>
      </c>
      <c r="AD9587" s="5">
        <v>4.930978633243571</v>
      </c>
      <c r="AE9587" s="5">
        <v>2.310955100977691</v>
      </c>
      <c r="AF9587">
        <v>1</v>
      </c>
    </row>
    <row r="9588" spans="27:32" x14ac:dyDescent="0.3">
      <c r="AA9588" s="3">
        <v>3144.7</v>
      </c>
      <c r="AB9588">
        <v>1E-4</v>
      </c>
      <c r="AC9588">
        <v>8</v>
      </c>
      <c r="AD9588" s="5">
        <v>4.8852550750832107</v>
      </c>
      <c r="AE9588" s="5">
        <v>2.1487733351121641</v>
      </c>
      <c r="AF9588">
        <v>1</v>
      </c>
    </row>
    <row r="9589" spans="27:32" x14ac:dyDescent="0.3">
      <c r="AA9589" s="3">
        <v>31829</v>
      </c>
      <c r="AB9589">
        <v>1E-4</v>
      </c>
      <c r="AC9589">
        <v>7</v>
      </c>
      <c r="AD9589" s="5">
        <v>5.1949592517035148</v>
      </c>
      <c r="AE9589" s="5">
        <v>2.1300357411875215</v>
      </c>
      <c r="AF9589">
        <v>1</v>
      </c>
    </row>
    <row r="9590" spans="27:32" x14ac:dyDescent="0.3">
      <c r="AA9590" s="3">
        <v>45604.93</v>
      </c>
      <c r="AB9590">
        <v>1E-4</v>
      </c>
      <c r="AC9590">
        <v>7</v>
      </c>
      <c r="AD9590" s="5">
        <v>5.2093112361954823</v>
      </c>
      <c r="AE9590" s="5">
        <v>2.1919077486038696</v>
      </c>
      <c r="AF9590">
        <v>1</v>
      </c>
    </row>
    <row r="9591" spans="27:32" x14ac:dyDescent="0.3">
      <c r="AA9591" s="3">
        <v>23417.7</v>
      </c>
      <c r="AB9591">
        <v>1E-4</v>
      </c>
      <c r="AC9591">
        <v>8</v>
      </c>
      <c r="AD9591" s="5">
        <v>5.0793954050017964</v>
      </c>
      <c r="AE9591" s="5">
        <v>2.1252232186609441</v>
      </c>
      <c r="AF9591">
        <v>1</v>
      </c>
    </row>
    <row r="9592" spans="27:32" x14ac:dyDescent="0.3">
      <c r="AA9592" s="3">
        <v>14755.84</v>
      </c>
      <c r="AB9592">
        <v>1E-4</v>
      </c>
      <c r="AC9592">
        <v>8</v>
      </c>
      <c r="AD9592" s="5">
        <v>5.0448190223303593</v>
      </c>
      <c r="AE9592" s="5">
        <v>2.2280356627493738</v>
      </c>
      <c r="AF9592">
        <v>1</v>
      </c>
    </row>
    <row r="9593" spans="27:32" x14ac:dyDescent="0.3">
      <c r="AA9593" s="3">
        <v>9274.49</v>
      </c>
      <c r="AB9593">
        <v>1E-4</v>
      </c>
      <c r="AC9593">
        <v>8</v>
      </c>
      <c r="AD9593" s="5">
        <v>4.947285759322221</v>
      </c>
      <c r="AE9593" s="5">
        <v>2.2408586912681367</v>
      </c>
      <c r="AF9593">
        <v>1</v>
      </c>
    </row>
    <row r="9594" spans="27:32" x14ac:dyDescent="0.3">
      <c r="AA9594" s="3">
        <v>16231.95</v>
      </c>
      <c r="AB9594">
        <v>1E-4</v>
      </c>
      <c r="AC9594">
        <v>8</v>
      </c>
      <c r="AD9594" s="5">
        <v>5.0809312821030792</v>
      </c>
      <c r="AE9594" s="5">
        <v>2.2361977751693902</v>
      </c>
      <c r="AF9594">
        <v>1</v>
      </c>
    </row>
    <row r="9595" spans="27:32" x14ac:dyDescent="0.3">
      <c r="AA9595" s="3">
        <v>5824.95</v>
      </c>
      <c r="AB9595">
        <v>1E-4</v>
      </c>
      <c r="AC9595">
        <v>8</v>
      </c>
      <c r="AD9595" s="5">
        <v>4.9183433561632777</v>
      </c>
      <c r="AE9595" s="5">
        <v>2.1906277005721084</v>
      </c>
      <c r="AF9595">
        <v>1</v>
      </c>
    </row>
    <row r="9596" spans="27:32" x14ac:dyDescent="0.3">
      <c r="AA9596" s="3">
        <v>22576.34</v>
      </c>
      <c r="AB9596">
        <v>1E-4</v>
      </c>
      <c r="AC9596">
        <v>8</v>
      </c>
      <c r="AD9596" s="5">
        <v>4.9417498323328797</v>
      </c>
      <c r="AE9596" s="5">
        <v>2.1661702484227061</v>
      </c>
      <c r="AF9596">
        <v>1</v>
      </c>
    </row>
    <row r="9597" spans="27:32" x14ac:dyDescent="0.3">
      <c r="AA9597" s="3">
        <v>35130.81</v>
      </c>
      <c r="AB9597">
        <v>1E-4</v>
      </c>
      <c r="AC9597">
        <v>7</v>
      </c>
      <c r="AD9597" s="5">
        <v>4.9782743974841761</v>
      </c>
      <c r="AE9597" s="5">
        <v>2.0889934455555883</v>
      </c>
      <c r="AF9597">
        <v>1</v>
      </c>
    </row>
    <row r="9598" spans="27:32" x14ac:dyDescent="0.3">
      <c r="AA9598" s="3">
        <v>34930.050000000003</v>
      </c>
      <c r="AB9598">
        <v>1E-4</v>
      </c>
      <c r="AC9598">
        <v>7</v>
      </c>
      <c r="AD9598" s="5">
        <v>5.0213343863433977</v>
      </c>
      <c r="AE9598" s="5">
        <v>2.2244246112464068</v>
      </c>
      <c r="AF9598">
        <v>1</v>
      </c>
    </row>
    <row r="9599" spans="27:32" x14ac:dyDescent="0.3">
      <c r="AA9599" s="3">
        <v>26400.83</v>
      </c>
      <c r="AB9599">
        <v>1E-4</v>
      </c>
      <c r="AC9599">
        <v>8</v>
      </c>
      <c r="AD9599" s="5">
        <v>4.9981071450390209</v>
      </c>
      <c r="AE9599" s="5">
        <v>2.1676777961503091</v>
      </c>
      <c r="AF9599">
        <v>1</v>
      </c>
    </row>
    <row r="9600" spans="27:32" x14ac:dyDescent="0.3">
      <c r="AA9600" s="3">
        <v>7281.35</v>
      </c>
      <c r="AB9600">
        <v>1E-4</v>
      </c>
      <c r="AC9600">
        <v>8</v>
      </c>
      <c r="AD9600" s="5">
        <v>5.0952952138007577</v>
      </c>
      <c r="AE9600" s="5">
        <v>2.2099833226819801</v>
      </c>
      <c r="AF9600">
        <v>1</v>
      </c>
    </row>
    <row r="9601" spans="27:32" x14ac:dyDescent="0.3">
      <c r="AA9601" s="3">
        <v>-4661.87</v>
      </c>
      <c r="AB9601">
        <v>1E-4</v>
      </c>
      <c r="AC9601">
        <v>9</v>
      </c>
      <c r="AD9601" s="5">
        <v>4.9222656245531509</v>
      </c>
      <c r="AE9601" s="5">
        <v>2.3201023673721362</v>
      </c>
      <c r="AF9601">
        <v>1</v>
      </c>
    </row>
    <row r="9602" spans="27:32" x14ac:dyDescent="0.3">
      <c r="AA9602" s="3">
        <v>2902.67</v>
      </c>
      <c r="AB9602">
        <v>1E-4</v>
      </c>
      <c r="AC9602">
        <v>8</v>
      </c>
      <c r="AD9602" s="5">
        <v>5.0756783576006237</v>
      </c>
      <c r="AE9602" s="5">
        <v>2.160586919210564</v>
      </c>
      <c r="AF9602">
        <v>1</v>
      </c>
    </row>
    <row r="9603" spans="27:32" x14ac:dyDescent="0.3">
      <c r="AA9603" s="3">
        <v>22054.26</v>
      </c>
      <c r="AB9603">
        <v>1E-4</v>
      </c>
      <c r="AC9603">
        <v>8</v>
      </c>
      <c r="AD9603" s="5">
        <v>5.0795287519481382</v>
      </c>
      <c r="AE9603" s="5">
        <v>2.197856090187964</v>
      </c>
      <c r="AF9603">
        <v>1</v>
      </c>
    </row>
    <row r="9604" spans="27:32" x14ac:dyDescent="0.3">
      <c r="AA9604" s="3">
        <v>32544.79</v>
      </c>
      <c r="AB9604">
        <v>1E-4</v>
      </c>
      <c r="AC9604">
        <v>7</v>
      </c>
      <c r="AD9604" s="5">
        <v>5.2170658961368295</v>
      </c>
      <c r="AE9604" s="5">
        <v>2.2713668545208781</v>
      </c>
      <c r="AF9604">
        <v>1</v>
      </c>
    </row>
    <row r="9605" spans="27:32" x14ac:dyDescent="0.3">
      <c r="AA9605" s="3">
        <v>17736.64</v>
      </c>
      <c r="AB9605">
        <v>1E-4</v>
      </c>
      <c r="AC9605">
        <v>8</v>
      </c>
      <c r="AD9605" s="5">
        <v>4.8724624968124735</v>
      </c>
      <c r="AE9605" s="5">
        <v>2.1722312350324082</v>
      </c>
      <c r="AF9605">
        <v>1</v>
      </c>
    </row>
    <row r="9606" spans="27:32" x14ac:dyDescent="0.3">
      <c r="AA9606" s="3">
        <v>2936.71</v>
      </c>
      <c r="AB9606">
        <v>1E-4</v>
      </c>
      <c r="AC9606">
        <v>8</v>
      </c>
      <c r="AD9606" s="5">
        <v>5.0470243950000029</v>
      </c>
      <c r="AE9606" s="5">
        <v>2.1900812233058531</v>
      </c>
      <c r="AF9606">
        <v>1</v>
      </c>
    </row>
    <row r="9607" spans="27:32" x14ac:dyDescent="0.3">
      <c r="AA9607" s="3">
        <v>11884.23</v>
      </c>
      <c r="AB9607">
        <v>1E-4</v>
      </c>
      <c r="AC9607">
        <v>8</v>
      </c>
      <c r="AD9607" s="5">
        <v>5.0296853464885825</v>
      </c>
      <c r="AE9607" s="5">
        <v>2.1422039996103339</v>
      </c>
      <c r="AF9607">
        <v>1</v>
      </c>
    </row>
    <row r="9608" spans="27:32" x14ac:dyDescent="0.3">
      <c r="AA9608" s="3">
        <v>-4696.8</v>
      </c>
      <c r="AB9608">
        <v>1E-4</v>
      </c>
      <c r="AC9608">
        <v>9</v>
      </c>
      <c r="AD9608" s="5">
        <v>4.9371896818075607</v>
      </c>
      <c r="AE9608" s="5">
        <v>2.2210639158858161</v>
      </c>
      <c r="AF9608">
        <v>1</v>
      </c>
    </row>
    <row r="9609" spans="27:32" x14ac:dyDescent="0.3">
      <c r="AA9609" s="3">
        <v>-1129.99</v>
      </c>
      <c r="AB9609">
        <v>1E-4</v>
      </c>
      <c r="AC9609">
        <v>9</v>
      </c>
      <c r="AD9609" s="5">
        <v>4.9204933202094221</v>
      </c>
      <c r="AE9609" s="5">
        <v>2.1418152396152554</v>
      </c>
      <c r="AF9609">
        <v>1</v>
      </c>
    </row>
    <row r="9610" spans="27:32" x14ac:dyDescent="0.3">
      <c r="AA9610" s="3">
        <v>14197.81</v>
      </c>
      <c r="AB9610">
        <v>1E-4</v>
      </c>
      <c r="AC9610">
        <v>8</v>
      </c>
      <c r="AD9610" s="5">
        <v>4.9499968457968633</v>
      </c>
      <c r="AE9610" s="5">
        <v>2.2383290353881886</v>
      </c>
      <c r="AF9610">
        <v>1</v>
      </c>
    </row>
    <row r="9611" spans="27:32" x14ac:dyDescent="0.3">
      <c r="AA9611" s="3">
        <v>31779.78</v>
      </c>
      <c r="AB9611">
        <v>1E-4</v>
      </c>
      <c r="AC9611">
        <v>7</v>
      </c>
      <c r="AD9611" s="5">
        <v>5.0151776411237439</v>
      </c>
      <c r="AE9611" s="5">
        <v>2.2415177115835769</v>
      </c>
      <c r="AF9611">
        <v>1</v>
      </c>
    </row>
    <row r="9612" spans="27:32" x14ac:dyDescent="0.3">
      <c r="AA9612" s="3">
        <v>3766.01</v>
      </c>
      <c r="AB9612">
        <v>1E-4</v>
      </c>
      <c r="AC9612">
        <v>8</v>
      </c>
      <c r="AD9612" s="5">
        <v>4.9162741095129396</v>
      </c>
      <c r="AE9612" s="5">
        <v>2.2045215157534752</v>
      </c>
      <c r="AF9612">
        <v>1</v>
      </c>
    </row>
    <row r="9613" spans="27:32" x14ac:dyDescent="0.3">
      <c r="AA9613" s="3">
        <v>39186.269999999997</v>
      </c>
      <c r="AB9613">
        <v>1E-4</v>
      </c>
      <c r="AC9613">
        <v>7</v>
      </c>
      <c r="AD9613" s="5">
        <v>5.0700003956500446</v>
      </c>
      <c r="AE9613" s="5">
        <v>2.2335523446662897</v>
      </c>
      <c r="AF9613">
        <v>1</v>
      </c>
    </row>
    <row r="9614" spans="27:32" x14ac:dyDescent="0.3">
      <c r="AA9614" s="3">
        <v>-3552.97</v>
      </c>
      <c r="AB9614">
        <v>1E-4</v>
      </c>
      <c r="AC9614">
        <v>9</v>
      </c>
      <c r="AD9614" s="5">
        <v>5.0041607660106067</v>
      </c>
      <c r="AE9614" s="5">
        <v>2.2233150803481969</v>
      </c>
      <c r="AF9614">
        <v>1</v>
      </c>
    </row>
    <row r="9615" spans="27:32" x14ac:dyDescent="0.3">
      <c r="AA9615" s="3">
        <v>-15397.51</v>
      </c>
      <c r="AB9615">
        <v>1E-4</v>
      </c>
      <c r="AC9615">
        <v>9</v>
      </c>
      <c r="AD9615" s="5">
        <v>4.9800498693724178</v>
      </c>
      <c r="AE9615" s="5">
        <v>2.2422807630412271</v>
      </c>
      <c r="AF9615">
        <v>1</v>
      </c>
    </row>
    <row r="9616" spans="27:32" x14ac:dyDescent="0.3">
      <c r="AA9616" s="3">
        <v>-5039.07</v>
      </c>
      <c r="AB9616">
        <v>1E-4</v>
      </c>
      <c r="AC9616">
        <v>9</v>
      </c>
      <c r="AD9616" s="5">
        <v>5.0566883255768014</v>
      </c>
      <c r="AE9616" s="5">
        <v>2.2234122915716936</v>
      </c>
      <c r="AF9616">
        <v>1</v>
      </c>
    </row>
    <row r="9617" spans="27:32" x14ac:dyDescent="0.3">
      <c r="AA9617" s="3">
        <v>27442.34</v>
      </c>
      <c r="AB9617">
        <v>1E-4</v>
      </c>
      <c r="AC9617">
        <v>8</v>
      </c>
      <c r="AD9617" s="5">
        <v>4.9614929592728956</v>
      </c>
      <c r="AE9617" s="5">
        <v>2.2082739820031008</v>
      </c>
      <c r="AF9617">
        <v>1</v>
      </c>
    </row>
    <row r="9618" spans="27:32" x14ac:dyDescent="0.3">
      <c r="AA9618" s="3">
        <v>24628.240000000002</v>
      </c>
      <c r="AB9618">
        <v>1E-4</v>
      </c>
      <c r="AC9618">
        <v>8</v>
      </c>
      <c r="AD9618" s="5">
        <v>4.9285094408192238</v>
      </c>
      <c r="AE9618" s="5">
        <v>2.2283622750478926</v>
      </c>
      <c r="AF9618">
        <v>1</v>
      </c>
    </row>
    <row r="9619" spans="27:32" x14ac:dyDescent="0.3">
      <c r="AA9619" s="3">
        <v>12972.75</v>
      </c>
      <c r="AB9619">
        <v>1E-4</v>
      </c>
      <c r="AC9619">
        <v>8</v>
      </c>
      <c r="AD9619" s="5">
        <v>4.9429160116132191</v>
      </c>
      <c r="AE9619" s="5">
        <v>2.2417152204468613</v>
      </c>
      <c r="AF9619">
        <v>1</v>
      </c>
    </row>
    <row r="9620" spans="27:32" x14ac:dyDescent="0.3">
      <c r="AA9620" s="3">
        <v>23714.81</v>
      </c>
      <c r="AB9620">
        <v>1E-4</v>
      </c>
      <c r="AC9620">
        <v>8</v>
      </c>
      <c r="AD9620" s="5">
        <v>5.1729896385823926</v>
      </c>
      <c r="AE9620" s="5">
        <v>2.2695270715594211</v>
      </c>
      <c r="AF9620">
        <v>1</v>
      </c>
    </row>
    <row r="9621" spans="27:32" x14ac:dyDescent="0.3">
      <c r="AA9621" s="3">
        <v>-9277.4268407723484</v>
      </c>
      <c r="AB9621">
        <v>1E-4</v>
      </c>
      <c r="AC9621">
        <v>8</v>
      </c>
      <c r="AD9621" s="5">
        <v>5.0333478601792896</v>
      </c>
      <c r="AE9621" s="5">
        <v>2.080609665584809</v>
      </c>
      <c r="AF9621">
        <v>0</v>
      </c>
    </row>
    <row r="9622" spans="27:32" x14ac:dyDescent="0.3">
      <c r="AA9622" s="3">
        <v>60355.3</v>
      </c>
      <c r="AB9622">
        <v>1E-4</v>
      </c>
      <c r="AC9622">
        <v>6</v>
      </c>
      <c r="AD9622" s="5">
        <v>5.0803368156840243</v>
      </c>
      <c r="AE9622" s="5">
        <v>2.1164030861636207</v>
      </c>
      <c r="AF9622">
        <v>1</v>
      </c>
    </row>
    <row r="9623" spans="27:32" x14ac:dyDescent="0.3">
      <c r="AA9623" s="3">
        <v>19923.09</v>
      </c>
      <c r="AB9623">
        <v>1E-4</v>
      </c>
      <c r="AC9623">
        <v>8</v>
      </c>
      <c r="AD9623" s="5">
        <v>4.9621841604556929</v>
      </c>
      <c r="AE9623" s="5">
        <v>2.2338608128406774</v>
      </c>
      <c r="AF9623">
        <v>1</v>
      </c>
    </row>
    <row r="9624" spans="27:32" x14ac:dyDescent="0.3">
      <c r="AA9624" s="3">
        <v>36761.54</v>
      </c>
      <c r="AB9624">
        <v>1E-4</v>
      </c>
      <c r="AC9624">
        <v>7</v>
      </c>
      <c r="AD9624" s="5">
        <v>5.1745089122477603</v>
      </c>
      <c r="AE9624" s="5">
        <v>2.2513281461745143</v>
      </c>
      <c r="AF9624">
        <v>1</v>
      </c>
    </row>
    <row r="9625" spans="27:32" x14ac:dyDescent="0.3">
      <c r="AA9625" s="3">
        <v>7372.07</v>
      </c>
      <c r="AB9625">
        <v>1E-4</v>
      </c>
      <c r="AC9625">
        <v>8</v>
      </c>
      <c r="AD9625" s="5">
        <v>5.0439219776384734</v>
      </c>
      <c r="AE9625" s="5">
        <v>2.2562202003875869</v>
      </c>
      <c r="AF9625">
        <v>1</v>
      </c>
    </row>
    <row r="9626" spans="27:32" x14ac:dyDescent="0.3">
      <c r="AA9626" s="3">
        <v>37916.32</v>
      </c>
      <c r="AB9626">
        <v>1E-4</v>
      </c>
      <c r="AC9626">
        <v>7</v>
      </c>
      <c r="AD9626" s="5">
        <v>5.1695920111677136</v>
      </c>
      <c r="AE9626" s="5">
        <v>2.2557023885448606</v>
      </c>
      <c r="AF9626">
        <v>1</v>
      </c>
    </row>
    <row r="9627" spans="27:32" x14ac:dyDescent="0.3">
      <c r="AA9627" s="3">
        <v>24374.58</v>
      </c>
      <c r="AB9627">
        <v>1E-4</v>
      </c>
      <c r="AC9627">
        <v>8</v>
      </c>
      <c r="AD9627" s="5">
        <v>4.9866140990439769</v>
      </c>
      <c r="AE9627" s="5">
        <v>2.2111092458263424</v>
      </c>
      <c r="AF9627">
        <v>1</v>
      </c>
    </row>
    <row r="9628" spans="27:32" x14ac:dyDescent="0.3">
      <c r="AA9628" s="3">
        <v>20603.04</v>
      </c>
      <c r="AB9628">
        <v>1E-4</v>
      </c>
      <c r="AC9628">
        <v>8</v>
      </c>
      <c r="AD9628" s="5">
        <v>4.9577253611930523</v>
      </c>
      <c r="AE9628" s="5">
        <v>2.1818142906460429</v>
      </c>
      <c r="AF9628">
        <v>1</v>
      </c>
    </row>
    <row r="9629" spans="27:32" x14ac:dyDescent="0.3">
      <c r="AA9629" s="3">
        <v>777.3</v>
      </c>
      <c r="AB9629">
        <v>1E-4</v>
      </c>
      <c r="AC9629">
        <v>8</v>
      </c>
      <c r="AD9629" s="5">
        <v>4.9242034852188983</v>
      </c>
      <c r="AE9629" s="5">
        <v>2.1067181353456768</v>
      </c>
      <c r="AF9629">
        <v>1</v>
      </c>
    </row>
    <row r="9630" spans="27:32" x14ac:dyDescent="0.3">
      <c r="AA9630" s="3">
        <v>-4566.63</v>
      </c>
      <c r="AB9630">
        <v>1E-4</v>
      </c>
      <c r="AC9630">
        <v>9</v>
      </c>
      <c r="AD9630" s="5">
        <v>5.0385822054164757</v>
      </c>
      <c r="AE9630" s="5">
        <v>2.1463971725152118</v>
      </c>
      <c r="AF9630">
        <v>1</v>
      </c>
    </row>
    <row r="9631" spans="27:32" x14ac:dyDescent="0.3">
      <c r="AA9631" s="3">
        <v>-55693.306725243194</v>
      </c>
      <c r="AB9631">
        <v>1E-4</v>
      </c>
      <c r="AC9631">
        <v>9</v>
      </c>
      <c r="AD9631" s="5">
        <v>4.8903181797179895</v>
      </c>
      <c r="AE9631" s="5">
        <v>2.3635975856132583</v>
      </c>
      <c r="AF9631">
        <v>0</v>
      </c>
    </row>
    <row r="9632" spans="27:32" x14ac:dyDescent="0.3">
      <c r="AA9632" s="3">
        <v>20681.23</v>
      </c>
      <c r="AB9632">
        <v>1E-4</v>
      </c>
      <c r="AC9632">
        <v>8</v>
      </c>
      <c r="AD9632" s="5">
        <v>4.9918950926406547</v>
      </c>
      <c r="AE9632" s="5">
        <v>2.2487361247245463</v>
      </c>
      <c r="AF9632">
        <v>1</v>
      </c>
    </row>
    <row r="9633" spans="27:32" x14ac:dyDescent="0.3">
      <c r="AA9633" s="3">
        <v>38957.300000000003</v>
      </c>
      <c r="AB9633">
        <v>1E-4</v>
      </c>
      <c r="AC9633">
        <v>7</v>
      </c>
      <c r="AD9633" s="5">
        <v>5.1275484165958662</v>
      </c>
      <c r="AE9633" s="5">
        <v>2.1967865935952404</v>
      </c>
      <c r="AF9633">
        <v>1</v>
      </c>
    </row>
    <row r="9634" spans="27:32" x14ac:dyDescent="0.3">
      <c r="AA9634" s="3">
        <v>2858.21</v>
      </c>
      <c r="AB9634">
        <v>1E-4</v>
      </c>
      <c r="AC9634">
        <v>8</v>
      </c>
      <c r="AD9634" s="5">
        <v>5.0009844500435205</v>
      </c>
      <c r="AE9634" s="5">
        <v>2.2188624847994065</v>
      </c>
      <c r="AF9634">
        <v>1</v>
      </c>
    </row>
    <row r="9635" spans="27:32" x14ac:dyDescent="0.3">
      <c r="AA9635" s="3">
        <v>19084.439999999999</v>
      </c>
      <c r="AB9635">
        <v>1E-4</v>
      </c>
      <c r="AC9635">
        <v>8</v>
      </c>
      <c r="AD9635" s="5">
        <v>4.8339650590719225</v>
      </c>
      <c r="AE9635" s="5">
        <v>2.140156692512309</v>
      </c>
      <c r="AF9635">
        <v>1</v>
      </c>
    </row>
    <row r="9636" spans="27:32" x14ac:dyDescent="0.3">
      <c r="AA9636" s="3">
        <v>21908.61</v>
      </c>
      <c r="AB9636">
        <v>1E-4</v>
      </c>
      <c r="AC9636">
        <v>8</v>
      </c>
      <c r="AD9636" s="5">
        <v>4.927188633957587</v>
      </c>
      <c r="AE9636" s="5">
        <v>2.2202960806622434</v>
      </c>
      <c r="AF9636">
        <v>1</v>
      </c>
    </row>
    <row r="9637" spans="27:32" x14ac:dyDescent="0.3">
      <c r="AA9637" s="3">
        <v>18617.22</v>
      </c>
      <c r="AB9637">
        <v>1E-4</v>
      </c>
      <c r="AC9637">
        <v>8</v>
      </c>
      <c r="AD9637" s="5">
        <v>5.0047007170738089</v>
      </c>
      <c r="AE9637" s="5">
        <v>2.2602768772652539</v>
      </c>
      <c r="AF9637">
        <v>1</v>
      </c>
    </row>
    <row r="9638" spans="27:32" x14ac:dyDescent="0.3">
      <c r="AA9638" s="3">
        <v>23097.119999999999</v>
      </c>
      <c r="AB9638">
        <v>1E-4</v>
      </c>
      <c r="AC9638">
        <v>8</v>
      </c>
      <c r="AD9638" s="5">
        <v>4.9862080318740718</v>
      </c>
      <c r="AE9638" s="5">
        <v>2.1375040976692534</v>
      </c>
      <c r="AF9638">
        <v>1</v>
      </c>
    </row>
    <row r="9639" spans="27:32" x14ac:dyDescent="0.3">
      <c r="AA9639" s="3">
        <v>48738.12</v>
      </c>
      <c r="AB9639">
        <v>1E-4</v>
      </c>
      <c r="AC9639">
        <v>6</v>
      </c>
      <c r="AD9639" s="5">
        <v>4.9855797569822897</v>
      </c>
      <c r="AE9639" s="5">
        <v>2.1871446718760073</v>
      </c>
      <c r="AF9639">
        <v>1</v>
      </c>
    </row>
    <row r="9640" spans="27:32" x14ac:dyDescent="0.3">
      <c r="AA9640" s="3">
        <v>6886.62</v>
      </c>
      <c r="AB9640">
        <v>1E-4</v>
      </c>
      <c r="AC9640">
        <v>8</v>
      </c>
      <c r="AD9640" s="5">
        <v>5.0739020301047635</v>
      </c>
      <c r="AE9640" s="5">
        <v>2.2427171661351042</v>
      </c>
      <c r="AF9640">
        <v>1</v>
      </c>
    </row>
    <row r="9641" spans="27:32" x14ac:dyDescent="0.3">
      <c r="AA9641" s="3">
        <v>14975.13</v>
      </c>
      <c r="AB9641">
        <v>1E-4</v>
      </c>
      <c r="AC9641">
        <v>8</v>
      </c>
      <c r="AD9641" s="5">
        <v>5.0059049773224444</v>
      </c>
      <c r="AE9641" s="5">
        <v>2.1455595510042667</v>
      </c>
      <c r="AF9641">
        <v>1</v>
      </c>
    </row>
    <row r="9642" spans="27:32" x14ac:dyDescent="0.3">
      <c r="AA9642" s="3">
        <v>30242.53</v>
      </c>
      <c r="AB9642">
        <v>1E-4</v>
      </c>
      <c r="AC9642">
        <v>7</v>
      </c>
      <c r="AD9642" s="5">
        <v>4.8995006045288481</v>
      </c>
      <c r="AE9642" s="5">
        <v>2.3460166305105647</v>
      </c>
      <c r="AF9642">
        <v>1</v>
      </c>
    </row>
    <row r="9643" spans="27:32" x14ac:dyDescent="0.3">
      <c r="AA9643" s="3">
        <v>20688.400000000001</v>
      </c>
      <c r="AB9643">
        <v>1E-4</v>
      </c>
      <c r="AC9643">
        <v>8</v>
      </c>
      <c r="AD9643" s="5">
        <v>5.1219909560040602</v>
      </c>
      <c r="AE9643" s="5">
        <v>2.181343472143991</v>
      </c>
      <c r="AF9643">
        <v>1</v>
      </c>
    </row>
    <row r="9644" spans="27:32" x14ac:dyDescent="0.3">
      <c r="AA9644" s="3">
        <v>50308.01</v>
      </c>
      <c r="AB9644">
        <v>1E-4</v>
      </c>
      <c r="AC9644">
        <v>6</v>
      </c>
      <c r="AD9644" s="5">
        <v>5.1542504362647019</v>
      </c>
      <c r="AE9644" s="5">
        <v>2.1547997303212814</v>
      </c>
      <c r="AF9644">
        <v>1</v>
      </c>
    </row>
    <row r="9645" spans="27:32" x14ac:dyDescent="0.3">
      <c r="AA9645" s="3">
        <v>17160.68</v>
      </c>
      <c r="AB9645">
        <v>1E-4</v>
      </c>
      <c r="AC9645">
        <v>8</v>
      </c>
      <c r="AD9645" s="5">
        <v>5.0164196828199765</v>
      </c>
      <c r="AE9645" s="5">
        <v>2.2524559268022464</v>
      </c>
      <c r="AF9645">
        <v>1</v>
      </c>
    </row>
    <row r="9646" spans="27:32" x14ac:dyDescent="0.3">
      <c r="AA9646" s="3">
        <v>25585.78</v>
      </c>
      <c r="AB9646">
        <v>1E-4</v>
      </c>
      <c r="AC9646">
        <v>8</v>
      </c>
      <c r="AD9646" s="5">
        <v>5.0346142315423084</v>
      </c>
      <c r="AE9646" s="5">
        <v>2.2111069712484035</v>
      </c>
      <c r="AF9646">
        <v>1</v>
      </c>
    </row>
    <row r="9647" spans="27:32" x14ac:dyDescent="0.3">
      <c r="AA9647" s="3">
        <v>10622.14</v>
      </c>
      <c r="AB9647">
        <v>1E-4</v>
      </c>
      <c r="AC9647">
        <v>8</v>
      </c>
      <c r="AD9647" s="5">
        <v>5.2345543139225983</v>
      </c>
      <c r="AE9647" s="5">
        <v>2.1879394122057878</v>
      </c>
      <c r="AF9647">
        <v>1</v>
      </c>
    </row>
    <row r="9648" spans="27:32" x14ac:dyDescent="0.3">
      <c r="AA9648" s="3">
        <v>36177.1</v>
      </c>
      <c r="AB9648">
        <v>1E-4</v>
      </c>
      <c r="AC9648">
        <v>7</v>
      </c>
      <c r="AD9648" s="5">
        <v>4.9494097468522718</v>
      </c>
      <c r="AE9648" s="5">
        <v>2.17107301164098</v>
      </c>
      <c r="AF9648">
        <v>1</v>
      </c>
    </row>
    <row r="9649" spans="27:32" x14ac:dyDescent="0.3">
      <c r="AA9649" s="3">
        <v>21519.63</v>
      </c>
      <c r="AB9649">
        <v>1E-4</v>
      </c>
      <c r="AC9649">
        <v>8</v>
      </c>
      <c r="AD9649" s="5">
        <v>5.0303530498540958</v>
      </c>
      <c r="AE9649" s="5">
        <v>2.1541127970676941</v>
      </c>
      <c r="AF9649">
        <v>1</v>
      </c>
    </row>
    <row r="9650" spans="27:32" x14ac:dyDescent="0.3">
      <c r="AA9650" s="3">
        <v>-19003.2</v>
      </c>
      <c r="AB9650">
        <v>1E-4</v>
      </c>
      <c r="AC9650">
        <v>9</v>
      </c>
      <c r="AD9650" s="5">
        <v>4.9856127360359892</v>
      </c>
      <c r="AE9650" s="5">
        <v>2.1506063262388424</v>
      </c>
      <c r="AF9650">
        <v>1</v>
      </c>
    </row>
    <row r="9651" spans="27:32" x14ac:dyDescent="0.3">
      <c r="AA9651" s="3">
        <v>38366.949999999997</v>
      </c>
      <c r="AB9651">
        <v>1E-4</v>
      </c>
      <c r="AC9651">
        <v>7</v>
      </c>
      <c r="AD9651" s="5">
        <v>5.079649984256899</v>
      </c>
      <c r="AE9651" s="5">
        <v>2.1636331755450398</v>
      </c>
      <c r="AF9651">
        <v>1</v>
      </c>
    </row>
    <row r="9652" spans="27:32" x14ac:dyDescent="0.3">
      <c r="AA9652" s="3">
        <v>-7908.54</v>
      </c>
      <c r="AB9652">
        <v>1E-4</v>
      </c>
      <c r="AC9652">
        <v>9</v>
      </c>
      <c r="AD9652" s="5">
        <v>4.865551821153427</v>
      </c>
      <c r="AE9652" s="5">
        <v>2.2782256886433343</v>
      </c>
      <c r="AF9652">
        <v>1</v>
      </c>
    </row>
    <row r="9653" spans="27:32" x14ac:dyDescent="0.3">
      <c r="AA9653" s="3">
        <v>19087.150000000001</v>
      </c>
      <c r="AB9653">
        <v>1E-4</v>
      </c>
      <c r="AC9653">
        <v>8</v>
      </c>
      <c r="AD9653" s="5">
        <v>5.0166606567447047</v>
      </c>
      <c r="AE9653" s="5">
        <v>2.1899060567601119</v>
      </c>
      <c r="AF9653">
        <v>1</v>
      </c>
    </row>
    <row r="9654" spans="27:32" x14ac:dyDescent="0.3">
      <c r="AA9654" s="3">
        <v>7014.95</v>
      </c>
      <c r="AB9654">
        <v>1E-4</v>
      </c>
      <c r="AC9654">
        <v>8</v>
      </c>
      <c r="AD9654" s="5">
        <v>5.1391339335615731</v>
      </c>
      <c r="AE9654" s="5">
        <v>2.1660899879463398</v>
      </c>
      <c r="AF9654">
        <v>1</v>
      </c>
    </row>
    <row r="9655" spans="27:32" x14ac:dyDescent="0.3">
      <c r="AA9655" s="3">
        <v>31247.7</v>
      </c>
      <c r="AB9655">
        <v>1E-4</v>
      </c>
      <c r="AC9655">
        <v>7</v>
      </c>
      <c r="AD9655" s="5">
        <v>4.8574602820863761</v>
      </c>
      <c r="AE9655" s="5">
        <v>2.1813688107943436</v>
      </c>
      <c r="AF9655">
        <v>1</v>
      </c>
    </row>
    <row r="9656" spans="27:32" x14ac:dyDescent="0.3">
      <c r="AA9656" s="3">
        <v>12806.68</v>
      </c>
      <c r="AB9656">
        <v>1E-4</v>
      </c>
      <c r="AC9656">
        <v>8</v>
      </c>
      <c r="AD9656" s="5">
        <v>5.0676559045311507</v>
      </c>
      <c r="AE9656" s="5">
        <v>2.259010720068293</v>
      </c>
      <c r="AF9656">
        <v>1</v>
      </c>
    </row>
    <row r="9657" spans="27:32" x14ac:dyDescent="0.3">
      <c r="AA9657" s="3">
        <v>11438.85</v>
      </c>
      <c r="AB9657">
        <v>1E-4</v>
      </c>
      <c r="AC9657">
        <v>8</v>
      </c>
      <c r="AD9657" s="5">
        <v>5.0616853403429429</v>
      </c>
      <c r="AE9657" s="5">
        <v>2.2464285083795783</v>
      </c>
      <c r="AF9657">
        <v>1</v>
      </c>
    </row>
    <row r="9658" spans="27:32" x14ac:dyDescent="0.3">
      <c r="AA9658" s="3">
        <v>31951.95</v>
      </c>
      <c r="AB9658">
        <v>1E-4</v>
      </c>
      <c r="AC9658">
        <v>8</v>
      </c>
      <c r="AD9658" s="5">
        <v>5.0496270466350435</v>
      </c>
      <c r="AE9658" s="5">
        <v>2.2105500102467328</v>
      </c>
      <c r="AF9658">
        <v>1</v>
      </c>
    </row>
    <row r="9659" spans="27:32" x14ac:dyDescent="0.3">
      <c r="AA9659" s="3">
        <v>11406.24</v>
      </c>
      <c r="AB9659">
        <v>1E-4</v>
      </c>
      <c r="AC9659">
        <v>8</v>
      </c>
      <c r="AD9659" s="5">
        <v>5.0070004033472273</v>
      </c>
      <c r="AE9659" s="5">
        <v>2.2345709942626031</v>
      </c>
      <c r="AF9659">
        <v>1</v>
      </c>
    </row>
    <row r="9660" spans="27:32" x14ac:dyDescent="0.3">
      <c r="AA9660" s="3">
        <v>53746.81</v>
      </c>
      <c r="AB9660">
        <v>1E-4</v>
      </c>
      <c r="AC9660">
        <v>6</v>
      </c>
      <c r="AD9660" s="5">
        <v>5.0951661246257638</v>
      </c>
      <c r="AE9660" s="5">
        <v>2.111190083475877</v>
      </c>
      <c r="AF9660">
        <v>1</v>
      </c>
    </row>
    <row r="9661" spans="27:32" x14ac:dyDescent="0.3">
      <c r="AA9661" s="3">
        <v>-20904.904085802867</v>
      </c>
      <c r="AB9661">
        <v>1E-4</v>
      </c>
      <c r="AC9661">
        <v>9</v>
      </c>
      <c r="AD9661" s="5">
        <v>4.8592045991676427</v>
      </c>
      <c r="AE9661" s="5">
        <v>2.1623037113961763</v>
      </c>
      <c r="AF9661">
        <v>0</v>
      </c>
    </row>
    <row r="9662" spans="27:32" x14ac:dyDescent="0.3">
      <c r="AA9662" s="3">
        <v>13756.83</v>
      </c>
      <c r="AB9662">
        <v>1E-4</v>
      </c>
      <c r="AC9662">
        <v>8</v>
      </c>
      <c r="AD9662" s="5">
        <v>5.0379698144054279</v>
      </c>
      <c r="AE9662" s="5">
        <v>2.2355417415196106</v>
      </c>
      <c r="AF9662">
        <v>1</v>
      </c>
    </row>
    <row r="9663" spans="27:32" x14ac:dyDescent="0.3">
      <c r="AA9663" s="3">
        <v>46883.839999999997</v>
      </c>
      <c r="AB9663">
        <v>1E-4</v>
      </c>
      <c r="AC9663">
        <v>7</v>
      </c>
      <c r="AD9663" s="5">
        <v>5.1923347929567276</v>
      </c>
      <c r="AE9663" s="5">
        <v>2.1422759974941239</v>
      </c>
      <c r="AF9663">
        <v>1</v>
      </c>
    </row>
    <row r="9664" spans="27:32" x14ac:dyDescent="0.3">
      <c r="AA9664" s="3">
        <v>13316.76</v>
      </c>
      <c r="AB9664">
        <v>1E-4</v>
      </c>
      <c r="AC9664">
        <v>8</v>
      </c>
      <c r="AD9664" s="5">
        <v>5.0042217687786135</v>
      </c>
      <c r="AE9664" s="5">
        <v>2.2063349580871026</v>
      </c>
      <c r="AF9664">
        <v>1</v>
      </c>
    </row>
    <row r="9665" spans="27:32" x14ac:dyDescent="0.3">
      <c r="AA9665" s="3">
        <v>-1372.03</v>
      </c>
      <c r="AB9665">
        <v>1E-4</v>
      </c>
      <c r="AC9665">
        <v>9</v>
      </c>
      <c r="AD9665" s="5">
        <v>4.9706721621127334</v>
      </c>
      <c r="AE9665" s="5">
        <v>2.1978713907149716</v>
      </c>
      <c r="AF9665">
        <v>1</v>
      </c>
    </row>
    <row r="9666" spans="27:32" x14ac:dyDescent="0.3">
      <c r="AA9666" s="3">
        <v>15694.38</v>
      </c>
      <c r="AB9666">
        <v>1E-4</v>
      </c>
      <c r="AC9666">
        <v>8</v>
      </c>
      <c r="AD9666" s="5">
        <v>5.1229726302082144</v>
      </c>
      <c r="AE9666" s="5">
        <v>2.2719552127926876</v>
      </c>
      <c r="AF9666">
        <v>1</v>
      </c>
    </row>
    <row r="9667" spans="27:32" x14ac:dyDescent="0.3">
      <c r="AA9667" s="3">
        <v>1906.66</v>
      </c>
      <c r="AB9667">
        <v>1E-4</v>
      </c>
      <c r="AC9667">
        <v>8</v>
      </c>
      <c r="AD9667" s="5">
        <v>5.013800963688718</v>
      </c>
      <c r="AE9667" s="5">
        <v>2.2441014743165497</v>
      </c>
      <c r="AF9667">
        <v>1</v>
      </c>
    </row>
    <row r="9668" spans="27:32" x14ac:dyDescent="0.3">
      <c r="AA9668" s="3">
        <v>46875.22</v>
      </c>
      <c r="AB9668">
        <v>1E-4</v>
      </c>
      <c r="AC9668">
        <v>7</v>
      </c>
      <c r="AD9668" s="5">
        <v>5.1196812784869827</v>
      </c>
      <c r="AE9668" s="5">
        <v>2.2478082190289133</v>
      </c>
      <c r="AF9668">
        <v>1</v>
      </c>
    </row>
    <row r="9669" spans="27:32" x14ac:dyDescent="0.3">
      <c r="AA9669" s="3">
        <v>50114.23</v>
      </c>
      <c r="AB9669">
        <v>1E-4</v>
      </c>
      <c r="AC9669">
        <v>7</v>
      </c>
      <c r="AD9669" s="5">
        <v>5.1666468739283076</v>
      </c>
      <c r="AE9669" s="5">
        <v>2.1861621130016906</v>
      </c>
      <c r="AF9669">
        <v>1</v>
      </c>
    </row>
    <row r="9670" spans="27:32" x14ac:dyDescent="0.3">
      <c r="AA9670" s="3">
        <v>-12518.38</v>
      </c>
      <c r="AB9670">
        <v>1E-4</v>
      </c>
      <c r="AC9670">
        <v>9</v>
      </c>
      <c r="AD9670" s="5">
        <v>5.0494016287216734</v>
      </c>
      <c r="AE9670" s="5">
        <v>2.2490856582573135</v>
      </c>
      <c r="AF9670">
        <v>1</v>
      </c>
    </row>
    <row r="9671" spans="27:32" x14ac:dyDescent="0.3">
      <c r="AA9671" s="3">
        <v>24780.240000000002</v>
      </c>
      <c r="AB9671">
        <v>1E-4</v>
      </c>
      <c r="AC9671">
        <v>8</v>
      </c>
      <c r="AD9671" s="5">
        <v>5.0361884598873399</v>
      </c>
      <c r="AE9671" s="5">
        <v>2.22435713225752</v>
      </c>
      <c r="AF9671">
        <v>1</v>
      </c>
    </row>
    <row r="9672" spans="27:32" x14ac:dyDescent="0.3">
      <c r="AA9672" s="3">
        <v>9636.17</v>
      </c>
      <c r="AB9672">
        <v>1E-4</v>
      </c>
      <c r="AC9672">
        <v>8</v>
      </c>
      <c r="AD9672" s="5">
        <v>4.8995399921800322</v>
      </c>
      <c r="AE9672" s="5">
        <v>2.2493221476017973</v>
      </c>
      <c r="AF9672">
        <v>1</v>
      </c>
    </row>
    <row r="9673" spans="27:32" x14ac:dyDescent="0.3">
      <c r="AA9673" s="3">
        <v>18428.93</v>
      </c>
      <c r="AB9673">
        <v>1E-4</v>
      </c>
      <c r="AC9673">
        <v>8</v>
      </c>
      <c r="AD9673" s="5">
        <v>4.9293799093671238</v>
      </c>
      <c r="AE9673" s="5">
        <v>2.1725188951526042</v>
      </c>
      <c r="AF9673">
        <v>1</v>
      </c>
    </row>
    <row r="9674" spans="27:32" x14ac:dyDescent="0.3">
      <c r="AA9674" s="3">
        <v>24676.98</v>
      </c>
      <c r="AB9674">
        <v>1E-4</v>
      </c>
      <c r="AC9674">
        <v>7</v>
      </c>
      <c r="AD9674" s="5">
        <v>5.1461766416889505</v>
      </c>
      <c r="AE9674" s="5">
        <v>2.1830735335607345</v>
      </c>
      <c r="AF9674">
        <v>1</v>
      </c>
    </row>
    <row r="9675" spans="27:32" x14ac:dyDescent="0.3">
      <c r="AA9675" s="3">
        <v>40181.75</v>
      </c>
      <c r="AB9675">
        <v>1E-4</v>
      </c>
      <c r="AC9675">
        <v>7</v>
      </c>
      <c r="AD9675" s="5">
        <v>5.030191528243078</v>
      </c>
      <c r="AE9675" s="5">
        <v>2.250488600621793</v>
      </c>
      <c r="AF9675">
        <v>1</v>
      </c>
    </row>
    <row r="9676" spans="27:32" x14ac:dyDescent="0.3">
      <c r="AA9676" s="3">
        <v>33652.99</v>
      </c>
      <c r="AB9676">
        <v>1E-4</v>
      </c>
      <c r="AC9676">
        <v>7</v>
      </c>
      <c r="AD9676" s="5">
        <v>5.0422692260568747</v>
      </c>
      <c r="AE9676" s="5">
        <v>2.142597631621892</v>
      </c>
      <c r="AF9676">
        <v>1</v>
      </c>
    </row>
    <row r="9677" spans="27:32" x14ac:dyDescent="0.3">
      <c r="AA9677" s="3">
        <v>12717.56</v>
      </c>
      <c r="AB9677">
        <v>1E-4</v>
      </c>
      <c r="AC9677">
        <v>8</v>
      </c>
      <c r="AD9677" s="5">
        <v>5.0490351646808751</v>
      </c>
      <c r="AE9677" s="5">
        <v>2.2043634549120688</v>
      </c>
      <c r="AF9677">
        <v>1</v>
      </c>
    </row>
    <row r="9678" spans="27:32" x14ac:dyDescent="0.3">
      <c r="AA9678" s="3">
        <v>6289.69</v>
      </c>
      <c r="AB9678">
        <v>1E-4</v>
      </c>
      <c r="AC9678">
        <v>8</v>
      </c>
      <c r="AD9678" s="5">
        <v>4.9138256599828631</v>
      </c>
      <c r="AE9678" s="5">
        <v>2.2942651374010357</v>
      </c>
      <c r="AF9678">
        <v>1</v>
      </c>
    </row>
    <row r="9679" spans="27:32" x14ac:dyDescent="0.3">
      <c r="AA9679" s="3">
        <v>-12402.81</v>
      </c>
      <c r="AB9679">
        <v>1E-4</v>
      </c>
      <c r="AC9679">
        <v>9</v>
      </c>
      <c r="AD9679" s="5">
        <v>5.0403183894169796</v>
      </c>
      <c r="AE9679" s="5">
        <v>2.1637952336183082</v>
      </c>
      <c r="AF9679">
        <v>1</v>
      </c>
    </row>
    <row r="9680" spans="27:32" x14ac:dyDescent="0.3">
      <c r="AA9680" s="3">
        <v>29811.97</v>
      </c>
      <c r="AB9680">
        <v>1E-4</v>
      </c>
      <c r="AC9680">
        <v>7</v>
      </c>
      <c r="AD9680" s="5">
        <v>5.0623464402172802</v>
      </c>
      <c r="AE9680" s="5">
        <v>2.3349503717324884</v>
      </c>
      <c r="AF9680">
        <v>1</v>
      </c>
    </row>
    <row r="9681" spans="27:32" x14ac:dyDescent="0.3">
      <c r="AA9681" s="3">
        <v>24781.27</v>
      </c>
      <c r="AB9681">
        <v>1E-4</v>
      </c>
      <c r="AC9681">
        <v>8</v>
      </c>
      <c r="AD9681" s="5">
        <v>4.9927781843898487</v>
      </c>
      <c r="AE9681" s="5">
        <v>2.1674171044323054</v>
      </c>
      <c r="AF9681">
        <v>1</v>
      </c>
    </row>
    <row r="9682" spans="27:32" x14ac:dyDescent="0.3">
      <c r="AA9682" s="3">
        <v>20242.740000000002</v>
      </c>
      <c r="AB9682">
        <v>1E-4</v>
      </c>
      <c r="AC9682">
        <v>8</v>
      </c>
      <c r="AD9682" s="5">
        <v>5.0314300965050149</v>
      </c>
      <c r="AE9682" s="5">
        <v>2.148083499057726</v>
      </c>
      <c r="AF9682">
        <v>1</v>
      </c>
    </row>
    <row r="9683" spans="27:32" x14ac:dyDescent="0.3">
      <c r="AA9683" s="3">
        <v>-16163.11</v>
      </c>
      <c r="AB9683">
        <v>1E-4</v>
      </c>
      <c r="AC9683">
        <v>9</v>
      </c>
      <c r="AD9683" s="5">
        <v>5.0018579894234279</v>
      </c>
      <c r="AE9683" s="5">
        <v>2.2109523412483618</v>
      </c>
      <c r="AF9683">
        <v>1</v>
      </c>
    </row>
    <row r="9684" spans="27:32" x14ac:dyDescent="0.3">
      <c r="AA9684" s="3">
        <v>30101.19</v>
      </c>
      <c r="AB9684">
        <v>1E-4</v>
      </c>
      <c r="AC9684">
        <v>8</v>
      </c>
      <c r="AD9684" s="5">
        <v>5.1205789133960735</v>
      </c>
      <c r="AE9684" s="5">
        <v>2.1962329409685215</v>
      </c>
      <c r="AF9684">
        <v>1</v>
      </c>
    </row>
    <row r="9685" spans="27:32" x14ac:dyDescent="0.3">
      <c r="AA9685" s="3">
        <v>11729.91</v>
      </c>
      <c r="AB9685">
        <v>1E-4</v>
      </c>
      <c r="AC9685">
        <v>8</v>
      </c>
      <c r="AD9685" s="5">
        <v>4.8982823201418872</v>
      </c>
      <c r="AE9685" s="5">
        <v>2.2088427299784996</v>
      </c>
      <c r="AF9685">
        <v>1</v>
      </c>
    </row>
    <row r="9686" spans="27:32" x14ac:dyDescent="0.3">
      <c r="AA9686" s="3">
        <v>17661.18</v>
      </c>
      <c r="AB9686">
        <v>1E-4</v>
      </c>
      <c r="AC9686">
        <v>8</v>
      </c>
      <c r="AD9686" s="5">
        <v>5.0808946054371384</v>
      </c>
      <c r="AE9686" s="5">
        <v>2.1785999779303333</v>
      </c>
      <c r="AF9686">
        <v>1</v>
      </c>
    </row>
    <row r="9687" spans="27:32" x14ac:dyDescent="0.3">
      <c r="AA9687" s="3">
        <v>19482.79</v>
      </c>
      <c r="AB9687">
        <v>1E-4</v>
      </c>
      <c r="AC9687">
        <v>8</v>
      </c>
      <c r="AD9687" s="5">
        <v>4.8432557692255296</v>
      </c>
      <c r="AE9687" s="5">
        <v>2.1310923998590927</v>
      </c>
      <c r="AF9687">
        <v>1</v>
      </c>
    </row>
    <row r="9688" spans="27:32" x14ac:dyDescent="0.3">
      <c r="AA9688" s="3">
        <v>22463.29</v>
      </c>
      <c r="AB9688">
        <v>1E-4</v>
      </c>
      <c r="AC9688">
        <v>8</v>
      </c>
      <c r="AD9688" s="5">
        <v>5.0762476031023276</v>
      </c>
      <c r="AE9688" s="5">
        <v>2.2058728118343227</v>
      </c>
      <c r="AF9688">
        <v>1</v>
      </c>
    </row>
    <row r="9689" spans="27:32" x14ac:dyDescent="0.3">
      <c r="AA9689" s="3">
        <v>-43522.123069179645</v>
      </c>
      <c r="AB9689">
        <v>1E-4</v>
      </c>
      <c r="AC9689">
        <v>9</v>
      </c>
      <c r="AD9689" s="5">
        <v>4.9002959762712441</v>
      </c>
      <c r="AE9689" s="5">
        <v>2.2880248392261082</v>
      </c>
      <c r="AF9689">
        <v>0</v>
      </c>
    </row>
    <row r="9690" spans="27:32" x14ac:dyDescent="0.3">
      <c r="AA9690" s="3">
        <v>-8137.54</v>
      </c>
      <c r="AB9690">
        <v>1E-4</v>
      </c>
      <c r="AC9690">
        <v>9</v>
      </c>
      <c r="AD9690" s="5">
        <v>4.9695037624864318</v>
      </c>
      <c r="AE9690" s="5">
        <v>2.2739852888182099</v>
      </c>
      <c r="AF9690">
        <v>1</v>
      </c>
    </row>
    <row r="9691" spans="27:32" x14ac:dyDescent="0.3">
      <c r="AA9691" s="3">
        <v>18570.77</v>
      </c>
      <c r="AB9691">
        <v>1E-4</v>
      </c>
      <c r="AC9691">
        <v>8</v>
      </c>
      <c r="AD9691" s="5">
        <v>5.0796726771078884</v>
      </c>
      <c r="AE9691" s="5">
        <v>2.1969084094896014</v>
      </c>
      <c r="AF9691">
        <v>1</v>
      </c>
    </row>
    <row r="9692" spans="27:32" x14ac:dyDescent="0.3">
      <c r="AA9692" s="3">
        <v>18093.830000000002</v>
      </c>
      <c r="AB9692">
        <v>1E-4</v>
      </c>
      <c r="AC9692">
        <v>8</v>
      </c>
      <c r="AD9692" s="5">
        <v>4.9549335524339968</v>
      </c>
      <c r="AE9692" s="5">
        <v>2.2191395860387444</v>
      </c>
      <c r="AF9692">
        <v>1</v>
      </c>
    </row>
    <row r="9693" spans="27:32" x14ac:dyDescent="0.3">
      <c r="AA9693" s="3">
        <v>-5391.99</v>
      </c>
      <c r="AB9693">
        <v>1E-4</v>
      </c>
      <c r="AC9693">
        <v>9</v>
      </c>
      <c r="AD9693" s="5">
        <v>4.9842101003939057</v>
      </c>
      <c r="AE9693" s="5">
        <v>2.1680857113566274</v>
      </c>
      <c r="AF9693">
        <v>1</v>
      </c>
    </row>
    <row r="9694" spans="27:32" x14ac:dyDescent="0.3">
      <c r="AA9694" s="3">
        <v>25803.78</v>
      </c>
      <c r="AB9694">
        <v>1E-4</v>
      </c>
      <c r="AC9694">
        <v>8</v>
      </c>
      <c r="AD9694" s="5">
        <v>4.9683485411683339</v>
      </c>
      <c r="AE9694" s="5">
        <v>2.2675151226685113</v>
      </c>
      <c r="AF9694">
        <v>1</v>
      </c>
    </row>
    <row r="9695" spans="27:32" x14ac:dyDescent="0.3">
      <c r="AA9695" s="3">
        <v>12332.9</v>
      </c>
      <c r="AB9695">
        <v>1E-4</v>
      </c>
      <c r="AC9695">
        <v>8</v>
      </c>
      <c r="AD9695" s="5">
        <v>4.9299113566894777</v>
      </c>
      <c r="AE9695" s="5">
        <v>2.2901633930366998</v>
      </c>
      <c r="AF9695">
        <v>1</v>
      </c>
    </row>
    <row r="9696" spans="27:32" x14ac:dyDescent="0.3">
      <c r="AA9696" s="3">
        <v>-8382.4</v>
      </c>
      <c r="AB9696">
        <v>1E-4</v>
      </c>
      <c r="AC9696">
        <v>9</v>
      </c>
      <c r="AD9696" s="5">
        <v>4.8976976291344423</v>
      </c>
      <c r="AE9696" s="5">
        <v>2.3868936271244268</v>
      </c>
      <c r="AF9696">
        <v>1</v>
      </c>
    </row>
    <row r="9697" spans="27:32" x14ac:dyDescent="0.3">
      <c r="AA9697" s="3">
        <v>1092.23</v>
      </c>
      <c r="AB9697">
        <v>1E-4</v>
      </c>
      <c r="AC9697">
        <v>8</v>
      </c>
      <c r="AD9697" s="5">
        <v>4.8675456994270245</v>
      </c>
      <c r="AE9697" s="5">
        <v>2.1498633214783887</v>
      </c>
      <c r="AF9697">
        <v>1</v>
      </c>
    </row>
    <row r="9698" spans="27:32" x14ac:dyDescent="0.3">
      <c r="AA9698" s="3">
        <v>26791.48</v>
      </c>
      <c r="AB9698">
        <v>1E-4</v>
      </c>
      <c r="AC9698">
        <v>8</v>
      </c>
      <c r="AD9698" s="5">
        <v>4.9109768006320511</v>
      </c>
      <c r="AE9698" s="5">
        <v>2.2562618635376697</v>
      </c>
      <c r="AF9698">
        <v>1</v>
      </c>
    </row>
    <row r="9699" spans="27:32" x14ac:dyDescent="0.3">
      <c r="AA9699" s="3">
        <v>25348.03</v>
      </c>
      <c r="AB9699">
        <v>1E-4</v>
      </c>
      <c r="AC9699">
        <v>8</v>
      </c>
      <c r="AD9699" s="5">
        <v>4.8212962235851631</v>
      </c>
      <c r="AE9699" s="5">
        <v>2.0951186517373448</v>
      </c>
      <c r="AF9699">
        <v>1</v>
      </c>
    </row>
    <row r="9700" spans="27:32" x14ac:dyDescent="0.3">
      <c r="AA9700" s="3">
        <v>42722.97</v>
      </c>
      <c r="AB9700">
        <v>1E-4</v>
      </c>
      <c r="AC9700">
        <v>7</v>
      </c>
      <c r="AD9700" s="5">
        <v>4.9515494761346845</v>
      </c>
      <c r="AE9700" s="5">
        <v>2.1236934556279845</v>
      </c>
      <c r="AF9700">
        <v>1</v>
      </c>
    </row>
    <row r="9701" spans="27:32" x14ac:dyDescent="0.3">
      <c r="AA9701" s="3">
        <v>-36201.09297638818</v>
      </c>
      <c r="AB9701">
        <v>1E-4</v>
      </c>
      <c r="AC9701">
        <v>9</v>
      </c>
      <c r="AD9701" s="5">
        <v>4.8150040988496743</v>
      </c>
      <c r="AE9701" s="5">
        <v>2.2217731024475333</v>
      </c>
      <c r="AF9701">
        <v>0</v>
      </c>
    </row>
    <row r="9702" spans="27:32" x14ac:dyDescent="0.3">
      <c r="AA9702" s="3">
        <v>16362.33</v>
      </c>
      <c r="AB9702">
        <v>1E-4</v>
      </c>
      <c r="AC9702">
        <v>8</v>
      </c>
      <c r="AD9702" s="5">
        <v>5.0397371774074999</v>
      </c>
      <c r="AE9702" s="5">
        <v>2.1673858240413963</v>
      </c>
      <c r="AF9702">
        <v>1</v>
      </c>
    </row>
    <row r="9703" spans="27:32" x14ac:dyDescent="0.3">
      <c r="AA9703" s="3">
        <v>-3116.65</v>
      </c>
      <c r="AB9703">
        <v>1E-4</v>
      </c>
      <c r="AC9703">
        <v>9</v>
      </c>
      <c r="AD9703" s="5">
        <v>4.9709997694462125</v>
      </c>
      <c r="AE9703" s="5">
        <v>2.1334845864517198</v>
      </c>
      <c r="AF9703">
        <v>1</v>
      </c>
    </row>
    <row r="9704" spans="27:32" x14ac:dyDescent="0.3">
      <c r="AA9704" s="3">
        <v>-23659.266321771749</v>
      </c>
      <c r="AB9704">
        <v>1E-4</v>
      </c>
      <c r="AC9704">
        <v>9</v>
      </c>
      <c r="AD9704" s="5">
        <v>5.0093329122292287</v>
      </c>
      <c r="AE9704" s="5">
        <v>2.189813276574307</v>
      </c>
      <c r="AF9704">
        <v>0</v>
      </c>
    </row>
    <row r="9705" spans="27:32" x14ac:dyDescent="0.3">
      <c r="AA9705" s="3">
        <v>25097.200000000001</v>
      </c>
      <c r="AB9705">
        <v>1E-4</v>
      </c>
      <c r="AC9705">
        <v>8</v>
      </c>
      <c r="AD9705" s="5">
        <v>4.9762801601809787</v>
      </c>
      <c r="AE9705" s="5">
        <v>2.2015126537306484</v>
      </c>
      <c r="AF9705">
        <v>1</v>
      </c>
    </row>
    <row r="9706" spans="27:32" x14ac:dyDescent="0.3">
      <c r="AA9706" s="3">
        <v>11841.69</v>
      </c>
      <c r="AB9706">
        <v>1E-4</v>
      </c>
      <c r="AC9706">
        <v>8</v>
      </c>
      <c r="AD9706" s="5">
        <v>5.0852219926373854</v>
      </c>
      <c r="AE9706" s="5">
        <v>2.2951443779545073</v>
      </c>
      <c r="AF9706">
        <v>1</v>
      </c>
    </row>
    <row r="9707" spans="27:32" x14ac:dyDescent="0.3">
      <c r="AA9707" s="3">
        <v>38903.96</v>
      </c>
      <c r="AB9707">
        <v>1E-4</v>
      </c>
      <c r="AC9707">
        <v>7</v>
      </c>
      <c r="AD9707" s="5">
        <v>5.0068640954711583</v>
      </c>
      <c r="AE9707" s="5">
        <v>2.197222628002256</v>
      </c>
      <c r="AF9707">
        <v>1</v>
      </c>
    </row>
    <row r="9708" spans="27:32" x14ac:dyDescent="0.3">
      <c r="AA9708" s="3">
        <v>19186.89</v>
      </c>
      <c r="AB9708">
        <v>1E-4</v>
      </c>
      <c r="AC9708">
        <v>8</v>
      </c>
      <c r="AD9708" s="5">
        <v>5.1055407265639952</v>
      </c>
      <c r="AE9708" s="5">
        <v>2.1397435348490457</v>
      </c>
      <c r="AF9708">
        <v>1</v>
      </c>
    </row>
    <row r="9709" spans="27:32" x14ac:dyDescent="0.3">
      <c r="AA9709" s="3">
        <v>19112.97</v>
      </c>
      <c r="AB9709">
        <v>1E-4</v>
      </c>
      <c r="AC9709">
        <v>8</v>
      </c>
      <c r="AD9709" s="5">
        <v>5.1342383972958618</v>
      </c>
      <c r="AE9709" s="5">
        <v>2.2294570868343029</v>
      </c>
      <c r="AF9709">
        <v>1</v>
      </c>
    </row>
    <row r="9710" spans="27:32" x14ac:dyDescent="0.3">
      <c r="AA9710" s="3">
        <v>-6442.04</v>
      </c>
      <c r="AB9710">
        <v>1E-4</v>
      </c>
      <c r="AC9710">
        <v>9</v>
      </c>
      <c r="AD9710" s="5">
        <v>4.9678224206407089</v>
      </c>
      <c r="AE9710" s="5">
        <v>2.2378404223043749</v>
      </c>
      <c r="AF9710">
        <v>1</v>
      </c>
    </row>
    <row r="9711" spans="27:32" x14ac:dyDescent="0.3">
      <c r="AA9711" s="3">
        <v>3401.2</v>
      </c>
      <c r="AB9711">
        <v>1E-4</v>
      </c>
      <c r="AC9711">
        <v>8</v>
      </c>
      <c r="AD9711" s="5">
        <v>4.8962504208710405</v>
      </c>
      <c r="AE9711" s="5">
        <v>2.1883930868170975</v>
      </c>
      <c r="AF9711">
        <v>1</v>
      </c>
    </row>
    <row r="9712" spans="27:32" x14ac:dyDescent="0.3">
      <c r="AA9712" s="3">
        <v>-4341.5734218143571</v>
      </c>
      <c r="AB9712">
        <v>1E-4</v>
      </c>
      <c r="AC9712">
        <v>8</v>
      </c>
      <c r="AD9712" s="5">
        <v>4.9502416829274711</v>
      </c>
      <c r="AE9712" s="5">
        <v>2.133776337740021</v>
      </c>
      <c r="AF9712">
        <v>0</v>
      </c>
    </row>
    <row r="9713" spans="27:32" x14ac:dyDescent="0.3">
      <c r="AA9713" s="3">
        <v>31723.34</v>
      </c>
      <c r="AB9713">
        <v>1E-4</v>
      </c>
      <c r="AC9713">
        <v>7</v>
      </c>
      <c r="AD9713" s="5">
        <v>5.0549794654890032</v>
      </c>
      <c r="AE9713" s="5">
        <v>2.2137315871814649</v>
      </c>
      <c r="AF9713">
        <v>1</v>
      </c>
    </row>
    <row r="9714" spans="27:32" x14ac:dyDescent="0.3">
      <c r="AA9714" s="3">
        <v>29189.37</v>
      </c>
      <c r="AB9714">
        <v>1E-4</v>
      </c>
      <c r="AC9714">
        <v>8</v>
      </c>
      <c r="AD9714" s="5">
        <v>4.8007781453678184</v>
      </c>
      <c r="AE9714" s="5">
        <v>2.2025067799604527</v>
      </c>
      <c r="AF9714">
        <v>1</v>
      </c>
    </row>
    <row r="9715" spans="27:32" x14ac:dyDescent="0.3">
      <c r="AA9715" s="3">
        <v>-5485.64</v>
      </c>
      <c r="AB9715">
        <v>1E-4</v>
      </c>
      <c r="AC9715">
        <v>9</v>
      </c>
      <c r="AD9715" s="5">
        <v>5.0186126447738548</v>
      </c>
      <c r="AE9715" s="5">
        <v>2.258387678015342</v>
      </c>
      <c r="AF9715">
        <v>1</v>
      </c>
    </row>
    <row r="9716" spans="27:32" x14ac:dyDescent="0.3">
      <c r="AA9716" s="3">
        <v>26924.69</v>
      </c>
      <c r="AB9716">
        <v>1E-4</v>
      </c>
      <c r="AC9716">
        <v>8</v>
      </c>
      <c r="AD9716" s="5">
        <v>4.9298310861419932</v>
      </c>
      <c r="AE9716" s="5">
        <v>2.1921923406091741</v>
      </c>
      <c r="AF9716">
        <v>1</v>
      </c>
    </row>
    <row r="9717" spans="27:32" x14ac:dyDescent="0.3">
      <c r="AA9717" s="3">
        <v>35935.360000000001</v>
      </c>
      <c r="AB9717">
        <v>1E-4</v>
      </c>
      <c r="AC9717">
        <v>7</v>
      </c>
      <c r="AD9717" s="5">
        <v>4.9873768736697697</v>
      </c>
      <c r="AE9717" s="5">
        <v>2.1539263585003008</v>
      </c>
      <c r="AF9717">
        <v>1</v>
      </c>
    </row>
    <row r="9718" spans="27:32" x14ac:dyDescent="0.3">
      <c r="AA9718" s="3">
        <v>-3754.02</v>
      </c>
      <c r="AB9718">
        <v>1E-4</v>
      </c>
      <c r="AC9718">
        <v>9</v>
      </c>
      <c r="AD9718" s="5">
        <v>4.82593138810042</v>
      </c>
      <c r="AE9718" s="5">
        <v>2.2408328842786855</v>
      </c>
      <c r="AF9718">
        <v>1</v>
      </c>
    </row>
    <row r="9719" spans="27:32" x14ac:dyDescent="0.3">
      <c r="AA9719" s="3">
        <v>12450.39</v>
      </c>
      <c r="AB9719">
        <v>1E-4</v>
      </c>
      <c r="AC9719">
        <v>8</v>
      </c>
      <c r="AD9719" s="5">
        <v>4.9290062691099692</v>
      </c>
      <c r="AE9719" s="5">
        <v>2.2354522130454106</v>
      </c>
      <c r="AF9719">
        <v>1</v>
      </c>
    </row>
    <row r="9720" spans="27:32" x14ac:dyDescent="0.3">
      <c r="AA9720" s="3">
        <v>11248.72</v>
      </c>
      <c r="AB9720">
        <v>1E-4</v>
      </c>
      <c r="AC9720">
        <v>8</v>
      </c>
      <c r="AD9720" s="5">
        <v>5.027329389639756</v>
      </c>
      <c r="AE9720" s="5">
        <v>2.2704551116775553</v>
      </c>
      <c r="AF9720">
        <v>1</v>
      </c>
    </row>
    <row r="9721" spans="27:32" x14ac:dyDescent="0.3">
      <c r="AA9721" s="3">
        <v>1232.58</v>
      </c>
      <c r="AB9721">
        <v>1E-4</v>
      </c>
      <c r="AC9721">
        <v>8</v>
      </c>
      <c r="AD9721" s="5">
        <v>4.9647632140949085</v>
      </c>
      <c r="AE9721" s="5">
        <v>2.2210696590598156</v>
      </c>
      <c r="AF9721">
        <v>1</v>
      </c>
    </row>
    <row r="9722" spans="27:32" x14ac:dyDescent="0.3">
      <c r="AA9722" s="3">
        <v>16699.45</v>
      </c>
      <c r="AB9722">
        <v>1E-4</v>
      </c>
      <c r="AC9722">
        <v>8</v>
      </c>
      <c r="AD9722" s="5">
        <v>5.2307755251145176</v>
      </c>
      <c r="AE9722" s="5">
        <v>2.2307458853379263</v>
      </c>
      <c r="AF9722">
        <v>1</v>
      </c>
    </row>
    <row r="9723" spans="27:32" x14ac:dyDescent="0.3">
      <c r="AA9723" s="3">
        <v>24091.439999999999</v>
      </c>
      <c r="AB9723">
        <v>1E-4</v>
      </c>
      <c r="AC9723">
        <v>8</v>
      </c>
      <c r="AD9723" s="5">
        <v>5.0033472526752183</v>
      </c>
      <c r="AE9723" s="5">
        <v>2.1858852107411688</v>
      </c>
      <c r="AF9723">
        <v>1</v>
      </c>
    </row>
    <row r="9724" spans="27:32" x14ac:dyDescent="0.3">
      <c r="AA9724" s="3">
        <v>-1736.64</v>
      </c>
      <c r="AB9724">
        <v>1E-4</v>
      </c>
      <c r="AC9724">
        <v>9</v>
      </c>
      <c r="AD9724" s="5">
        <v>4.9816436387112164</v>
      </c>
      <c r="AE9724" s="5">
        <v>2.0705486861047144</v>
      </c>
      <c r="AF9724">
        <v>1</v>
      </c>
    </row>
    <row r="9725" spans="27:32" x14ac:dyDescent="0.3">
      <c r="AA9725" s="3">
        <v>14764.57</v>
      </c>
      <c r="AB9725">
        <v>1E-4</v>
      </c>
      <c r="AC9725">
        <v>8</v>
      </c>
      <c r="AD9725" s="5">
        <v>4.9400035139678113</v>
      </c>
      <c r="AE9725" s="5">
        <v>2.1732555911250944</v>
      </c>
      <c r="AF9725">
        <v>1</v>
      </c>
    </row>
    <row r="9726" spans="27:32" x14ac:dyDescent="0.3">
      <c r="AA9726" s="3">
        <v>-16216.69</v>
      </c>
      <c r="AB9726">
        <v>1E-4</v>
      </c>
      <c r="AC9726">
        <v>9</v>
      </c>
      <c r="AD9726" s="5">
        <v>5.0850978016131316</v>
      </c>
      <c r="AE9726" s="5">
        <v>2.251482532414304</v>
      </c>
      <c r="AF9726">
        <v>1</v>
      </c>
    </row>
    <row r="9727" spans="27:32" x14ac:dyDescent="0.3">
      <c r="AA9727" s="3">
        <v>6444.58</v>
      </c>
      <c r="AB9727">
        <v>1E-4</v>
      </c>
      <c r="AC9727">
        <v>8</v>
      </c>
      <c r="AD9727" s="5">
        <v>4.9492303266729758</v>
      </c>
      <c r="AE9727" s="5">
        <v>2.1529924057198584</v>
      </c>
      <c r="AF9727">
        <v>1</v>
      </c>
    </row>
    <row r="9728" spans="27:32" x14ac:dyDescent="0.3">
      <c r="AA9728" s="3">
        <v>25303.67</v>
      </c>
      <c r="AB9728">
        <v>1E-4</v>
      </c>
      <c r="AC9728">
        <v>8</v>
      </c>
      <c r="AD9728" s="5">
        <v>4.8908731192603279</v>
      </c>
      <c r="AE9728" s="5">
        <v>2.2615939343909477</v>
      </c>
      <c r="AF9728">
        <v>1</v>
      </c>
    </row>
    <row r="9729" spans="27:32" x14ac:dyDescent="0.3">
      <c r="AA9729" s="3">
        <v>-15682.95</v>
      </c>
      <c r="AB9729">
        <v>1E-4</v>
      </c>
      <c r="AC9729">
        <v>9</v>
      </c>
      <c r="AD9729" s="5">
        <v>5.0476800143581633</v>
      </c>
      <c r="AE9729" s="5">
        <v>2.2631466421268853</v>
      </c>
      <c r="AF9729">
        <v>1</v>
      </c>
    </row>
    <row r="9730" spans="27:32" x14ac:dyDescent="0.3">
      <c r="AA9730" s="3">
        <v>-5714.66</v>
      </c>
      <c r="AB9730">
        <v>1E-4</v>
      </c>
      <c r="AC9730">
        <v>9</v>
      </c>
      <c r="AD9730" s="5">
        <v>4.9710403283978195</v>
      </c>
      <c r="AE9730" s="5">
        <v>2.2933904544105408</v>
      </c>
      <c r="AF9730">
        <v>1</v>
      </c>
    </row>
    <row r="9731" spans="27:32" x14ac:dyDescent="0.3">
      <c r="AA9731" s="3">
        <v>-7339.98</v>
      </c>
      <c r="AB9731">
        <v>1E-4</v>
      </c>
      <c r="AC9731">
        <v>9</v>
      </c>
      <c r="AD9731" s="5">
        <v>4.9274074333383737</v>
      </c>
      <c r="AE9731" s="5">
        <v>2.2041007411960587</v>
      </c>
      <c r="AF9731">
        <v>1</v>
      </c>
    </row>
    <row r="9732" spans="27:32" x14ac:dyDescent="0.3">
      <c r="AA9732" s="3">
        <v>10821.14</v>
      </c>
      <c r="AB9732">
        <v>1E-4</v>
      </c>
      <c r="AC9732">
        <v>8</v>
      </c>
      <c r="AD9732" s="5">
        <v>5.117030201918717</v>
      </c>
      <c r="AE9732" s="5">
        <v>2.2337184874421609</v>
      </c>
      <c r="AF9732">
        <v>1</v>
      </c>
    </row>
    <row r="9733" spans="27:32" x14ac:dyDescent="0.3">
      <c r="AA9733" s="3">
        <v>20071.7</v>
      </c>
      <c r="AB9733">
        <v>1E-4</v>
      </c>
      <c r="AC9733">
        <v>8</v>
      </c>
      <c r="AD9733" s="5">
        <v>4.9886751232483588</v>
      </c>
      <c r="AE9733" s="5">
        <v>2.155344115620613</v>
      </c>
      <c r="AF9733">
        <v>1</v>
      </c>
    </row>
    <row r="9734" spans="27:32" x14ac:dyDescent="0.3">
      <c r="AA9734" s="3">
        <v>-8669.0300000000007</v>
      </c>
      <c r="AB9734">
        <v>1E-4</v>
      </c>
      <c r="AC9734">
        <v>9</v>
      </c>
      <c r="AD9734" s="5">
        <v>4.8171412722445339</v>
      </c>
      <c r="AE9734" s="5">
        <v>2.1709691089207372</v>
      </c>
      <c r="AF9734">
        <v>1</v>
      </c>
    </row>
    <row r="9735" spans="27:32" x14ac:dyDescent="0.3">
      <c r="AA9735" s="3">
        <v>10379.743526556016</v>
      </c>
      <c r="AB9735">
        <v>1E-4</v>
      </c>
      <c r="AC9735">
        <v>8</v>
      </c>
      <c r="AD9735" s="5">
        <v>5.1497355763893866</v>
      </c>
      <c r="AE9735" s="5">
        <v>2.1887417929109092</v>
      </c>
      <c r="AF9735">
        <v>0</v>
      </c>
    </row>
    <row r="9736" spans="27:32" x14ac:dyDescent="0.3">
      <c r="AA9736" s="3">
        <v>15676.26</v>
      </c>
      <c r="AB9736">
        <v>1E-4</v>
      </c>
      <c r="AC9736">
        <v>8</v>
      </c>
      <c r="AD9736" s="5">
        <v>4.9710236863559993</v>
      </c>
      <c r="AE9736" s="5">
        <v>2.2675799402023977</v>
      </c>
      <c r="AF9736">
        <v>1</v>
      </c>
    </row>
    <row r="9737" spans="27:32" x14ac:dyDescent="0.3">
      <c r="AA9737" s="3">
        <v>9786.5499999999993</v>
      </c>
      <c r="AB9737">
        <v>1E-4</v>
      </c>
      <c r="AC9737">
        <v>8</v>
      </c>
      <c r="AD9737" s="5">
        <v>5.0015980759034582</v>
      </c>
      <c r="AE9737" s="5">
        <v>2.2362656952371278</v>
      </c>
      <c r="AF9737">
        <v>1</v>
      </c>
    </row>
    <row r="9738" spans="27:32" x14ac:dyDescent="0.3">
      <c r="AA9738" s="3">
        <v>39158.94</v>
      </c>
      <c r="AB9738">
        <v>1E-4</v>
      </c>
      <c r="AC9738">
        <v>7</v>
      </c>
      <c r="AD9738" s="5">
        <v>5.0371495726018436</v>
      </c>
      <c r="AE9738" s="5">
        <v>2.1985896375395226</v>
      </c>
      <c r="AF9738">
        <v>1</v>
      </c>
    </row>
    <row r="9739" spans="27:32" x14ac:dyDescent="0.3">
      <c r="AA9739" s="3">
        <v>34672.49</v>
      </c>
      <c r="AB9739">
        <v>1E-4</v>
      </c>
      <c r="AC9739">
        <v>7</v>
      </c>
      <c r="AD9739" s="5">
        <v>5.0805201362379462</v>
      </c>
      <c r="AE9739" s="5">
        <v>2.27871428807752</v>
      </c>
      <c r="AF9739">
        <v>1</v>
      </c>
    </row>
    <row r="9740" spans="27:32" x14ac:dyDescent="0.3">
      <c r="AA9740" s="3">
        <v>34358.559999999998</v>
      </c>
      <c r="AB9740">
        <v>1E-4</v>
      </c>
      <c r="AC9740">
        <v>7</v>
      </c>
      <c r="AD9740" s="5">
        <v>5.0535185208838236</v>
      </c>
      <c r="AE9740" s="5">
        <v>2.1005939754693506</v>
      </c>
      <c r="AF9740">
        <v>1</v>
      </c>
    </row>
    <row r="9741" spans="27:32" x14ac:dyDescent="0.3">
      <c r="AA9741" s="3">
        <v>-5425.78</v>
      </c>
      <c r="AB9741">
        <v>1E-4</v>
      </c>
      <c r="AC9741">
        <v>9</v>
      </c>
      <c r="AD9741" s="5">
        <v>4.9039739041351202</v>
      </c>
      <c r="AE9741" s="5">
        <v>2.168059332597819</v>
      </c>
      <c r="AF9741">
        <v>1</v>
      </c>
    </row>
    <row r="9742" spans="27:32" x14ac:dyDescent="0.3">
      <c r="AA9742" s="3">
        <v>23095.21</v>
      </c>
      <c r="AB9742">
        <v>1E-4</v>
      </c>
      <c r="AC9742">
        <v>8</v>
      </c>
      <c r="AD9742" s="5">
        <v>4.9369468601689137</v>
      </c>
      <c r="AE9742" s="5">
        <v>2.1599353164005022</v>
      </c>
      <c r="AF9742">
        <v>1</v>
      </c>
    </row>
    <row r="9743" spans="27:32" x14ac:dyDescent="0.3">
      <c r="AA9743" s="3">
        <v>27329.77</v>
      </c>
      <c r="AB9743">
        <v>1E-4</v>
      </c>
      <c r="AC9743">
        <v>8</v>
      </c>
      <c r="AD9743" s="5">
        <v>5.0152113644595353</v>
      </c>
      <c r="AE9743" s="5">
        <v>2.243591475860748</v>
      </c>
      <c r="AF9743">
        <v>1</v>
      </c>
    </row>
    <row r="9744" spans="27:32" x14ac:dyDescent="0.3">
      <c r="AA9744" s="3">
        <v>1133.26</v>
      </c>
      <c r="AB9744">
        <v>1E-4</v>
      </c>
      <c r="AC9744">
        <v>8</v>
      </c>
      <c r="AD9744" s="5">
        <v>5.0166518952268362</v>
      </c>
      <c r="AE9744" s="5">
        <v>2.2397893125064234</v>
      </c>
      <c r="AF9744">
        <v>1</v>
      </c>
    </row>
    <row r="9745" spans="27:32" x14ac:dyDescent="0.3">
      <c r="AA9745" s="3">
        <v>13702.5</v>
      </c>
      <c r="AB9745">
        <v>1E-4</v>
      </c>
      <c r="AC9745">
        <v>8</v>
      </c>
      <c r="AD9745" s="5">
        <v>4.8727494582538977</v>
      </c>
      <c r="AE9745" s="5">
        <v>2.2445076522865044</v>
      </c>
      <c r="AF9745">
        <v>1</v>
      </c>
    </row>
    <row r="9746" spans="27:32" x14ac:dyDescent="0.3">
      <c r="AA9746" s="3">
        <v>15110.53</v>
      </c>
      <c r="AB9746">
        <v>1E-4</v>
      </c>
      <c r="AC9746">
        <v>8</v>
      </c>
      <c r="AD9746" s="5">
        <v>4.9548653852654914</v>
      </c>
      <c r="AE9746" s="5">
        <v>2.256247084008518</v>
      </c>
      <c r="AF9746">
        <v>1</v>
      </c>
    </row>
    <row r="9747" spans="27:32" x14ac:dyDescent="0.3">
      <c r="AA9747" s="3">
        <v>-7914.53</v>
      </c>
      <c r="AB9747">
        <v>1E-4</v>
      </c>
      <c r="AC9747">
        <v>9</v>
      </c>
      <c r="AD9747" s="5">
        <v>4.8726647606567202</v>
      </c>
      <c r="AE9747" s="5">
        <v>2.2167738335550267</v>
      </c>
      <c r="AF9747">
        <v>1</v>
      </c>
    </row>
    <row r="9748" spans="27:32" x14ac:dyDescent="0.3">
      <c r="AA9748" s="3">
        <v>28915.41</v>
      </c>
      <c r="AB9748">
        <v>1E-4</v>
      </c>
      <c r="AC9748">
        <v>7</v>
      </c>
      <c r="AD9748" s="5">
        <v>5.1198826648917288</v>
      </c>
      <c r="AE9748" s="5">
        <v>2.2294535938023912</v>
      </c>
      <c r="AF9748">
        <v>1</v>
      </c>
    </row>
    <row r="9749" spans="27:32" x14ac:dyDescent="0.3">
      <c r="AA9749" s="3">
        <v>-33027.537923978714</v>
      </c>
      <c r="AB9749">
        <v>1E-4</v>
      </c>
      <c r="AC9749">
        <v>9</v>
      </c>
      <c r="AD9749" s="5">
        <v>4.9969614663812552</v>
      </c>
      <c r="AE9749" s="5">
        <v>2.3054074510244593</v>
      </c>
      <c r="AF9749">
        <v>0</v>
      </c>
    </row>
    <row r="9750" spans="27:32" x14ac:dyDescent="0.3">
      <c r="AA9750" s="3">
        <v>39650.22</v>
      </c>
      <c r="AB9750">
        <v>1E-4</v>
      </c>
      <c r="AC9750">
        <v>7</v>
      </c>
      <c r="AD9750" s="5">
        <v>4.9543419968958373</v>
      </c>
      <c r="AE9750" s="5">
        <v>2.2337757715860529</v>
      </c>
      <c r="AF9750">
        <v>1</v>
      </c>
    </row>
    <row r="9751" spans="27:32" x14ac:dyDescent="0.3">
      <c r="AA9751" s="3">
        <v>14582.58</v>
      </c>
      <c r="AB9751">
        <v>1E-4</v>
      </c>
      <c r="AC9751">
        <v>8</v>
      </c>
      <c r="AD9751" s="5">
        <v>5.0077070645621617</v>
      </c>
      <c r="AE9751" s="5">
        <v>2.1577618519120176</v>
      </c>
      <c r="AF9751">
        <v>1</v>
      </c>
    </row>
    <row r="9752" spans="27:32" x14ac:dyDescent="0.3">
      <c r="AA9752" s="3">
        <v>20497.89</v>
      </c>
      <c r="AB9752">
        <v>1E-4</v>
      </c>
      <c r="AC9752">
        <v>8</v>
      </c>
      <c r="AD9752" s="5">
        <v>4.872734203220622</v>
      </c>
      <c r="AE9752" s="5">
        <v>2.2655259490808719</v>
      </c>
      <c r="AF9752">
        <v>1</v>
      </c>
    </row>
    <row r="9753" spans="27:32" x14ac:dyDescent="0.3">
      <c r="AA9753" s="3">
        <v>-6734.87</v>
      </c>
      <c r="AB9753">
        <v>1E-4</v>
      </c>
      <c r="AC9753">
        <v>9</v>
      </c>
      <c r="AD9753" s="5">
        <v>4.9233088678601513</v>
      </c>
      <c r="AE9753" s="5">
        <v>2.1336432629783233</v>
      </c>
      <c r="AF9753">
        <v>1</v>
      </c>
    </row>
    <row r="9754" spans="27:32" x14ac:dyDescent="0.3">
      <c r="AA9754" s="3">
        <v>19953.75</v>
      </c>
      <c r="AB9754">
        <v>1E-4</v>
      </c>
      <c r="AC9754">
        <v>8</v>
      </c>
      <c r="AD9754" s="5">
        <v>4.8687269226635257</v>
      </c>
      <c r="AE9754" s="5">
        <v>2.1309449277466639</v>
      </c>
      <c r="AF9754">
        <v>1</v>
      </c>
    </row>
    <row r="9755" spans="27:32" x14ac:dyDescent="0.3">
      <c r="AA9755" s="3">
        <v>-6834.31</v>
      </c>
      <c r="AB9755">
        <v>1E-4</v>
      </c>
      <c r="AC9755">
        <v>9</v>
      </c>
      <c r="AD9755" s="5">
        <v>4.8961915249938857</v>
      </c>
      <c r="AE9755" s="5">
        <v>2.2234906598550368</v>
      </c>
      <c r="AF9755">
        <v>1</v>
      </c>
    </row>
    <row r="9756" spans="27:32" x14ac:dyDescent="0.3">
      <c r="AA9756" s="3">
        <v>11836.58</v>
      </c>
      <c r="AB9756">
        <v>1E-4</v>
      </c>
      <c r="AC9756">
        <v>8</v>
      </c>
      <c r="AD9756" s="5">
        <v>5.0740908083218885</v>
      </c>
      <c r="AE9756" s="5">
        <v>2.2458842103442636</v>
      </c>
      <c r="AF9756">
        <v>1</v>
      </c>
    </row>
    <row r="9757" spans="27:32" x14ac:dyDescent="0.3">
      <c r="AA9757" s="3">
        <v>20633.04</v>
      </c>
      <c r="AB9757">
        <v>1E-4</v>
      </c>
      <c r="AC9757">
        <v>8</v>
      </c>
      <c r="AD9757" s="5">
        <v>5.0000636539151362</v>
      </c>
      <c r="AE9757" s="5">
        <v>2.2020133310282781</v>
      </c>
      <c r="AF9757">
        <v>1</v>
      </c>
    </row>
    <row r="9758" spans="27:32" x14ac:dyDescent="0.3">
      <c r="AA9758" s="3">
        <v>-4749.21</v>
      </c>
      <c r="AB9758">
        <v>1E-4</v>
      </c>
      <c r="AC9758">
        <v>9</v>
      </c>
      <c r="AD9758" s="5">
        <v>4.9905057632906376</v>
      </c>
      <c r="AE9758" s="5">
        <v>2.2432584118133221</v>
      </c>
      <c r="AF9758">
        <v>1</v>
      </c>
    </row>
    <row r="9759" spans="27:32" x14ac:dyDescent="0.3">
      <c r="AA9759" s="3">
        <v>3206.53</v>
      </c>
      <c r="AB9759">
        <v>1E-4</v>
      </c>
      <c r="AC9759">
        <v>8</v>
      </c>
      <c r="AD9759" s="5">
        <v>5.0907588222349078</v>
      </c>
      <c r="AE9759" s="5">
        <v>2.1382453533877115</v>
      </c>
      <c r="AF9759">
        <v>1</v>
      </c>
    </row>
    <row r="9760" spans="27:32" x14ac:dyDescent="0.3">
      <c r="AA9760" s="3">
        <v>12029.8</v>
      </c>
      <c r="AB9760">
        <v>1E-4</v>
      </c>
      <c r="AC9760">
        <v>8</v>
      </c>
      <c r="AD9760" s="5">
        <v>4.9164813341966163</v>
      </c>
      <c r="AE9760" s="5">
        <v>2.2006283443932531</v>
      </c>
      <c r="AF9760">
        <v>1</v>
      </c>
    </row>
    <row r="9761" spans="27:32" x14ac:dyDescent="0.3">
      <c r="AA9761" s="3">
        <v>16587.009999999998</v>
      </c>
      <c r="AB9761">
        <v>1E-4</v>
      </c>
      <c r="AC9761">
        <v>8</v>
      </c>
      <c r="AD9761" s="5">
        <v>5.0063152543964202</v>
      </c>
      <c r="AE9761" s="5">
        <v>2.194780020592392</v>
      </c>
      <c r="AF9761">
        <v>1</v>
      </c>
    </row>
    <row r="9762" spans="27:32" x14ac:dyDescent="0.3">
      <c r="AA9762" s="3">
        <v>30797.61</v>
      </c>
      <c r="AB9762">
        <v>1E-4</v>
      </c>
      <c r="AC9762">
        <v>7</v>
      </c>
      <c r="AD9762" s="5">
        <v>4.8723799663163883</v>
      </c>
      <c r="AE9762" s="5">
        <v>2.2909525505756374</v>
      </c>
      <c r="AF9762">
        <v>1</v>
      </c>
    </row>
    <row r="9763" spans="27:32" x14ac:dyDescent="0.3">
      <c r="AA9763" s="3">
        <v>-22238.44</v>
      </c>
      <c r="AB9763">
        <v>1E-4</v>
      </c>
      <c r="AC9763">
        <v>9</v>
      </c>
      <c r="AD9763" s="5">
        <v>4.9640624292387701</v>
      </c>
      <c r="AE9763" s="5">
        <v>2.2179858911639503</v>
      </c>
      <c r="AF9763">
        <v>1</v>
      </c>
    </row>
    <row r="9764" spans="27:32" x14ac:dyDescent="0.3">
      <c r="AA9764" s="3">
        <v>9046.73</v>
      </c>
      <c r="AB9764">
        <v>1E-4</v>
      </c>
      <c r="AC9764">
        <v>8</v>
      </c>
      <c r="AD9764" s="5">
        <v>4.9185543962427225</v>
      </c>
      <c r="AE9764" s="5">
        <v>2.2491748765848243</v>
      </c>
      <c r="AF9764">
        <v>1</v>
      </c>
    </row>
    <row r="9765" spans="27:32" x14ac:dyDescent="0.3">
      <c r="AA9765" s="3">
        <v>22307.4</v>
      </c>
      <c r="AB9765">
        <v>1E-4</v>
      </c>
      <c r="AC9765">
        <v>8</v>
      </c>
      <c r="AD9765" s="5">
        <v>5.1108165460869417</v>
      </c>
      <c r="AE9765" s="5">
        <v>2.1384229108887181</v>
      </c>
      <c r="AF9765">
        <v>1</v>
      </c>
    </row>
    <row r="9766" spans="27:32" x14ac:dyDescent="0.3">
      <c r="AA9766" s="3">
        <v>15843.81</v>
      </c>
      <c r="AB9766">
        <v>1E-4</v>
      </c>
      <c r="AC9766">
        <v>8</v>
      </c>
      <c r="AD9766" s="5">
        <v>5.1173758324575562</v>
      </c>
      <c r="AE9766" s="5">
        <v>2.1774805619524371</v>
      </c>
      <c r="AF9766">
        <v>1</v>
      </c>
    </row>
    <row r="9767" spans="27:32" x14ac:dyDescent="0.3">
      <c r="AA9767" s="3">
        <v>7483.72</v>
      </c>
      <c r="AB9767">
        <v>1E-4</v>
      </c>
      <c r="AC9767">
        <v>8</v>
      </c>
      <c r="AD9767" s="5">
        <v>4.8886936283572062</v>
      </c>
      <c r="AE9767" s="5">
        <v>2.1976073168727579</v>
      </c>
      <c r="AF9767">
        <v>1</v>
      </c>
    </row>
    <row r="9768" spans="27:32" x14ac:dyDescent="0.3">
      <c r="AA9768" s="3">
        <v>-4118.24</v>
      </c>
      <c r="AB9768">
        <v>1E-4</v>
      </c>
      <c r="AC9768">
        <v>9</v>
      </c>
      <c r="AD9768" s="5">
        <v>4.9508042491624176</v>
      </c>
      <c r="AE9768" s="5">
        <v>2.1958571675445357</v>
      </c>
      <c r="AF9768">
        <v>1</v>
      </c>
    </row>
    <row r="9769" spans="27:32" x14ac:dyDescent="0.3">
      <c r="AA9769" s="3">
        <v>26472.6</v>
      </c>
      <c r="AB9769">
        <v>1E-4</v>
      </c>
      <c r="AC9769">
        <v>8</v>
      </c>
      <c r="AD9769" s="5">
        <v>5.1589212089557339</v>
      </c>
      <c r="AE9769" s="5">
        <v>2.1582250697341574</v>
      </c>
      <c r="AF9769">
        <v>1</v>
      </c>
    </row>
    <row r="9770" spans="27:32" x14ac:dyDescent="0.3">
      <c r="AA9770" s="3">
        <v>-4417.71</v>
      </c>
      <c r="AB9770">
        <v>1E-4</v>
      </c>
      <c r="AC9770">
        <v>9</v>
      </c>
      <c r="AD9770" s="5">
        <v>4.9802537045323509</v>
      </c>
      <c r="AE9770" s="5">
        <v>2.2395058282921338</v>
      </c>
      <c r="AF9770">
        <v>1</v>
      </c>
    </row>
    <row r="9771" spans="27:32" x14ac:dyDescent="0.3">
      <c r="AA9771" s="3">
        <v>-5736.98</v>
      </c>
      <c r="AB9771">
        <v>1E-4</v>
      </c>
      <c r="AC9771">
        <v>9</v>
      </c>
      <c r="AD9771" s="5">
        <v>5.0327957599008322</v>
      </c>
      <c r="AE9771" s="5">
        <v>2.195558420240967</v>
      </c>
      <c r="AF9771">
        <v>1</v>
      </c>
    </row>
    <row r="9772" spans="27:32" x14ac:dyDescent="0.3">
      <c r="AA9772" s="3">
        <v>21285.49</v>
      </c>
      <c r="AB9772">
        <v>1E-4</v>
      </c>
      <c r="AC9772">
        <v>8</v>
      </c>
      <c r="AD9772" s="5">
        <v>4.9835971819719145</v>
      </c>
      <c r="AE9772" s="5">
        <v>2.2533797453425986</v>
      </c>
      <c r="AF9772">
        <v>1</v>
      </c>
    </row>
    <row r="9773" spans="27:32" x14ac:dyDescent="0.3">
      <c r="AA9773" s="3">
        <v>-5234.21</v>
      </c>
      <c r="AB9773">
        <v>1E-4</v>
      </c>
      <c r="AC9773">
        <v>9</v>
      </c>
      <c r="AD9773" s="5">
        <v>4.9358796844536297</v>
      </c>
      <c r="AE9773" s="5">
        <v>2.2523147791331337</v>
      </c>
      <c r="AF9773">
        <v>1</v>
      </c>
    </row>
    <row r="9774" spans="27:32" x14ac:dyDescent="0.3">
      <c r="AA9774" s="3">
        <v>-25099.46140822933</v>
      </c>
      <c r="AB9774">
        <v>1E-4</v>
      </c>
      <c r="AC9774">
        <v>9</v>
      </c>
      <c r="AD9774" s="5">
        <v>4.9884575575887711</v>
      </c>
      <c r="AE9774" s="5">
        <v>2.1628275965730621</v>
      </c>
      <c r="AF9774">
        <v>0</v>
      </c>
    </row>
    <row r="9775" spans="27:32" x14ac:dyDescent="0.3">
      <c r="AA9775" s="3">
        <v>19571.71</v>
      </c>
      <c r="AB9775">
        <v>1E-4</v>
      </c>
      <c r="AC9775">
        <v>8</v>
      </c>
      <c r="AD9775" s="5">
        <v>5.0546716840809607</v>
      </c>
      <c r="AE9775" s="5">
        <v>2.1939415166139105</v>
      </c>
      <c r="AF9775">
        <v>1</v>
      </c>
    </row>
    <row r="9776" spans="27:32" x14ac:dyDescent="0.3">
      <c r="AA9776" s="3">
        <v>22648.06</v>
      </c>
      <c r="AB9776">
        <v>1E-4</v>
      </c>
      <c r="AC9776">
        <v>8</v>
      </c>
      <c r="AD9776" s="5">
        <v>5.0813204280813764</v>
      </c>
      <c r="AE9776" s="5">
        <v>2.186415619478598</v>
      </c>
      <c r="AF9776">
        <v>1</v>
      </c>
    </row>
    <row r="9777" spans="27:32" x14ac:dyDescent="0.3">
      <c r="AA9777" s="3">
        <v>-1522.75</v>
      </c>
      <c r="AB9777">
        <v>1E-4</v>
      </c>
      <c r="AC9777">
        <v>9</v>
      </c>
      <c r="AD9777" s="5">
        <v>4.9868029749128659</v>
      </c>
      <c r="AE9777" s="5">
        <v>2.194678213398773</v>
      </c>
      <c r="AF9777">
        <v>1</v>
      </c>
    </row>
    <row r="9778" spans="27:32" x14ac:dyDescent="0.3">
      <c r="AA9778" s="3">
        <v>19408.23</v>
      </c>
      <c r="AB9778">
        <v>1E-4</v>
      </c>
      <c r="AC9778">
        <v>8</v>
      </c>
      <c r="AD9778" s="5">
        <v>5.2477884636861365</v>
      </c>
      <c r="AE9778" s="5">
        <v>2.1215239548958218</v>
      </c>
      <c r="AF9778">
        <v>1</v>
      </c>
    </row>
    <row r="9779" spans="27:32" x14ac:dyDescent="0.3">
      <c r="AA9779" s="3">
        <v>56547.44</v>
      </c>
      <c r="AB9779">
        <v>1E-4</v>
      </c>
      <c r="AC9779">
        <v>6</v>
      </c>
      <c r="AD9779" s="5">
        <v>5.1929211094336196</v>
      </c>
      <c r="AE9779" s="5">
        <v>2.162096198135973</v>
      </c>
      <c r="AF9779">
        <v>1</v>
      </c>
    </row>
    <row r="9780" spans="27:32" x14ac:dyDescent="0.3">
      <c r="AA9780" s="3">
        <v>40080.480000000003</v>
      </c>
      <c r="AB9780">
        <v>1E-4</v>
      </c>
      <c r="AC9780">
        <v>7</v>
      </c>
      <c r="AD9780" s="5">
        <v>5.1306970897211315</v>
      </c>
      <c r="AE9780" s="5">
        <v>2.1980584247811259</v>
      </c>
      <c r="AF9780">
        <v>1</v>
      </c>
    </row>
    <row r="9781" spans="27:32" x14ac:dyDescent="0.3">
      <c r="AA9781" s="3">
        <v>-2521.52</v>
      </c>
      <c r="AB9781">
        <v>1E-4</v>
      </c>
      <c r="AC9781">
        <v>9</v>
      </c>
      <c r="AD9781" s="5">
        <v>4.9555421620043383</v>
      </c>
      <c r="AE9781" s="5">
        <v>2.3086021981201266</v>
      </c>
      <c r="AF9781">
        <v>1</v>
      </c>
    </row>
    <row r="9782" spans="27:32" x14ac:dyDescent="0.3">
      <c r="AA9782" s="3">
        <v>25438</v>
      </c>
      <c r="AB9782">
        <v>1E-4</v>
      </c>
      <c r="AC9782">
        <v>8</v>
      </c>
      <c r="AD9782" s="5">
        <v>5.0500669236134366</v>
      </c>
      <c r="AE9782" s="5">
        <v>2.2002665887629114</v>
      </c>
      <c r="AF9782">
        <v>1</v>
      </c>
    </row>
    <row r="9783" spans="27:32" x14ac:dyDescent="0.3">
      <c r="AA9783" s="3">
        <v>-5510.9</v>
      </c>
      <c r="AB9783">
        <v>1E-4</v>
      </c>
      <c r="AC9783">
        <v>9</v>
      </c>
      <c r="AD9783" s="5">
        <v>5.1196009417979553</v>
      </c>
      <c r="AE9783" s="5">
        <v>2.1503661137378276</v>
      </c>
      <c r="AF9783">
        <v>1</v>
      </c>
    </row>
    <row r="9784" spans="27:32" x14ac:dyDescent="0.3">
      <c r="AA9784" s="3">
        <v>11290.82</v>
      </c>
      <c r="AB9784">
        <v>1E-4</v>
      </c>
      <c r="AC9784">
        <v>8</v>
      </c>
      <c r="AD9784" s="5">
        <v>5.0898112786558549</v>
      </c>
      <c r="AE9784" s="5">
        <v>2.1505795436584019</v>
      </c>
      <c r="AF9784">
        <v>1</v>
      </c>
    </row>
    <row r="9785" spans="27:32" x14ac:dyDescent="0.3">
      <c r="AA9785" s="3">
        <v>14989.58</v>
      </c>
      <c r="AB9785">
        <v>1E-4</v>
      </c>
      <c r="AC9785">
        <v>8</v>
      </c>
      <c r="AD9785" s="5">
        <v>4.8803610162778988</v>
      </c>
      <c r="AE9785" s="5">
        <v>2.231552758036413</v>
      </c>
      <c r="AF9785">
        <v>1</v>
      </c>
    </row>
    <row r="9786" spans="27:32" x14ac:dyDescent="0.3">
      <c r="AA9786" s="3">
        <v>15182.84</v>
      </c>
      <c r="AB9786">
        <v>1E-4</v>
      </c>
      <c r="AC9786">
        <v>8</v>
      </c>
      <c r="AD9786" s="5">
        <v>5.0949643732270173</v>
      </c>
      <c r="AE9786" s="5">
        <v>2.197395688282727</v>
      </c>
      <c r="AF9786">
        <v>1</v>
      </c>
    </row>
    <row r="9787" spans="27:32" x14ac:dyDescent="0.3">
      <c r="AA9787" s="3">
        <v>34320.410000000003</v>
      </c>
      <c r="AB9787">
        <v>1E-4</v>
      </c>
      <c r="AC9787">
        <v>7</v>
      </c>
      <c r="AD9787" s="5">
        <v>4.9279250725584154</v>
      </c>
      <c r="AE9787" s="5">
        <v>2.1345946893391852</v>
      </c>
      <c r="AF9787">
        <v>1</v>
      </c>
    </row>
    <row r="9788" spans="27:32" x14ac:dyDescent="0.3">
      <c r="AA9788" s="3">
        <v>35276.25</v>
      </c>
      <c r="AB9788">
        <v>1E-4</v>
      </c>
      <c r="AC9788">
        <v>7</v>
      </c>
      <c r="AD9788" s="5">
        <v>5.0866934002410833</v>
      </c>
      <c r="AE9788" s="5">
        <v>2.1915944168666313</v>
      </c>
      <c r="AF9788">
        <v>1</v>
      </c>
    </row>
    <row r="9789" spans="27:32" x14ac:dyDescent="0.3">
      <c r="AA9789" s="3">
        <v>35188.160000000003</v>
      </c>
      <c r="AB9789">
        <v>1E-4</v>
      </c>
      <c r="AC9789">
        <v>7</v>
      </c>
      <c r="AD9789" s="5">
        <v>4.9319697357210224</v>
      </c>
      <c r="AE9789" s="5">
        <v>2.2493753110963275</v>
      </c>
      <c r="AF9789">
        <v>1</v>
      </c>
    </row>
    <row r="9790" spans="27:32" x14ac:dyDescent="0.3">
      <c r="AA9790" s="3">
        <v>18586.52</v>
      </c>
      <c r="AB9790">
        <v>1E-4</v>
      </c>
      <c r="AC9790">
        <v>8</v>
      </c>
      <c r="AD9790" s="5">
        <v>4.9961877245063748</v>
      </c>
      <c r="AE9790" s="5">
        <v>2.2435828160106288</v>
      </c>
      <c r="AF9790">
        <v>1</v>
      </c>
    </row>
    <row r="9791" spans="27:32" x14ac:dyDescent="0.3">
      <c r="AA9791" s="3">
        <v>-724.15</v>
      </c>
      <c r="AB9791">
        <v>1E-4</v>
      </c>
      <c r="AC9791">
        <v>9</v>
      </c>
      <c r="AD9791" s="5">
        <v>4.8500718035411694</v>
      </c>
      <c r="AE9791" s="5">
        <v>2.1764606201293604</v>
      </c>
      <c r="AF9791">
        <v>1</v>
      </c>
    </row>
    <row r="9792" spans="27:32" x14ac:dyDescent="0.3">
      <c r="AA9792" s="3">
        <v>12958.74</v>
      </c>
      <c r="AB9792">
        <v>1E-4</v>
      </c>
      <c r="AC9792">
        <v>8</v>
      </c>
      <c r="AD9792" s="5">
        <v>4.9504521317567303</v>
      </c>
      <c r="AE9792" s="5">
        <v>2.1478063067143958</v>
      </c>
      <c r="AF9792">
        <v>1</v>
      </c>
    </row>
    <row r="9793" spans="27:32" x14ac:dyDescent="0.3">
      <c r="AA9793" s="3">
        <v>26066.39</v>
      </c>
      <c r="AB9793">
        <v>1E-4</v>
      </c>
      <c r="AC9793">
        <v>8</v>
      </c>
      <c r="AD9793" s="5">
        <v>4.9766351180956727</v>
      </c>
      <c r="AE9793" s="5">
        <v>2.160462923055638</v>
      </c>
      <c r="AF9793">
        <v>1</v>
      </c>
    </row>
    <row r="9794" spans="27:32" x14ac:dyDescent="0.3">
      <c r="AA9794" s="3">
        <v>33834.550000000003</v>
      </c>
      <c r="AB9794">
        <v>1E-4</v>
      </c>
      <c r="AC9794">
        <v>7</v>
      </c>
      <c r="AD9794" s="5">
        <v>5.2564257845874369</v>
      </c>
      <c r="AE9794" s="5">
        <v>2.1553913594899026</v>
      </c>
      <c r="AF9794">
        <v>1</v>
      </c>
    </row>
    <row r="9795" spans="27:32" x14ac:dyDescent="0.3">
      <c r="AA9795" s="3">
        <v>20707.46</v>
      </c>
      <c r="AB9795">
        <v>1E-4</v>
      </c>
      <c r="AC9795">
        <v>8</v>
      </c>
      <c r="AD9795" s="5">
        <v>4.9925767460278934</v>
      </c>
      <c r="AE9795" s="5">
        <v>2.2596862537350502</v>
      </c>
      <c r="AF9795">
        <v>1</v>
      </c>
    </row>
    <row r="9796" spans="27:32" x14ac:dyDescent="0.3">
      <c r="AA9796" s="3">
        <v>44138.78</v>
      </c>
      <c r="AB9796">
        <v>1E-4</v>
      </c>
      <c r="AC9796">
        <v>7</v>
      </c>
      <c r="AD9796" s="5">
        <v>5.0253196812120109</v>
      </c>
      <c r="AE9796" s="5">
        <v>2.1281976968856862</v>
      </c>
      <c r="AF9796">
        <v>1</v>
      </c>
    </row>
    <row r="9797" spans="27:32" x14ac:dyDescent="0.3">
      <c r="AA9797" s="3">
        <v>31722.07</v>
      </c>
      <c r="AB9797">
        <v>1E-4</v>
      </c>
      <c r="AC9797">
        <v>7</v>
      </c>
      <c r="AD9797" s="5">
        <v>5.0462464422896947</v>
      </c>
      <c r="AE9797" s="5">
        <v>2.2078037699376001</v>
      </c>
      <c r="AF9797">
        <v>1</v>
      </c>
    </row>
    <row r="9798" spans="27:32" x14ac:dyDescent="0.3">
      <c r="AA9798" s="3">
        <v>-34120.148369461189</v>
      </c>
      <c r="AB9798">
        <v>1E-4</v>
      </c>
      <c r="AC9798">
        <v>9</v>
      </c>
      <c r="AD9798" s="5">
        <v>4.9018398994431296</v>
      </c>
      <c r="AE9798" s="5">
        <v>2.1965499587975046</v>
      </c>
      <c r="AF9798">
        <v>0</v>
      </c>
    </row>
    <row r="9799" spans="27:32" x14ac:dyDescent="0.3">
      <c r="AA9799" s="3">
        <v>8802.11</v>
      </c>
      <c r="AB9799">
        <v>1E-4</v>
      </c>
      <c r="AC9799">
        <v>8</v>
      </c>
      <c r="AD9799" s="5">
        <v>4.9053592544949902</v>
      </c>
      <c r="AE9799" s="5">
        <v>2.1958395785025497</v>
      </c>
      <c r="AF9799">
        <v>1</v>
      </c>
    </row>
    <row r="9800" spans="27:32" x14ac:dyDescent="0.3">
      <c r="AA9800" s="3">
        <v>6748.69</v>
      </c>
      <c r="AB9800">
        <v>1E-4</v>
      </c>
      <c r="AC9800">
        <v>8</v>
      </c>
      <c r="AD9800" s="5">
        <v>4.9462300957151966</v>
      </c>
      <c r="AE9800" s="5">
        <v>2.160343290880224</v>
      </c>
      <c r="AF9800">
        <v>1</v>
      </c>
    </row>
    <row r="9801" spans="27:32" x14ac:dyDescent="0.3">
      <c r="AA9801" s="3">
        <v>34219.43</v>
      </c>
      <c r="AB9801">
        <v>1E-4</v>
      </c>
      <c r="AC9801">
        <v>7</v>
      </c>
      <c r="AD9801" s="5">
        <v>5.0061934797980845</v>
      </c>
      <c r="AE9801" s="5">
        <v>2.2289396486563939</v>
      </c>
      <c r="AF9801">
        <v>1</v>
      </c>
    </row>
    <row r="9802" spans="27:32" x14ac:dyDescent="0.3">
      <c r="AA9802" s="3">
        <v>72984.149999999994</v>
      </c>
      <c r="AB9802">
        <v>1E-4</v>
      </c>
      <c r="AC9802">
        <v>6</v>
      </c>
      <c r="AD9802" s="5">
        <v>5.1999778482428205</v>
      </c>
      <c r="AE9802" s="5">
        <v>2.1265823710732592</v>
      </c>
      <c r="AF9802">
        <v>1</v>
      </c>
    </row>
    <row r="9803" spans="27:32" x14ac:dyDescent="0.3">
      <c r="AA9803" s="3">
        <v>9210.39</v>
      </c>
      <c r="AB9803">
        <v>1E-4</v>
      </c>
      <c r="AC9803">
        <v>8</v>
      </c>
      <c r="AD9803" s="5">
        <v>5.2557860508554981</v>
      </c>
      <c r="AE9803" s="5">
        <v>2.1546612602049504</v>
      </c>
      <c r="AF9803">
        <v>1</v>
      </c>
    </row>
    <row r="9804" spans="27:32" x14ac:dyDescent="0.3">
      <c r="AA9804" s="3">
        <v>3708.33</v>
      </c>
      <c r="AB9804">
        <v>1E-4</v>
      </c>
      <c r="AC9804">
        <v>8</v>
      </c>
      <c r="AD9804" s="5">
        <v>4.7772456645114163</v>
      </c>
      <c r="AE9804" s="5">
        <v>2.2440813086912286</v>
      </c>
      <c r="AF9804">
        <v>1</v>
      </c>
    </row>
    <row r="9805" spans="27:32" x14ac:dyDescent="0.3">
      <c r="AA9805" s="3">
        <v>18709.98</v>
      </c>
      <c r="AB9805">
        <v>1E-4</v>
      </c>
      <c r="AC9805">
        <v>8</v>
      </c>
      <c r="AD9805" s="5">
        <v>5.1091128404082227</v>
      </c>
      <c r="AE9805" s="5">
        <v>2.1786415099478238</v>
      </c>
      <c r="AF9805">
        <v>1</v>
      </c>
    </row>
    <row r="9806" spans="27:32" x14ac:dyDescent="0.3">
      <c r="AA9806" s="3">
        <v>31634.53</v>
      </c>
      <c r="AB9806">
        <v>1E-4</v>
      </c>
      <c r="AC9806">
        <v>7</v>
      </c>
      <c r="AD9806" s="5">
        <v>5.2204581619869961</v>
      </c>
      <c r="AE9806" s="5">
        <v>2.1976053427257241</v>
      </c>
      <c r="AF9806">
        <v>1</v>
      </c>
    </row>
    <row r="9807" spans="27:32" x14ac:dyDescent="0.3">
      <c r="AA9807" s="3">
        <v>16997.63</v>
      </c>
      <c r="AB9807">
        <v>1E-4</v>
      </c>
      <c r="AC9807">
        <v>8</v>
      </c>
      <c r="AD9807" s="5">
        <v>4.9175164836037188</v>
      </c>
      <c r="AE9807" s="5">
        <v>2.299490271038922</v>
      </c>
      <c r="AF9807">
        <v>1</v>
      </c>
    </row>
    <row r="9808" spans="27:32" x14ac:dyDescent="0.3">
      <c r="AA9808" s="3">
        <v>34542.300000000003</v>
      </c>
      <c r="AB9808">
        <v>1E-4</v>
      </c>
      <c r="AC9808">
        <v>7</v>
      </c>
      <c r="AD9808" s="5">
        <v>5.0876967769171584</v>
      </c>
      <c r="AE9808" s="5">
        <v>2.1015243961297618</v>
      </c>
      <c r="AF9808">
        <v>1</v>
      </c>
    </row>
    <row r="9809" spans="27:32" x14ac:dyDescent="0.3">
      <c r="AA9809" s="3">
        <v>42048.65</v>
      </c>
      <c r="AB9809">
        <v>1E-4</v>
      </c>
      <c r="AC9809">
        <v>7</v>
      </c>
      <c r="AD9809" s="5">
        <v>5.1024004450274463</v>
      </c>
      <c r="AE9809" s="5">
        <v>2.2341545744584863</v>
      </c>
      <c r="AF9809">
        <v>1</v>
      </c>
    </row>
    <row r="9810" spans="27:32" x14ac:dyDescent="0.3">
      <c r="AA9810" s="3">
        <v>13897.21</v>
      </c>
      <c r="AB9810">
        <v>1E-4</v>
      </c>
      <c r="AC9810">
        <v>8</v>
      </c>
      <c r="AD9810" s="5">
        <v>5.0151975068031645</v>
      </c>
      <c r="AE9810" s="5">
        <v>2.2467812046500661</v>
      </c>
      <c r="AF9810">
        <v>1</v>
      </c>
    </row>
    <row r="9811" spans="27:32" x14ac:dyDescent="0.3">
      <c r="AA9811" s="3">
        <v>-16284.12</v>
      </c>
      <c r="AB9811">
        <v>1E-4</v>
      </c>
      <c r="AC9811">
        <v>9</v>
      </c>
      <c r="AD9811" s="5">
        <v>5.0377113890133884</v>
      </c>
      <c r="AE9811" s="5">
        <v>2.2515269062078236</v>
      </c>
      <c r="AF9811">
        <v>1</v>
      </c>
    </row>
    <row r="9812" spans="27:32" x14ac:dyDescent="0.3">
      <c r="AA9812" s="3">
        <v>37147.410000000003</v>
      </c>
      <c r="AB9812">
        <v>1E-4</v>
      </c>
      <c r="AC9812">
        <v>7</v>
      </c>
      <c r="AD9812" s="5">
        <v>4.9880312425882556</v>
      </c>
      <c r="AE9812" s="5">
        <v>2.1536034344451962</v>
      </c>
      <c r="AF9812">
        <v>1</v>
      </c>
    </row>
    <row r="9813" spans="27:32" x14ac:dyDescent="0.3">
      <c r="AA9813" s="3">
        <v>46251.96</v>
      </c>
      <c r="AB9813">
        <v>1E-4</v>
      </c>
      <c r="AC9813">
        <v>7</v>
      </c>
      <c r="AD9813" s="5">
        <v>5.0369596735626248</v>
      </c>
      <c r="AE9813" s="5">
        <v>2.1075861462997771</v>
      </c>
      <c r="AF9813">
        <v>1</v>
      </c>
    </row>
    <row r="9814" spans="27:32" x14ac:dyDescent="0.3">
      <c r="AA9814" s="3">
        <v>-997.37</v>
      </c>
      <c r="AB9814">
        <v>1E-4</v>
      </c>
      <c r="AC9814">
        <v>9</v>
      </c>
      <c r="AD9814" s="5">
        <v>5.0207830450247677</v>
      </c>
      <c r="AE9814" s="5">
        <v>2.2401915287554992</v>
      </c>
      <c r="AF9814">
        <v>1</v>
      </c>
    </row>
    <row r="9815" spans="27:32" x14ac:dyDescent="0.3">
      <c r="AA9815" s="3">
        <v>28956.97</v>
      </c>
      <c r="AB9815">
        <v>1E-4</v>
      </c>
      <c r="AC9815">
        <v>7</v>
      </c>
      <c r="AD9815" s="5">
        <v>4.8873503871188397</v>
      </c>
      <c r="AE9815" s="5">
        <v>2.1422818556527568</v>
      </c>
      <c r="AF9815">
        <v>1</v>
      </c>
    </row>
    <row r="9816" spans="27:32" x14ac:dyDescent="0.3">
      <c r="AA9816" s="3">
        <v>20443.96</v>
      </c>
      <c r="AB9816">
        <v>1E-4</v>
      </c>
      <c r="AC9816">
        <v>8</v>
      </c>
      <c r="AD9816" s="5">
        <v>4.9801968009387965</v>
      </c>
      <c r="AE9816" s="5">
        <v>2.2178623304700666</v>
      </c>
      <c r="AF9816">
        <v>1</v>
      </c>
    </row>
    <row r="9817" spans="27:32" x14ac:dyDescent="0.3">
      <c r="AA9817" s="3">
        <v>12449.64</v>
      </c>
      <c r="AB9817">
        <v>1E-4</v>
      </c>
      <c r="AC9817">
        <v>8</v>
      </c>
      <c r="AD9817" s="5">
        <v>4.8948262501229518</v>
      </c>
      <c r="AE9817" s="5">
        <v>2.2378351539071035</v>
      </c>
      <c r="AF9817">
        <v>1</v>
      </c>
    </row>
    <row r="9818" spans="27:32" x14ac:dyDescent="0.3">
      <c r="AA9818" s="3">
        <v>23447.33</v>
      </c>
      <c r="AB9818">
        <v>1E-4</v>
      </c>
      <c r="AC9818">
        <v>8</v>
      </c>
      <c r="AD9818" s="5">
        <v>5.1052254444619356</v>
      </c>
      <c r="AE9818" s="5">
        <v>2.2337617171988593</v>
      </c>
      <c r="AF9818">
        <v>1</v>
      </c>
    </row>
    <row r="9819" spans="27:32" x14ac:dyDescent="0.3">
      <c r="AA9819" s="3">
        <v>18919.63</v>
      </c>
      <c r="AB9819">
        <v>1E-4</v>
      </c>
      <c r="AC9819">
        <v>8</v>
      </c>
      <c r="AD9819" s="5">
        <v>4.987700592386962</v>
      </c>
      <c r="AE9819" s="5">
        <v>2.1941088958977137</v>
      </c>
      <c r="AF9819">
        <v>1</v>
      </c>
    </row>
    <row r="9820" spans="27:32" x14ac:dyDescent="0.3">
      <c r="AA9820" s="3">
        <v>6061.85</v>
      </c>
      <c r="AB9820">
        <v>1E-4</v>
      </c>
      <c r="AC9820">
        <v>8</v>
      </c>
      <c r="AD9820" s="5">
        <v>4.9061505033663844</v>
      </c>
      <c r="AE9820" s="5">
        <v>2.1899425061635447</v>
      </c>
      <c r="AF9820">
        <v>1</v>
      </c>
    </row>
    <row r="9821" spans="27:32" x14ac:dyDescent="0.3">
      <c r="AA9821" s="3">
        <v>-1382.44</v>
      </c>
      <c r="AB9821">
        <v>1E-4</v>
      </c>
      <c r="AC9821">
        <v>9</v>
      </c>
      <c r="AD9821" s="5">
        <v>4.9297741274741487</v>
      </c>
      <c r="AE9821" s="5">
        <v>2.1533059515796267</v>
      </c>
      <c r="AF9821">
        <v>1</v>
      </c>
    </row>
    <row r="9822" spans="27:32" x14ac:dyDescent="0.3">
      <c r="AA9822" s="3">
        <v>27549.05</v>
      </c>
      <c r="AB9822">
        <v>1E-4</v>
      </c>
      <c r="AC9822">
        <v>8</v>
      </c>
      <c r="AD9822" s="5">
        <v>4.9052994384369732</v>
      </c>
      <c r="AE9822" s="5">
        <v>2.2192712781792285</v>
      </c>
      <c r="AF9822">
        <v>1</v>
      </c>
    </row>
    <row r="9823" spans="27:32" x14ac:dyDescent="0.3">
      <c r="AA9823" s="3">
        <v>27218.71</v>
      </c>
      <c r="AB9823">
        <v>1E-4</v>
      </c>
      <c r="AC9823">
        <v>8</v>
      </c>
      <c r="AD9823" s="5">
        <v>5.0519327959461462</v>
      </c>
      <c r="AE9823" s="5">
        <v>2.1653268499544702</v>
      </c>
      <c r="AF9823">
        <v>1</v>
      </c>
    </row>
    <row r="9824" spans="27:32" x14ac:dyDescent="0.3">
      <c r="AA9824" s="3">
        <v>56318.63</v>
      </c>
      <c r="AB9824">
        <v>1E-4</v>
      </c>
      <c r="AC9824">
        <v>6</v>
      </c>
      <c r="AD9824" s="5">
        <v>5.0782292864139498</v>
      </c>
      <c r="AE9824" s="5">
        <v>2.2011012689996603</v>
      </c>
      <c r="AF9824">
        <v>1</v>
      </c>
    </row>
    <row r="9825" spans="27:32" x14ac:dyDescent="0.3">
      <c r="AA9825" s="3">
        <v>10849.4</v>
      </c>
      <c r="AB9825">
        <v>1E-4</v>
      </c>
      <c r="AC9825">
        <v>8</v>
      </c>
      <c r="AD9825" s="5">
        <v>5.0293327944444535</v>
      </c>
      <c r="AE9825" s="5">
        <v>2.2491052472155362</v>
      </c>
      <c r="AF9825">
        <v>1</v>
      </c>
    </row>
    <row r="9826" spans="27:32" x14ac:dyDescent="0.3">
      <c r="AA9826" s="3">
        <v>37935.81</v>
      </c>
      <c r="AB9826">
        <v>1E-4</v>
      </c>
      <c r="AC9826">
        <v>7</v>
      </c>
      <c r="AD9826" s="5">
        <v>4.9526463224757196</v>
      </c>
      <c r="AE9826" s="5">
        <v>2.1505831961916222</v>
      </c>
      <c r="AF9826">
        <v>1</v>
      </c>
    </row>
    <row r="9827" spans="27:32" x14ac:dyDescent="0.3">
      <c r="AA9827" s="3">
        <v>16039.66</v>
      </c>
      <c r="AB9827">
        <v>1E-4</v>
      </c>
      <c r="AC9827">
        <v>8</v>
      </c>
      <c r="AD9827" s="5">
        <v>5.051230807408956</v>
      </c>
      <c r="AE9827" s="5">
        <v>2.2052226300445277</v>
      </c>
      <c r="AF9827">
        <v>1</v>
      </c>
    </row>
    <row r="9828" spans="27:32" x14ac:dyDescent="0.3">
      <c r="AA9828" s="3">
        <v>-26696.46</v>
      </c>
      <c r="AB9828">
        <v>1E-4</v>
      </c>
      <c r="AC9828">
        <v>9</v>
      </c>
      <c r="AD9828" s="5">
        <v>4.8626318628342116</v>
      </c>
      <c r="AE9828" s="5">
        <v>2.337461419366444</v>
      </c>
      <c r="AF9828">
        <v>1</v>
      </c>
    </row>
    <row r="9829" spans="27:32" x14ac:dyDescent="0.3">
      <c r="AA9829" s="3">
        <v>18661.7</v>
      </c>
      <c r="AB9829">
        <v>1E-4</v>
      </c>
      <c r="AC9829">
        <v>8</v>
      </c>
      <c r="AD9829" s="5">
        <v>5.0395431537530007</v>
      </c>
      <c r="AE9829" s="5">
        <v>2.1958183901582573</v>
      </c>
      <c r="AF9829">
        <v>1</v>
      </c>
    </row>
    <row r="9830" spans="27:32" x14ac:dyDescent="0.3">
      <c r="AA9830" s="3">
        <v>42525.07</v>
      </c>
      <c r="AB9830">
        <v>1E-4</v>
      </c>
      <c r="AC9830">
        <v>7</v>
      </c>
      <c r="AD9830" s="5">
        <v>5.0927564415457924</v>
      </c>
      <c r="AE9830" s="5">
        <v>2.2425159204284126</v>
      </c>
      <c r="AF9830">
        <v>1</v>
      </c>
    </row>
    <row r="9831" spans="27:32" x14ac:dyDescent="0.3">
      <c r="AA9831" s="3">
        <v>-1843.13</v>
      </c>
      <c r="AB9831">
        <v>1E-4</v>
      </c>
      <c r="AC9831">
        <v>9</v>
      </c>
      <c r="AD9831" s="5">
        <v>4.9382503516951912</v>
      </c>
      <c r="AE9831" s="5">
        <v>2.2242884987998357</v>
      </c>
      <c r="AF9831">
        <v>1</v>
      </c>
    </row>
    <row r="9832" spans="27:32" x14ac:dyDescent="0.3">
      <c r="AA9832" s="3">
        <v>22572.3</v>
      </c>
      <c r="AB9832">
        <v>1E-4</v>
      </c>
      <c r="AC9832">
        <v>8</v>
      </c>
      <c r="AD9832" s="5">
        <v>4.8868690698693475</v>
      </c>
      <c r="AE9832" s="5">
        <v>2.1951258903675392</v>
      </c>
      <c r="AF9832">
        <v>1</v>
      </c>
    </row>
    <row r="9833" spans="27:32" x14ac:dyDescent="0.3">
      <c r="AA9833" s="3">
        <v>4042.84</v>
      </c>
      <c r="AB9833">
        <v>1E-4</v>
      </c>
      <c r="AC9833">
        <v>8</v>
      </c>
      <c r="AD9833" s="5">
        <v>4.9291004827821707</v>
      </c>
      <c r="AE9833" s="5">
        <v>2.225232967631225</v>
      </c>
      <c r="AF9833">
        <v>1</v>
      </c>
    </row>
    <row r="9834" spans="27:32" x14ac:dyDescent="0.3">
      <c r="AA9834" s="3">
        <v>34890.86</v>
      </c>
      <c r="AB9834">
        <v>1E-4</v>
      </c>
      <c r="AC9834">
        <v>7</v>
      </c>
      <c r="AD9834" s="5">
        <v>5.0245131325135608</v>
      </c>
      <c r="AE9834" s="5">
        <v>2.2538063763116654</v>
      </c>
      <c r="AF9834">
        <v>1</v>
      </c>
    </row>
    <row r="9835" spans="27:32" x14ac:dyDescent="0.3">
      <c r="AA9835" s="3">
        <v>6926.56</v>
      </c>
      <c r="AB9835">
        <v>1E-4</v>
      </c>
      <c r="AC9835">
        <v>8</v>
      </c>
      <c r="AD9835" s="5">
        <v>5.0020653047358392</v>
      </c>
      <c r="AE9835" s="5">
        <v>2.1227835929554693</v>
      </c>
      <c r="AF9835">
        <v>1</v>
      </c>
    </row>
    <row r="9836" spans="27:32" x14ac:dyDescent="0.3">
      <c r="AA9836" s="3">
        <v>1199.19</v>
      </c>
      <c r="AB9836">
        <v>1E-4</v>
      </c>
      <c r="AC9836">
        <v>8</v>
      </c>
      <c r="AD9836" s="5">
        <v>5.0591556224960783</v>
      </c>
      <c r="AE9836" s="5">
        <v>2.2442701738703148</v>
      </c>
      <c r="AF9836">
        <v>1</v>
      </c>
    </row>
    <row r="9837" spans="27:32" x14ac:dyDescent="0.3">
      <c r="AA9837" s="3">
        <v>6843.59</v>
      </c>
      <c r="AB9837">
        <v>1E-4</v>
      </c>
      <c r="AC9837">
        <v>8</v>
      </c>
      <c r="AD9837" s="5">
        <v>4.8348121225053999</v>
      </c>
      <c r="AE9837" s="5">
        <v>2.1153489476265146</v>
      </c>
      <c r="AF9837">
        <v>1</v>
      </c>
    </row>
    <row r="9838" spans="27:32" x14ac:dyDescent="0.3">
      <c r="AA9838" s="3">
        <v>-17591.919999999998</v>
      </c>
      <c r="AB9838">
        <v>1E-4</v>
      </c>
      <c r="AC9838">
        <v>9</v>
      </c>
      <c r="AD9838" s="5">
        <v>5.0417426982494842</v>
      </c>
      <c r="AE9838" s="5">
        <v>2.1409812453686636</v>
      </c>
      <c r="AF9838">
        <v>1</v>
      </c>
    </row>
    <row r="9839" spans="27:32" x14ac:dyDescent="0.3">
      <c r="AA9839" s="3">
        <v>22493.08</v>
      </c>
      <c r="AB9839">
        <v>1E-4</v>
      </c>
      <c r="AC9839">
        <v>8</v>
      </c>
      <c r="AD9839" s="5">
        <v>4.9825251353372479</v>
      </c>
      <c r="AE9839" s="5">
        <v>2.0440887220393194</v>
      </c>
      <c r="AF9839">
        <v>1</v>
      </c>
    </row>
    <row r="9840" spans="27:32" x14ac:dyDescent="0.3">
      <c r="AA9840" s="3">
        <v>25636.77</v>
      </c>
      <c r="AB9840">
        <v>1E-4</v>
      </c>
      <c r="AC9840">
        <v>8</v>
      </c>
      <c r="AD9840" s="5">
        <v>5.1338406594178192</v>
      </c>
      <c r="AE9840" s="5">
        <v>2.1662757152031697</v>
      </c>
      <c r="AF9840">
        <v>1</v>
      </c>
    </row>
    <row r="9841" spans="27:32" x14ac:dyDescent="0.3">
      <c r="AA9841" s="3">
        <v>7098.27</v>
      </c>
      <c r="AB9841">
        <v>1E-4</v>
      </c>
      <c r="AC9841">
        <v>8</v>
      </c>
      <c r="AD9841" s="5">
        <v>5.2979472120557789</v>
      </c>
      <c r="AE9841" s="5">
        <v>2.2144023343306563</v>
      </c>
      <c r="AF9841">
        <v>1</v>
      </c>
    </row>
    <row r="9842" spans="27:32" x14ac:dyDescent="0.3">
      <c r="AA9842" s="3">
        <v>30442.560000000001</v>
      </c>
      <c r="AB9842">
        <v>1E-4</v>
      </c>
      <c r="AC9842">
        <v>7</v>
      </c>
      <c r="AD9842" s="5">
        <v>5.021294055167048</v>
      </c>
      <c r="AE9842" s="5">
        <v>2.1198028170173959</v>
      </c>
      <c r="AF9842">
        <v>1</v>
      </c>
    </row>
    <row r="9843" spans="27:32" x14ac:dyDescent="0.3">
      <c r="AA9843" s="3">
        <v>37183.03</v>
      </c>
      <c r="AB9843">
        <v>1E-4</v>
      </c>
      <c r="AC9843">
        <v>7</v>
      </c>
      <c r="AD9843" s="5">
        <v>4.8925667225046068</v>
      </c>
      <c r="AE9843" s="5">
        <v>2.2187583796640116</v>
      </c>
      <c r="AF9843">
        <v>1</v>
      </c>
    </row>
    <row r="9844" spans="27:32" x14ac:dyDescent="0.3">
      <c r="AA9844" s="3">
        <v>-703.96</v>
      </c>
      <c r="AB9844">
        <v>1E-4</v>
      </c>
      <c r="AC9844">
        <v>9</v>
      </c>
      <c r="AD9844" s="5">
        <v>5.0980886708793669</v>
      </c>
      <c r="AE9844" s="5">
        <v>2.1649039405795678</v>
      </c>
      <c r="AF9844">
        <v>1</v>
      </c>
    </row>
    <row r="9845" spans="27:32" x14ac:dyDescent="0.3">
      <c r="AA9845" s="3">
        <v>28724.19</v>
      </c>
      <c r="AB9845">
        <v>1E-4</v>
      </c>
      <c r="AC9845">
        <v>8</v>
      </c>
      <c r="AD9845" s="5">
        <v>5.0168527873839057</v>
      </c>
      <c r="AE9845" s="5">
        <v>2.2592202572349156</v>
      </c>
      <c r="AF9845">
        <v>1</v>
      </c>
    </row>
    <row r="9846" spans="27:32" x14ac:dyDescent="0.3">
      <c r="AA9846" s="3">
        <v>18995.66</v>
      </c>
      <c r="AB9846">
        <v>1E-4</v>
      </c>
      <c r="AC9846">
        <v>8</v>
      </c>
      <c r="AD9846" s="5">
        <v>5.0479239719214508</v>
      </c>
      <c r="AE9846" s="5">
        <v>2.2063484665365576</v>
      </c>
      <c r="AF9846">
        <v>1</v>
      </c>
    </row>
    <row r="9847" spans="27:32" x14ac:dyDescent="0.3">
      <c r="AA9847" s="3">
        <v>-1492.85</v>
      </c>
      <c r="AB9847">
        <v>1E-4</v>
      </c>
      <c r="AC9847">
        <v>9</v>
      </c>
      <c r="AD9847" s="5">
        <v>5.1842512349351804</v>
      </c>
      <c r="AE9847" s="5">
        <v>2.2741003731949978</v>
      </c>
      <c r="AF9847">
        <v>1</v>
      </c>
    </row>
    <row r="9848" spans="27:32" x14ac:dyDescent="0.3">
      <c r="AA9848" s="3">
        <v>17729.28</v>
      </c>
      <c r="AB9848">
        <v>1E-4</v>
      </c>
      <c r="AC9848">
        <v>8</v>
      </c>
      <c r="AD9848" s="5">
        <v>4.8927201781201886</v>
      </c>
      <c r="AE9848" s="5">
        <v>2.171936494707098</v>
      </c>
      <c r="AF9848">
        <v>1</v>
      </c>
    </row>
    <row r="9849" spans="27:32" x14ac:dyDescent="0.3">
      <c r="AA9849" s="3">
        <v>-1258.24</v>
      </c>
      <c r="AB9849">
        <v>1E-4</v>
      </c>
      <c r="AC9849">
        <v>9</v>
      </c>
      <c r="AD9849" s="5">
        <v>4.9756769762431361</v>
      </c>
      <c r="AE9849" s="5">
        <v>2.1258277496553548</v>
      </c>
      <c r="AF9849">
        <v>1</v>
      </c>
    </row>
    <row r="9850" spans="27:32" x14ac:dyDescent="0.3">
      <c r="AA9850" s="3">
        <v>19945.990000000002</v>
      </c>
      <c r="AB9850">
        <v>1E-4</v>
      </c>
      <c r="AC9850">
        <v>8</v>
      </c>
      <c r="AD9850" s="5">
        <v>5.0472433321902139</v>
      </c>
      <c r="AE9850" s="5">
        <v>2.2542119014356139</v>
      </c>
      <c r="AF9850">
        <v>1</v>
      </c>
    </row>
    <row r="9851" spans="27:32" x14ac:dyDescent="0.3">
      <c r="AA9851" s="3">
        <v>6599.14</v>
      </c>
      <c r="AB9851">
        <v>1E-4</v>
      </c>
      <c r="AC9851">
        <v>8</v>
      </c>
      <c r="AD9851" s="5">
        <v>4.9546618614314992</v>
      </c>
      <c r="AE9851" s="5">
        <v>2.241367124000289</v>
      </c>
      <c r="AF9851">
        <v>1</v>
      </c>
    </row>
    <row r="9852" spans="27:32" x14ac:dyDescent="0.3">
      <c r="AA9852" s="3">
        <v>50316.53</v>
      </c>
      <c r="AB9852">
        <v>1E-4</v>
      </c>
      <c r="AC9852">
        <v>6</v>
      </c>
      <c r="AD9852" s="5">
        <v>5.0793142753528455</v>
      </c>
      <c r="AE9852" s="5">
        <v>2.1871098538400617</v>
      </c>
      <c r="AF9852">
        <v>1</v>
      </c>
    </row>
    <row r="9853" spans="27:32" x14ac:dyDescent="0.3">
      <c r="AA9853" s="3">
        <v>38238.769999999997</v>
      </c>
      <c r="AB9853">
        <v>1E-4</v>
      </c>
      <c r="AC9853">
        <v>7</v>
      </c>
      <c r="AD9853" s="5">
        <v>5.10515312285614</v>
      </c>
      <c r="AE9853" s="5">
        <v>2.1554064664616996</v>
      </c>
      <c r="AF9853">
        <v>1</v>
      </c>
    </row>
    <row r="9854" spans="27:32" x14ac:dyDescent="0.3">
      <c r="AA9854" s="3">
        <v>-28551.002549965415</v>
      </c>
      <c r="AB9854">
        <v>1E-4</v>
      </c>
      <c r="AC9854">
        <v>9</v>
      </c>
      <c r="AD9854" s="5">
        <v>4.8285226655649982</v>
      </c>
      <c r="AE9854" s="5">
        <v>2.2853102463706825</v>
      </c>
      <c r="AF9854">
        <v>0</v>
      </c>
    </row>
    <row r="9855" spans="27:32" x14ac:dyDescent="0.3">
      <c r="AA9855" s="3">
        <v>49071.88</v>
      </c>
      <c r="AB9855">
        <v>1E-4</v>
      </c>
      <c r="AC9855">
        <v>7</v>
      </c>
      <c r="AD9855" s="5">
        <v>5.2383055822293372</v>
      </c>
      <c r="AE9855" s="5">
        <v>2.2026839589264204</v>
      </c>
      <c r="AF9855">
        <v>1</v>
      </c>
    </row>
    <row r="9856" spans="27:32" x14ac:dyDescent="0.3">
      <c r="AA9856" s="3">
        <v>28112.46</v>
      </c>
      <c r="AB9856">
        <v>1E-4</v>
      </c>
      <c r="AC9856">
        <v>8</v>
      </c>
      <c r="AD9856" s="5">
        <v>5.0483708229294564</v>
      </c>
      <c r="AE9856" s="5">
        <v>2.2429937462504901</v>
      </c>
      <c r="AF9856">
        <v>1</v>
      </c>
    </row>
    <row r="9857" spans="27:32" x14ac:dyDescent="0.3">
      <c r="AA9857" s="3">
        <v>-4030.15</v>
      </c>
      <c r="AB9857">
        <v>1E-4</v>
      </c>
      <c r="AC9857">
        <v>9</v>
      </c>
      <c r="AD9857" s="5">
        <v>4.9548981955131275</v>
      </c>
      <c r="AE9857" s="5">
        <v>2.276151342614162</v>
      </c>
      <c r="AF9857">
        <v>1</v>
      </c>
    </row>
    <row r="9858" spans="27:32" x14ac:dyDescent="0.3">
      <c r="AA9858" s="3">
        <v>22812.94</v>
      </c>
      <c r="AB9858">
        <v>1E-4</v>
      </c>
      <c r="AC9858">
        <v>8</v>
      </c>
      <c r="AD9858" s="5">
        <v>5.0845950228103449</v>
      </c>
      <c r="AE9858" s="5">
        <v>2.084528034664304</v>
      </c>
      <c r="AF9858">
        <v>1</v>
      </c>
    </row>
    <row r="9859" spans="27:32" x14ac:dyDescent="0.3">
      <c r="AA9859" s="3">
        <v>16059.17</v>
      </c>
      <c r="AB9859">
        <v>1E-4</v>
      </c>
      <c r="AC9859">
        <v>8</v>
      </c>
      <c r="AD9859" s="5">
        <v>4.8350869877824563</v>
      </c>
      <c r="AE9859" s="5">
        <v>2.1810985807646244</v>
      </c>
      <c r="AF9859">
        <v>1</v>
      </c>
    </row>
    <row r="9860" spans="27:32" x14ac:dyDescent="0.3">
      <c r="AA9860" s="3">
        <v>22103.97</v>
      </c>
      <c r="AB9860">
        <v>1E-4</v>
      </c>
      <c r="AC9860">
        <v>8</v>
      </c>
      <c r="AD9860" s="5">
        <v>5.0168048413979722</v>
      </c>
      <c r="AE9860" s="5">
        <v>2.2066335377308772</v>
      </c>
      <c r="AF9860">
        <v>1</v>
      </c>
    </row>
    <row r="9861" spans="27:32" x14ac:dyDescent="0.3">
      <c r="AA9861" s="3">
        <v>49739.96</v>
      </c>
      <c r="AB9861">
        <v>1E-4</v>
      </c>
      <c r="AC9861">
        <v>6</v>
      </c>
      <c r="AD9861" s="5">
        <v>5.2731436260178599</v>
      </c>
      <c r="AE9861" s="5">
        <v>2.2349532818345814</v>
      </c>
      <c r="AF9861">
        <v>1</v>
      </c>
    </row>
    <row r="9862" spans="27:32" x14ac:dyDescent="0.3">
      <c r="AA9862" s="3">
        <v>14111.8</v>
      </c>
      <c r="AB9862">
        <v>1E-4</v>
      </c>
      <c r="AC9862">
        <v>8</v>
      </c>
      <c r="AD9862" s="5">
        <v>5.0077004775250398</v>
      </c>
      <c r="AE9862" s="5">
        <v>2.2206719813849412</v>
      </c>
      <c r="AF9862">
        <v>1</v>
      </c>
    </row>
    <row r="9863" spans="27:32" x14ac:dyDescent="0.3">
      <c r="AA9863" s="3">
        <v>28925.78</v>
      </c>
      <c r="AB9863">
        <v>1E-4</v>
      </c>
      <c r="AC9863">
        <v>8</v>
      </c>
      <c r="AD9863" s="5">
        <v>5.0992018029986772</v>
      </c>
      <c r="AE9863" s="5">
        <v>2.1278586750460673</v>
      </c>
      <c r="AF9863">
        <v>1</v>
      </c>
    </row>
    <row r="9864" spans="27:32" x14ac:dyDescent="0.3">
      <c r="AA9864" s="3">
        <v>-7314.33</v>
      </c>
      <c r="AB9864">
        <v>1E-4</v>
      </c>
      <c r="AC9864">
        <v>9</v>
      </c>
      <c r="AD9864" s="5">
        <v>4.9817479611046567</v>
      </c>
      <c r="AE9864" s="5">
        <v>2.2536564686837397</v>
      </c>
      <c r="AF9864">
        <v>1</v>
      </c>
    </row>
    <row r="9865" spans="27:32" x14ac:dyDescent="0.3">
      <c r="AA9865" s="3">
        <v>15988.31</v>
      </c>
      <c r="AB9865">
        <v>1E-4</v>
      </c>
      <c r="AC9865">
        <v>8</v>
      </c>
      <c r="AD9865" s="5">
        <v>5.047088200581662</v>
      </c>
      <c r="AE9865" s="5">
        <v>2.1320446523287413</v>
      </c>
      <c r="AF9865">
        <v>1</v>
      </c>
    </row>
    <row r="9866" spans="27:32" x14ac:dyDescent="0.3">
      <c r="AA9866" s="3">
        <v>40122.660000000003</v>
      </c>
      <c r="AB9866">
        <v>1E-4</v>
      </c>
      <c r="AC9866">
        <v>7</v>
      </c>
      <c r="AD9866" s="5">
        <v>5.0951540325896492</v>
      </c>
      <c r="AE9866" s="5">
        <v>2.1387389493030922</v>
      </c>
      <c r="AF9866">
        <v>1</v>
      </c>
    </row>
    <row r="9867" spans="27:32" x14ac:dyDescent="0.3">
      <c r="AA9867" s="3">
        <v>-21991.040000000001</v>
      </c>
      <c r="AB9867">
        <v>1E-4</v>
      </c>
      <c r="AC9867">
        <v>9</v>
      </c>
      <c r="AD9867" s="5">
        <v>4.8363503374688435</v>
      </c>
      <c r="AE9867" s="5">
        <v>2.1773531573953617</v>
      </c>
      <c r="AF9867">
        <v>1</v>
      </c>
    </row>
    <row r="9868" spans="27:32" x14ac:dyDescent="0.3">
      <c r="AA9868" s="3">
        <v>-14991.07</v>
      </c>
      <c r="AB9868">
        <v>1E-4</v>
      </c>
      <c r="AC9868">
        <v>9</v>
      </c>
      <c r="AD9868" s="5">
        <v>4.8607107106735983</v>
      </c>
      <c r="AE9868" s="5">
        <v>2.2104955957676702</v>
      </c>
      <c r="AF9868">
        <v>1</v>
      </c>
    </row>
    <row r="9869" spans="27:32" x14ac:dyDescent="0.3">
      <c r="AA9869" s="3">
        <v>-12062.73</v>
      </c>
      <c r="AB9869">
        <v>1E-4</v>
      </c>
      <c r="AC9869">
        <v>9</v>
      </c>
      <c r="AD9869" s="5">
        <v>4.8767785595364668</v>
      </c>
      <c r="AE9869" s="5">
        <v>2.2162720335407267</v>
      </c>
      <c r="AF9869">
        <v>1</v>
      </c>
    </row>
    <row r="9870" spans="27:32" x14ac:dyDescent="0.3">
      <c r="AA9870" s="3">
        <v>23556.2</v>
      </c>
      <c r="AB9870">
        <v>1E-4</v>
      </c>
      <c r="AC9870">
        <v>8</v>
      </c>
      <c r="AD9870" s="5">
        <v>5.0024344604959081</v>
      </c>
      <c r="AE9870" s="5">
        <v>2.1869061828699188</v>
      </c>
      <c r="AF9870">
        <v>1</v>
      </c>
    </row>
    <row r="9871" spans="27:32" x14ac:dyDescent="0.3">
      <c r="AA9871" s="3">
        <v>-6503.02</v>
      </c>
      <c r="AB9871">
        <v>1E-4</v>
      </c>
      <c r="AC9871">
        <v>9</v>
      </c>
      <c r="AD9871" s="5">
        <v>4.9183108004854832</v>
      </c>
      <c r="AE9871" s="5">
        <v>2.208255977243978</v>
      </c>
      <c r="AF9871">
        <v>1</v>
      </c>
    </row>
    <row r="9872" spans="27:32" x14ac:dyDescent="0.3">
      <c r="AA9872" s="3">
        <v>14057.06</v>
      </c>
      <c r="AB9872">
        <v>1E-4</v>
      </c>
      <c r="AC9872">
        <v>8</v>
      </c>
      <c r="AD9872" s="5">
        <v>5.0247311640188581</v>
      </c>
      <c r="AE9872" s="5">
        <v>2.2287520012739348</v>
      </c>
      <c r="AF9872">
        <v>1</v>
      </c>
    </row>
    <row r="9873" spans="27:32" x14ac:dyDescent="0.3">
      <c r="AA9873" s="3">
        <v>17085.900000000001</v>
      </c>
      <c r="AB9873">
        <v>1E-4</v>
      </c>
      <c r="AC9873">
        <v>8</v>
      </c>
      <c r="AD9873" s="5">
        <v>5.0391471276576327</v>
      </c>
      <c r="AE9873" s="5">
        <v>2.2108530381405704</v>
      </c>
      <c r="AF9873">
        <v>1</v>
      </c>
    </row>
    <row r="9874" spans="27:32" x14ac:dyDescent="0.3">
      <c r="AA9874" s="3">
        <v>36588.410000000003</v>
      </c>
      <c r="AB9874">
        <v>1E-4</v>
      </c>
      <c r="AC9874">
        <v>7</v>
      </c>
      <c r="AD9874" s="5">
        <v>5.0044943516544418</v>
      </c>
      <c r="AE9874" s="5">
        <v>2.1660396092608742</v>
      </c>
      <c r="AF9874">
        <v>1</v>
      </c>
    </row>
    <row r="9875" spans="27:32" x14ac:dyDescent="0.3">
      <c r="AA9875" s="3">
        <v>24808.78</v>
      </c>
      <c r="AB9875">
        <v>1E-4</v>
      </c>
      <c r="AC9875">
        <v>8</v>
      </c>
      <c r="AD9875" s="5">
        <v>4.9723567078581876</v>
      </c>
      <c r="AE9875" s="5">
        <v>2.2230757930467262</v>
      </c>
      <c r="AF9875">
        <v>1</v>
      </c>
    </row>
    <row r="9876" spans="27:32" x14ac:dyDescent="0.3">
      <c r="AA9876" s="3">
        <v>-10407.06</v>
      </c>
      <c r="AB9876">
        <v>1E-4</v>
      </c>
      <c r="AC9876">
        <v>9</v>
      </c>
      <c r="AD9876" s="5">
        <v>4.8959034406480884</v>
      </c>
      <c r="AE9876" s="5">
        <v>2.159065373319331</v>
      </c>
      <c r="AF9876">
        <v>1</v>
      </c>
    </row>
    <row r="9877" spans="27:32" x14ac:dyDescent="0.3">
      <c r="AA9877" s="3">
        <v>8089.48</v>
      </c>
      <c r="AB9877">
        <v>1E-4</v>
      </c>
      <c r="AC9877">
        <v>8</v>
      </c>
      <c r="AD9877" s="5">
        <v>4.9404887680851104</v>
      </c>
      <c r="AE9877" s="5">
        <v>2.1457283734023367</v>
      </c>
      <c r="AF9877">
        <v>1</v>
      </c>
    </row>
    <row r="9878" spans="27:32" x14ac:dyDescent="0.3">
      <c r="AA9878" s="3">
        <v>4593.54</v>
      </c>
      <c r="AB9878">
        <v>1E-4</v>
      </c>
      <c r="AC9878">
        <v>8</v>
      </c>
      <c r="AD9878" s="5">
        <v>4.8223417906739492</v>
      </c>
      <c r="AE9878" s="5">
        <v>2.1686768504246272</v>
      </c>
      <c r="AF9878">
        <v>1</v>
      </c>
    </row>
    <row r="9879" spans="27:32" x14ac:dyDescent="0.3">
      <c r="AA9879" s="3">
        <v>4438.33</v>
      </c>
      <c r="AB9879">
        <v>1E-4</v>
      </c>
      <c r="AC9879">
        <v>8</v>
      </c>
      <c r="AD9879" s="5">
        <v>5.132348811415838</v>
      </c>
      <c r="AE9879" s="5">
        <v>2.2368001209382768</v>
      </c>
      <c r="AF9879">
        <v>1</v>
      </c>
    </row>
    <row r="9880" spans="27:32" x14ac:dyDescent="0.3">
      <c r="AA9880" s="3">
        <v>15287.99</v>
      </c>
      <c r="AB9880">
        <v>1E-4</v>
      </c>
      <c r="AC9880">
        <v>8</v>
      </c>
      <c r="AD9880" s="5">
        <v>5.0718848748224703</v>
      </c>
      <c r="AE9880" s="5">
        <v>2.0995015393422798</v>
      </c>
      <c r="AF9880">
        <v>1</v>
      </c>
    </row>
    <row r="9881" spans="27:32" x14ac:dyDescent="0.3">
      <c r="AA9881" s="3">
        <v>34860.620000000003</v>
      </c>
      <c r="AB9881">
        <v>1E-4</v>
      </c>
      <c r="AC9881">
        <v>7</v>
      </c>
      <c r="AD9881" s="5">
        <v>4.9325063076051494</v>
      </c>
      <c r="AE9881" s="5">
        <v>2.222623312689175</v>
      </c>
      <c r="AF9881">
        <v>1</v>
      </c>
    </row>
    <row r="9882" spans="27:32" x14ac:dyDescent="0.3">
      <c r="AA9882" s="3">
        <v>9123.81</v>
      </c>
      <c r="AB9882">
        <v>1E-4</v>
      </c>
      <c r="AC9882">
        <v>8</v>
      </c>
      <c r="AD9882" s="5">
        <v>5.0885917669123284</v>
      </c>
      <c r="AE9882" s="5">
        <v>2.2263196300380224</v>
      </c>
      <c r="AF9882">
        <v>1</v>
      </c>
    </row>
    <row r="9883" spans="27:32" x14ac:dyDescent="0.3">
      <c r="AA9883" s="3">
        <v>8949.68</v>
      </c>
      <c r="AB9883">
        <v>1E-4</v>
      </c>
      <c r="AC9883">
        <v>8</v>
      </c>
      <c r="AD9883" s="5">
        <v>5.0005432451085401</v>
      </c>
      <c r="AE9883" s="5">
        <v>2.2428524717147398</v>
      </c>
      <c r="AF9883">
        <v>1</v>
      </c>
    </row>
    <row r="9884" spans="27:32" x14ac:dyDescent="0.3">
      <c r="AA9884" s="3">
        <v>47734.38</v>
      </c>
      <c r="AB9884">
        <v>1E-4</v>
      </c>
      <c r="AC9884">
        <v>7</v>
      </c>
      <c r="AD9884" s="5">
        <v>5.1089530437516739</v>
      </c>
      <c r="AE9884" s="5">
        <v>2.1343310780185289</v>
      </c>
      <c r="AF9884">
        <v>1</v>
      </c>
    </row>
    <row r="9885" spans="27:32" x14ac:dyDescent="0.3">
      <c r="AA9885" s="3">
        <v>10424.200000000001</v>
      </c>
      <c r="AB9885">
        <v>1E-4</v>
      </c>
      <c r="AC9885">
        <v>8</v>
      </c>
      <c r="AD9885" s="5">
        <v>4.8690862625809705</v>
      </c>
      <c r="AE9885" s="5">
        <v>2.1788629640634078</v>
      </c>
      <c r="AF9885">
        <v>1</v>
      </c>
    </row>
    <row r="9886" spans="27:32" x14ac:dyDescent="0.3">
      <c r="AA9886" s="3">
        <v>-2824.7</v>
      </c>
      <c r="AB9886">
        <v>1E-4</v>
      </c>
      <c r="AC9886">
        <v>9</v>
      </c>
      <c r="AD9886" s="5">
        <v>4.8293019386580553</v>
      </c>
      <c r="AE9886" s="5">
        <v>2.1994511925151627</v>
      </c>
      <c r="AF9886">
        <v>1</v>
      </c>
    </row>
    <row r="9887" spans="27:32" x14ac:dyDescent="0.3">
      <c r="AA9887" s="3">
        <v>22688.85</v>
      </c>
      <c r="AB9887">
        <v>1E-4</v>
      </c>
      <c r="AC9887">
        <v>8</v>
      </c>
      <c r="AD9887" s="5">
        <v>4.9455207560906871</v>
      </c>
      <c r="AE9887" s="5">
        <v>2.2324359654253527</v>
      </c>
      <c r="AF9887">
        <v>1</v>
      </c>
    </row>
    <row r="9888" spans="27:32" x14ac:dyDescent="0.3">
      <c r="AA9888" s="3">
        <v>-13015.53</v>
      </c>
      <c r="AB9888">
        <v>1E-4</v>
      </c>
      <c r="AC9888">
        <v>9</v>
      </c>
      <c r="AD9888" s="5">
        <v>5.0141599819126697</v>
      </c>
      <c r="AE9888" s="5">
        <v>2.2687204670671388</v>
      </c>
      <c r="AF9888">
        <v>1</v>
      </c>
    </row>
    <row r="9889" spans="27:32" x14ac:dyDescent="0.3">
      <c r="AA9889" s="3">
        <v>5863.17</v>
      </c>
      <c r="AB9889">
        <v>1E-4</v>
      </c>
      <c r="AC9889">
        <v>8</v>
      </c>
      <c r="AD9889" s="5">
        <v>5.0210065841971092</v>
      </c>
      <c r="AE9889" s="5">
        <v>2.1811737781738838</v>
      </c>
      <c r="AF9889">
        <v>1</v>
      </c>
    </row>
    <row r="9890" spans="27:32" x14ac:dyDescent="0.3">
      <c r="AA9890" s="3">
        <v>26792.59</v>
      </c>
      <c r="AB9890">
        <v>1E-4</v>
      </c>
      <c r="AC9890">
        <v>8</v>
      </c>
      <c r="AD9890" s="5">
        <v>5.1139247207721015</v>
      </c>
      <c r="AE9890" s="5">
        <v>2.1847580687271666</v>
      </c>
      <c r="AF9890">
        <v>1</v>
      </c>
    </row>
    <row r="9891" spans="27:32" x14ac:dyDescent="0.3">
      <c r="AA9891" s="3">
        <v>-1803.05</v>
      </c>
      <c r="AB9891">
        <v>1E-4</v>
      </c>
      <c r="AC9891">
        <v>9</v>
      </c>
      <c r="AD9891" s="5">
        <v>5.0455936053494126</v>
      </c>
      <c r="AE9891" s="5">
        <v>2.2037752748698027</v>
      </c>
      <c r="AF9891">
        <v>1</v>
      </c>
    </row>
    <row r="9892" spans="27:32" x14ac:dyDescent="0.3">
      <c r="AA9892" s="3">
        <v>-599.14</v>
      </c>
      <c r="AB9892">
        <v>1E-4</v>
      </c>
      <c r="AC9892">
        <v>9</v>
      </c>
      <c r="AD9892" s="5">
        <v>4.8894509474957539</v>
      </c>
      <c r="AE9892" s="5">
        <v>2.2182554920767958</v>
      </c>
      <c r="AF9892">
        <v>1</v>
      </c>
    </row>
    <row r="9893" spans="27:32" x14ac:dyDescent="0.3">
      <c r="AA9893" s="3">
        <v>15065.11</v>
      </c>
      <c r="AB9893">
        <v>1E-4</v>
      </c>
      <c r="AC9893">
        <v>8</v>
      </c>
      <c r="AD9893" s="5">
        <v>4.9984515700222758</v>
      </c>
      <c r="AE9893" s="5">
        <v>2.2436622574437282</v>
      </c>
      <c r="AF9893">
        <v>1</v>
      </c>
    </row>
    <row r="9894" spans="27:32" x14ac:dyDescent="0.3">
      <c r="AA9894" s="3">
        <v>-9548.7000000000007</v>
      </c>
      <c r="AB9894">
        <v>1E-4</v>
      </c>
      <c r="AC9894">
        <v>9</v>
      </c>
      <c r="AD9894" s="5">
        <v>4.9347526514865185</v>
      </c>
      <c r="AE9894" s="5">
        <v>2.145560712594107</v>
      </c>
      <c r="AF9894">
        <v>1</v>
      </c>
    </row>
    <row r="9895" spans="27:32" x14ac:dyDescent="0.3">
      <c r="AA9895" s="3">
        <v>-2312.31</v>
      </c>
      <c r="AB9895">
        <v>1E-4</v>
      </c>
      <c r="AC9895">
        <v>9</v>
      </c>
      <c r="AD9895" s="5">
        <v>5.0875378557928883</v>
      </c>
      <c r="AE9895" s="5">
        <v>2.2291407263062983</v>
      </c>
      <c r="AF9895">
        <v>1</v>
      </c>
    </row>
    <row r="9896" spans="27:32" x14ac:dyDescent="0.3">
      <c r="AA9896" s="3">
        <v>17822.04</v>
      </c>
      <c r="AB9896">
        <v>1E-4</v>
      </c>
      <c r="AC9896">
        <v>8</v>
      </c>
      <c r="AD9896" s="5">
        <v>5.0257534786781779</v>
      </c>
      <c r="AE9896" s="5">
        <v>2.2303677732248164</v>
      </c>
      <c r="AF9896">
        <v>1</v>
      </c>
    </row>
    <row r="9897" spans="27:32" x14ac:dyDescent="0.3">
      <c r="AA9897" s="3">
        <v>33895.78</v>
      </c>
      <c r="AB9897">
        <v>1E-4</v>
      </c>
      <c r="AC9897">
        <v>7</v>
      </c>
      <c r="AD9897" s="5">
        <v>5.0837705933028339</v>
      </c>
      <c r="AE9897" s="5">
        <v>2.223510884732113</v>
      </c>
      <c r="AF9897">
        <v>1</v>
      </c>
    </row>
    <row r="9898" spans="27:32" x14ac:dyDescent="0.3">
      <c r="AA9898" s="3">
        <v>14167.58</v>
      </c>
      <c r="AB9898">
        <v>1E-4</v>
      </c>
      <c r="AC9898">
        <v>8</v>
      </c>
      <c r="AD9898" s="5">
        <v>5.1183048758648919</v>
      </c>
      <c r="AE9898" s="5">
        <v>2.1972674619923764</v>
      </c>
      <c r="AF9898">
        <v>1</v>
      </c>
    </row>
    <row r="9899" spans="27:32" x14ac:dyDescent="0.3">
      <c r="AA9899" s="3">
        <v>-11382.01</v>
      </c>
      <c r="AB9899">
        <v>1E-4</v>
      </c>
      <c r="AC9899">
        <v>9</v>
      </c>
      <c r="AD9899" s="5">
        <v>5.039914345204898</v>
      </c>
      <c r="AE9899" s="5">
        <v>2.1873901593490164</v>
      </c>
      <c r="AF9899">
        <v>1</v>
      </c>
    </row>
    <row r="9900" spans="27:32" x14ac:dyDescent="0.3">
      <c r="AA9900" s="3">
        <v>-6614.89</v>
      </c>
      <c r="AB9900">
        <v>1E-4</v>
      </c>
      <c r="AC9900">
        <v>9</v>
      </c>
      <c r="AD9900" s="5">
        <v>5.0291690935841853</v>
      </c>
      <c r="AE9900" s="5">
        <v>2.3209435624623653</v>
      </c>
      <c r="AF9900">
        <v>1</v>
      </c>
    </row>
    <row r="9901" spans="27:32" x14ac:dyDescent="0.3">
      <c r="AA9901" s="3">
        <v>36812.47</v>
      </c>
      <c r="AB9901">
        <v>1E-4</v>
      </c>
      <c r="AC9901">
        <v>7</v>
      </c>
      <c r="AD9901" s="5">
        <v>5.1059612502082423</v>
      </c>
      <c r="AE9901" s="5">
        <v>2.1892342908625437</v>
      </c>
      <c r="AF9901">
        <v>1</v>
      </c>
    </row>
    <row r="9902" spans="27:32" x14ac:dyDescent="0.3">
      <c r="AA9902" s="3">
        <v>7504.92</v>
      </c>
      <c r="AB9902">
        <v>1E-4</v>
      </c>
      <c r="AC9902">
        <v>8</v>
      </c>
      <c r="AD9902" s="5">
        <v>4.8859214914648348</v>
      </c>
      <c r="AE9902" s="5">
        <v>2.2093385815256039</v>
      </c>
      <c r="AF9902">
        <v>1</v>
      </c>
    </row>
    <row r="9903" spans="27:32" x14ac:dyDescent="0.3">
      <c r="AA9903" s="3">
        <v>-38625.151678992093</v>
      </c>
      <c r="AB9903">
        <v>1E-4</v>
      </c>
      <c r="AC9903">
        <v>9</v>
      </c>
      <c r="AD9903" s="5">
        <v>4.8592129992867479</v>
      </c>
      <c r="AE9903" s="5">
        <v>2.2669438968652127</v>
      </c>
      <c r="AF9903">
        <v>0</v>
      </c>
    </row>
    <row r="9904" spans="27:32" x14ac:dyDescent="0.3">
      <c r="AA9904" s="3">
        <v>23909.7</v>
      </c>
      <c r="AB9904">
        <v>1E-4</v>
      </c>
      <c r="AC9904">
        <v>8</v>
      </c>
      <c r="AD9904" s="5">
        <v>5.0182153901034443</v>
      </c>
      <c r="AE9904" s="5">
        <v>2.2123970252089729</v>
      </c>
      <c r="AF9904">
        <v>1</v>
      </c>
    </row>
    <row r="9905" spans="27:32" x14ac:dyDescent="0.3">
      <c r="AA9905" s="3">
        <v>42335.78</v>
      </c>
      <c r="AB9905">
        <v>1E-4</v>
      </c>
      <c r="AC9905">
        <v>7</v>
      </c>
      <c r="AD9905" s="5">
        <v>5.2224114578521075</v>
      </c>
      <c r="AE9905" s="5">
        <v>2.3094754053158546</v>
      </c>
      <c r="AF9905">
        <v>1</v>
      </c>
    </row>
    <row r="9906" spans="27:32" x14ac:dyDescent="0.3">
      <c r="AA9906" s="3">
        <v>27530.3</v>
      </c>
      <c r="AB9906">
        <v>1E-4</v>
      </c>
      <c r="AC9906">
        <v>7</v>
      </c>
      <c r="AD9906" s="5">
        <v>4.9806705335007058</v>
      </c>
      <c r="AE9906" s="5">
        <v>2.2398661208639847</v>
      </c>
      <c r="AF9906">
        <v>1</v>
      </c>
    </row>
    <row r="9907" spans="27:32" x14ac:dyDescent="0.3">
      <c r="AA9907" s="3">
        <v>1712.79</v>
      </c>
      <c r="AB9907">
        <v>1E-4</v>
      </c>
      <c r="AC9907">
        <v>8</v>
      </c>
      <c r="AD9907" s="5">
        <v>4.9768247666851462</v>
      </c>
      <c r="AE9907" s="5">
        <v>2.1771920009861603</v>
      </c>
      <c r="AF9907">
        <v>1</v>
      </c>
    </row>
    <row r="9908" spans="27:32" x14ac:dyDescent="0.3">
      <c r="AA9908" s="3">
        <v>31387.68</v>
      </c>
      <c r="AB9908">
        <v>1E-4</v>
      </c>
      <c r="AC9908">
        <v>7</v>
      </c>
      <c r="AD9908" s="5">
        <v>5.0026319373258916</v>
      </c>
      <c r="AE9908" s="5">
        <v>2.1978221591289899</v>
      </c>
      <c r="AF9908">
        <v>1</v>
      </c>
    </row>
    <row r="9909" spans="27:32" x14ac:dyDescent="0.3">
      <c r="AA9909" s="3">
        <v>35265.96</v>
      </c>
      <c r="AB9909">
        <v>1E-4</v>
      </c>
      <c r="AC9909">
        <v>7</v>
      </c>
      <c r="AD9909" s="5">
        <v>5.051592268501901</v>
      </c>
      <c r="AE9909" s="5">
        <v>2.1162150736277652</v>
      </c>
      <c r="AF9909">
        <v>1</v>
      </c>
    </row>
    <row r="9910" spans="27:32" x14ac:dyDescent="0.3">
      <c r="AA9910" s="3">
        <v>3864.53</v>
      </c>
      <c r="AB9910">
        <v>1E-4</v>
      </c>
      <c r="AC9910">
        <v>8</v>
      </c>
      <c r="AD9910" s="5">
        <v>4.9218772706841909</v>
      </c>
      <c r="AE9910" s="5">
        <v>2.251114202571971</v>
      </c>
      <c r="AF9910">
        <v>1</v>
      </c>
    </row>
    <row r="9911" spans="27:32" x14ac:dyDescent="0.3">
      <c r="AA9911" s="3">
        <v>3818.9</v>
      </c>
      <c r="AB9911">
        <v>1E-4</v>
      </c>
      <c r="AC9911">
        <v>8</v>
      </c>
      <c r="AD9911" s="5">
        <v>4.7901737329182668</v>
      </c>
      <c r="AE9911" s="5">
        <v>2.1125689657406603</v>
      </c>
      <c r="AF9911">
        <v>1</v>
      </c>
    </row>
    <row r="9912" spans="27:32" x14ac:dyDescent="0.3">
      <c r="AA9912" s="3">
        <v>15173.32</v>
      </c>
      <c r="AB9912">
        <v>1E-4</v>
      </c>
      <c r="AC9912">
        <v>8</v>
      </c>
      <c r="AD9912" s="5">
        <v>5.1305177866146137</v>
      </c>
      <c r="AE9912" s="5">
        <v>2.1619148960578234</v>
      </c>
      <c r="AF9912">
        <v>1</v>
      </c>
    </row>
    <row r="9913" spans="27:32" x14ac:dyDescent="0.3">
      <c r="AA9913" s="3">
        <v>-7318.38</v>
      </c>
      <c r="AB9913">
        <v>1E-4</v>
      </c>
      <c r="AC9913">
        <v>9</v>
      </c>
      <c r="AD9913" s="5">
        <v>4.8242716520684059</v>
      </c>
      <c r="AE9913" s="5">
        <v>2.1944537476799355</v>
      </c>
      <c r="AF9913">
        <v>1</v>
      </c>
    </row>
    <row r="9914" spans="27:32" x14ac:dyDescent="0.3">
      <c r="AA9914" s="3">
        <v>20108.66</v>
      </c>
      <c r="AB9914">
        <v>1E-4</v>
      </c>
      <c r="AC9914">
        <v>8</v>
      </c>
      <c r="AD9914" s="5">
        <v>5.0112970283098477</v>
      </c>
      <c r="AE9914" s="5">
        <v>2.1595450759627712</v>
      </c>
      <c r="AF9914">
        <v>1</v>
      </c>
    </row>
    <row r="9915" spans="27:32" x14ac:dyDescent="0.3">
      <c r="AA9915" s="3">
        <v>28345.200000000001</v>
      </c>
      <c r="AB9915">
        <v>1E-4</v>
      </c>
      <c r="AC9915">
        <v>8</v>
      </c>
      <c r="AD9915" s="5">
        <v>5.0149639501409924</v>
      </c>
      <c r="AE9915" s="5">
        <v>2.1764334678828248</v>
      </c>
      <c r="AF9915">
        <v>1</v>
      </c>
    </row>
    <row r="9916" spans="27:32" x14ac:dyDescent="0.3">
      <c r="AA9916" s="3">
        <v>-2693.22</v>
      </c>
      <c r="AB9916">
        <v>1E-4</v>
      </c>
      <c r="AC9916">
        <v>9</v>
      </c>
      <c r="AD9916" s="5">
        <v>4.9311231223022451</v>
      </c>
      <c r="AE9916" s="5">
        <v>2.2612261090341055</v>
      </c>
      <c r="AF9916">
        <v>1</v>
      </c>
    </row>
    <row r="9917" spans="27:32" x14ac:dyDescent="0.3">
      <c r="AA9917" s="3">
        <v>28098.41</v>
      </c>
      <c r="AB9917">
        <v>1E-4</v>
      </c>
      <c r="AC9917">
        <v>8</v>
      </c>
      <c r="AD9917" s="5">
        <v>5.2133134267647607</v>
      </c>
      <c r="AE9917" s="5">
        <v>2.1704392810660895</v>
      </c>
      <c r="AF9917">
        <v>1</v>
      </c>
    </row>
    <row r="9918" spans="27:32" x14ac:dyDescent="0.3">
      <c r="AA9918" s="3">
        <v>30136.57</v>
      </c>
      <c r="AB9918">
        <v>1E-4</v>
      </c>
      <c r="AC9918">
        <v>8</v>
      </c>
      <c r="AD9918" s="5">
        <v>5.0906896231743977</v>
      </c>
      <c r="AE9918" s="5">
        <v>2.1267727745438156</v>
      </c>
      <c r="AF9918">
        <v>1</v>
      </c>
    </row>
    <row r="9919" spans="27:32" x14ac:dyDescent="0.3">
      <c r="AA9919" s="3">
        <v>-14170.54</v>
      </c>
      <c r="AB9919">
        <v>1E-4</v>
      </c>
      <c r="AC9919">
        <v>9</v>
      </c>
      <c r="AD9919" s="5">
        <v>4.944933739012189</v>
      </c>
      <c r="AE9919" s="5">
        <v>2.2951759306549375</v>
      </c>
      <c r="AF9919">
        <v>1</v>
      </c>
    </row>
    <row r="9920" spans="27:32" x14ac:dyDescent="0.3">
      <c r="AA9920" s="3">
        <v>-41915.389812756599</v>
      </c>
      <c r="AB9920">
        <v>1E-4</v>
      </c>
      <c r="AC9920">
        <v>9</v>
      </c>
      <c r="AD9920" s="5">
        <v>4.8665395414492734</v>
      </c>
      <c r="AE9920" s="5">
        <v>2.1797515241404253</v>
      </c>
      <c r="AF9920">
        <v>0</v>
      </c>
    </row>
    <row r="9921" spans="27:32" x14ac:dyDescent="0.3">
      <c r="AA9921" s="3">
        <v>26803.73</v>
      </c>
      <c r="AB9921">
        <v>1E-4</v>
      </c>
      <c r="AC9921">
        <v>8</v>
      </c>
      <c r="AD9921" s="5">
        <v>5.0218512810570157</v>
      </c>
      <c r="AE9921" s="5">
        <v>2.0966479516412666</v>
      </c>
      <c r="AF9921">
        <v>1</v>
      </c>
    </row>
    <row r="9922" spans="27:32" x14ac:dyDescent="0.3">
      <c r="AA9922" s="3">
        <v>9580.77</v>
      </c>
      <c r="AB9922">
        <v>1E-4</v>
      </c>
      <c r="AC9922">
        <v>8</v>
      </c>
      <c r="AD9922" s="5">
        <v>4.932856347858328</v>
      </c>
      <c r="AE9922" s="5">
        <v>2.1821000831921751</v>
      </c>
      <c r="AF9922">
        <v>1</v>
      </c>
    </row>
    <row r="9923" spans="27:32" x14ac:dyDescent="0.3">
      <c r="AA9923" s="3">
        <v>-13822.458640135401</v>
      </c>
      <c r="AB9923">
        <v>1E-4</v>
      </c>
      <c r="AC9923">
        <v>8</v>
      </c>
      <c r="AD9923" s="5">
        <v>4.9094811300672756</v>
      </c>
      <c r="AE9923" s="5">
        <v>2.2026326731641306</v>
      </c>
      <c r="AF9923">
        <v>0</v>
      </c>
    </row>
    <row r="9924" spans="27:32" x14ac:dyDescent="0.3">
      <c r="AA9924" s="3">
        <v>26161.279999999999</v>
      </c>
      <c r="AB9924">
        <v>1E-4</v>
      </c>
      <c r="AC9924">
        <v>8</v>
      </c>
      <c r="AD9924" s="5">
        <v>5.0186635532471557</v>
      </c>
      <c r="AE9924" s="5">
        <v>2.1974911486249677</v>
      </c>
      <c r="AF9924">
        <v>1</v>
      </c>
    </row>
    <row r="9925" spans="27:32" x14ac:dyDescent="0.3">
      <c r="AA9925" s="3">
        <v>27473.59</v>
      </c>
      <c r="AB9925">
        <v>1E-4</v>
      </c>
      <c r="AC9925">
        <v>8</v>
      </c>
      <c r="AD9925" s="5">
        <v>4.9982858394970124</v>
      </c>
      <c r="AE9925" s="5">
        <v>2.1870455744221138</v>
      </c>
      <c r="AF9925">
        <v>1</v>
      </c>
    </row>
    <row r="9926" spans="27:32" x14ac:dyDescent="0.3">
      <c r="AA9926" s="3">
        <v>15417.79</v>
      </c>
      <c r="AB9926">
        <v>1E-4</v>
      </c>
      <c r="AC9926">
        <v>8</v>
      </c>
      <c r="AD9926" s="5">
        <v>5.095731562030954</v>
      </c>
      <c r="AE9926" s="5">
        <v>2.2235184518936091</v>
      </c>
      <c r="AF9926">
        <v>1</v>
      </c>
    </row>
    <row r="9927" spans="27:32" x14ac:dyDescent="0.3">
      <c r="AA9927" s="3">
        <v>23734</v>
      </c>
      <c r="AB9927">
        <v>1E-4</v>
      </c>
      <c r="AC9927">
        <v>8</v>
      </c>
      <c r="AD9927" s="5">
        <v>4.9607421791542317</v>
      </c>
      <c r="AE9927" s="5">
        <v>2.2099430325465934</v>
      </c>
      <c r="AF9927">
        <v>1</v>
      </c>
    </row>
    <row r="9928" spans="27:32" x14ac:dyDescent="0.3">
      <c r="AA9928" s="3">
        <v>9865.68</v>
      </c>
      <c r="AB9928">
        <v>1E-4</v>
      </c>
      <c r="AC9928">
        <v>8</v>
      </c>
      <c r="AD9928" s="5">
        <v>5.0375852744838685</v>
      </c>
      <c r="AE9928" s="5">
        <v>2.2080712248638519</v>
      </c>
      <c r="AF9928">
        <v>1</v>
      </c>
    </row>
    <row r="9929" spans="27:32" x14ac:dyDescent="0.3">
      <c r="AA9929" s="3">
        <v>15217.67</v>
      </c>
      <c r="AB9929">
        <v>1E-4</v>
      </c>
      <c r="AC9929">
        <v>8</v>
      </c>
      <c r="AD9929" s="5">
        <v>4.8578430291922734</v>
      </c>
      <c r="AE9929" s="5">
        <v>2.2089694101257216</v>
      </c>
      <c r="AF9929">
        <v>1</v>
      </c>
    </row>
    <row r="9930" spans="27:32" x14ac:dyDescent="0.3">
      <c r="AA9930" s="3">
        <v>13877.79</v>
      </c>
      <c r="AB9930">
        <v>1E-4</v>
      </c>
      <c r="AC9930">
        <v>8</v>
      </c>
      <c r="AD9930" s="5">
        <v>5.0388227073801888</v>
      </c>
      <c r="AE9930" s="5">
        <v>2.2891263849517043</v>
      </c>
      <c r="AF9930">
        <v>1</v>
      </c>
    </row>
    <row r="9931" spans="27:32" x14ac:dyDescent="0.3">
      <c r="AA9931" s="3">
        <v>5162.41</v>
      </c>
      <c r="AB9931">
        <v>1E-4</v>
      </c>
      <c r="AC9931">
        <v>8</v>
      </c>
      <c r="AD9931" s="5">
        <v>4.8335780617450155</v>
      </c>
      <c r="AE9931" s="5">
        <v>2.1878381959900559</v>
      </c>
      <c r="AF9931">
        <v>1</v>
      </c>
    </row>
    <row r="9932" spans="27:32" x14ac:dyDescent="0.3">
      <c r="AA9932" s="3">
        <v>27489.62</v>
      </c>
      <c r="AB9932">
        <v>1E-4</v>
      </c>
      <c r="AC9932">
        <v>8</v>
      </c>
      <c r="AD9932" s="5">
        <v>4.8566194655263679</v>
      </c>
      <c r="AE9932" s="5">
        <v>2.1532471419852657</v>
      </c>
      <c r="AF9932">
        <v>1</v>
      </c>
    </row>
    <row r="9933" spans="27:32" x14ac:dyDescent="0.3">
      <c r="AA9933" s="3">
        <v>13005.24</v>
      </c>
      <c r="AB9933">
        <v>1E-4</v>
      </c>
      <c r="AC9933">
        <v>8</v>
      </c>
      <c r="AD9933" s="5">
        <v>4.9615440125039028</v>
      </c>
      <c r="AE9933" s="5">
        <v>2.2566759915097236</v>
      </c>
      <c r="AF9933">
        <v>1</v>
      </c>
    </row>
    <row r="9934" spans="27:32" x14ac:dyDescent="0.3">
      <c r="AA9934" s="3">
        <v>7655.46</v>
      </c>
      <c r="AB9934">
        <v>1E-4</v>
      </c>
      <c r="AC9934">
        <v>8</v>
      </c>
      <c r="AD9934" s="5">
        <v>4.9807551787811946</v>
      </c>
      <c r="AE9934" s="5">
        <v>2.1866466139054745</v>
      </c>
      <c r="AF9934">
        <v>1</v>
      </c>
    </row>
    <row r="9935" spans="27:32" x14ac:dyDescent="0.3">
      <c r="AA9935" s="3">
        <v>6722.23</v>
      </c>
      <c r="AB9935">
        <v>1E-4</v>
      </c>
      <c r="AC9935">
        <v>8</v>
      </c>
      <c r="AD9935" s="5">
        <v>5.092473329778902</v>
      </c>
      <c r="AE9935" s="5">
        <v>2.1942970052650446</v>
      </c>
      <c r="AF9935">
        <v>1</v>
      </c>
    </row>
    <row r="9936" spans="27:32" x14ac:dyDescent="0.3">
      <c r="AA9936" s="3">
        <v>14413.8</v>
      </c>
      <c r="AB9936">
        <v>1E-4</v>
      </c>
      <c r="AC9936">
        <v>8</v>
      </c>
      <c r="AD9936" s="5">
        <v>4.9562781389102932</v>
      </c>
      <c r="AE9936" s="5">
        <v>2.2017060247444005</v>
      </c>
      <c r="AF9936">
        <v>1</v>
      </c>
    </row>
    <row r="9937" spans="27:32" x14ac:dyDescent="0.3">
      <c r="AA9937" s="3">
        <v>30697.84</v>
      </c>
      <c r="AB9937">
        <v>1E-4</v>
      </c>
      <c r="AC9937">
        <v>8</v>
      </c>
      <c r="AD9937" s="5">
        <v>5.0380659635414258</v>
      </c>
      <c r="AE9937" s="5">
        <v>2.1517650441651894</v>
      </c>
      <c r="AF9937">
        <v>1</v>
      </c>
    </row>
    <row r="9938" spans="27:32" x14ac:dyDescent="0.3">
      <c r="AA9938" s="3">
        <v>4877.59</v>
      </c>
      <c r="AB9938">
        <v>1E-4</v>
      </c>
      <c r="AC9938">
        <v>8</v>
      </c>
      <c r="AD9938" s="5">
        <v>4.8895771244506445</v>
      </c>
      <c r="AE9938" s="5">
        <v>2.2242105728617472</v>
      </c>
      <c r="AF9938">
        <v>1</v>
      </c>
    </row>
    <row r="9939" spans="27:32" x14ac:dyDescent="0.3">
      <c r="AA9939" s="3">
        <v>10551.31</v>
      </c>
      <c r="AB9939">
        <v>1E-4</v>
      </c>
      <c r="AC9939">
        <v>8</v>
      </c>
      <c r="AD9939" s="5">
        <v>4.6602846686652146</v>
      </c>
      <c r="AE9939" s="5">
        <v>2.1581534390343302</v>
      </c>
      <c r="AF9939">
        <v>1</v>
      </c>
    </row>
    <row r="9940" spans="27:32" x14ac:dyDescent="0.3">
      <c r="AA9940" s="3">
        <v>21280.02</v>
      </c>
      <c r="AB9940">
        <v>1E-4</v>
      </c>
      <c r="AC9940">
        <v>8</v>
      </c>
      <c r="AD9940" s="5">
        <v>4.9486303270129088</v>
      </c>
      <c r="AE9940" s="5">
        <v>2.1735773904814342</v>
      </c>
      <c r="AF9940">
        <v>1</v>
      </c>
    </row>
    <row r="9941" spans="27:32" x14ac:dyDescent="0.3">
      <c r="AA9941" s="3">
        <v>21042.53</v>
      </c>
      <c r="AB9941">
        <v>1E-4</v>
      </c>
      <c r="AC9941">
        <v>8</v>
      </c>
      <c r="AD9941" s="5">
        <v>4.9206052359468071</v>
      </c>
      <c r="AE9941" s="5">
        <v>2.1454907577778641</v>
      </c>
      <c r="AF9941">
        <v>1</v>
      </c>
    </row>
    <row r="9942" spans="27:32" x14ac:dyDescent="0.3">
      <c r="AA9942" s="3">
        <v>26283.5</v>
      </c>
      <c r="AB9942">
        <v>1E-4</v>
      </c>
      <c r="AC9942">
        <v>8</v>
      </c>
      <c r="AD9942" s="5">
        <v>5.1060692777432894</v>
      </c>
      <c r="AE9942" s="5">
        <v>2.1319207692080702</v>
      </c>
      <c r="AF9942">
        <v>1</v>
      </c>
    </row>
    <row r="9943" spans="27:32" x14ac:dyDescent="0.3">
      <c r="AA9943" s="3">
        <v>19813.61</v>
      </c>
      <c r="AB9943">
        <v>1E-4</v>
      </c>
      <c r="AC9943">
        <v>8</v>
      </c>
      <c r="AD9943" s="5">
        <v>5.0760016709298812</v>
      </c>
      <c r="AE9943" s="5">
        <v>2.175092824786184</v>
      </c>
      <c r="AF9943">
        <v>1</v>
      </c>
    </row>
    <row r="9944" spans="27:32" x14ac:dyDescent="0.3">
      <c r="AA9944" s="3">
        <v>23699.51</v>
      </c>
      <c r="AB9944">
        <v>1E-4</v>
      </c>
      <c r="AC9944">
        <v>8</v>
      </c>
      <c r="AD9944" s="5">
        <v>5.0079459583696222</v>
      </c>
      <c r="AE9944" s="5">
        <v>2.2934541497132335</v>
      </c>
      <c r="AF9944">
        <v>1</v>
      </c>
    </row>
    <row r="9945" spans="27:32" x14ac:dyDescent="0.3">
      <c r="AA9945" s="3">
        <v>12148.94</v>
      </c>
      <c r="AB9945">
        <v>1E-4</v>
      </c>
      <c r="AC9945">
        <v>8</v>
      </c>
      <c r="AD9945" s="5">
        <v>5.051272254830061</v>
      </c>
      <c r="AE9945" s="5">
        <v>2.2219835686619436</v>
      </c>
      <c r="AF9945">
        <v>1</v>
      </c>
    </row>
    <row r="9946" spans="27:32" x14ac:dyDescent="0.3">
      <c r="AA9946" s="3">
        <v>-9321.0499999999993</v>
      </c>
      <c r="AB9946">
        <v>1E-4</v>
      </c>
      <c r="AC9946">
        <v>9</v>
      </c>
      <c r="AD9946" s="5">
        <v>4.9936118336978979</v>
      </c>
      <c r="AE9946" s="5">
        <v>2.1959347302007468</v>
      </c>
      <c r="AF9946">
        <v>1</v>
      </c>
    </row>
    <row r="9947" spans="27:32" x14ac:dyDescent="0.3">
      <c r="AA9947" s="3">
        <v>9406.25</v>
      </c>
      <c r="AB9947">
        <v>1E-4</v>
      </c>
      <c r="AC9947">
        <v>8</v>
      </c>
      <c r="AD9947" s="5">
        <v>4.9743134593007774</v>
      </c>
      <c r="AE9947" s="5">
        <v>2.122155824539484</v>
      </c>
      <c r="AF9947">
        <v>1</v>
      </c>
    </row>
    <row r="9948" spans="27:32" x14ac:dyDescent="0.3">
      <c r="AA9948" s="3">
        <v>20751.09</v>
      </c>
      <c r="AB9948">
        <v>1E-4</v>
      </c>
      <c r="AC9948">
        <v>8</v>
      </c>
      <c r="AD9948" s="5">
        <v>5.0484806785464507</v>
      </c>
      <c r="AE9948" s="5">
        <v>2.2709540685954397</v>
      </c>
      <c r="AF9948">
        <v>1</v>
      </c>
    </row>
    <row r="9949" spans="27:32" x14ac:dyDescent="0.3">
      <c r="AA9949" s="3">
        <v>41478.79</v>
      </c>
      <c r="AB9949">
        <v>1E-4</v>
      </c>
      <c r="AC9949">
        <v>7</v>
      </c>
      <c r="AD9949" s="5">
        <v>4.9796250919907203</v>
      </c>
      <c r="AE9949" s="5">
        <v>2.2342326045572176</v>
      </c>
      <c r="AF9949">
        <v>1</v>
      </c>
    </row>
    <row r="9950" spans="27:32" x14ac:dyDescent="0.3">
      <c r="AA9950" s="3">
        <v>18166.82</v>
      </c>
      <c r="AB9950">
        <v>1E-4</v>
      </c>
      <c r="AC9950">
        <v>8</v>
      </c>
      <c r="AD9950" s="5">
        <v>5.0040334585701585</v>
      </c>
      <c r="AE9950" s="5">
        <v>2.1709280754981348</v>
      </c>
      <c r="AF9950">
        <v>1</v>
      </c>
    </row>
    <row r="9951" spans="27:32" x14ac:dyDescent="0.3">
      <c r="AA9951" s="3">
        <v>34570.550000000003</v>
      </c>
      <c r="AB9951">
        <v>1E-4</v>
      </c>
      <c r="AC9951">
        <v>7</v>
      </c>
      <c r="AD9951" s="5">
        <v>5.157876137960038</v>
      </c>
      <c r="AE9951" s="5">
        <v>2.2387739429513465</v>
      </c>
      <c r="AF9951">
        <v>1</v>
      </c>
    </row>
    <row r="9952" spans="27:32" x14ac:dyDescent="0.3">
      <c r="AA9952" s="3">
        <v>26198.61</v>
      </c>
      <c r="AB9952">
        <v>1E-4</v>
      </c>
      <c r="AC9952">
        <v>8</v>
      </c>
      <c r="AD9952" s="5">
        <v>5.0706220558424748</v>
      </c>
      <c r="AE9952" s="5">
        <v>2.2223041893192477</v>
      </c>
      <c r="AF9952">
        <v>1</v>
      </c>
    </row>
    <row r="9953" spans="27:32" x14ac:dyDescent="0.3">
      <c r="AA9953" s="3">
        <v>30172.03</v>
      </c>
      <c r="AB9953">
        <v>1E-4</v>
      </c>
      <c r="AC9953">
        <v>7</v>
      </c>
      <c r="AD9953" s="5">
        <v>4.9943340646714498</v>
      </c>
      <c r="AE9953" s="5">
        <v>2.1549568284010303</v>
      </c>
      <c r="AF9953">
        <v>1</v>
      </c>
    </row>
    <row r="9954" spans="27:32" x14ac:dyDescent="0.3">
      <c r="AA9954" s="3">
        <v>27772.57</v>
      </c>
      <c r="AB9954">
        <v>1E-4</v>
      </c>
      <c r="AC9954">
        <v>8</v>
      </c>
      <c r="AD9954" s="5">
        <v>4.8956504145569699</v>
      </c>
      <c r="AE9954" s="5">
        <v>2.1911126981732885</v>
      </c>
      <c r="AF9954">
        <v>1</v>
      </c>
    </row>
    <row r="9955" spans="27:32" x14ac:dyDescent="0.3">
      <c r="AA9955" s="3">
        <v>-19746.79</v>
      </c>
      <c r="AB9955">
        <v>1E-4</v>
      </c>
      <c r="AC9955">
        <v>9</v>
      </c>
      <c r="AD9955" s="5">
        <v>4.9961551076328794</v>
      </c>
      <c r="AE9955" s="5">
        <v>2.2536280324955822</v>
      </c>
      <c r="AF9955">
        <v>1</v>
      </c>
    </row>
    <row r="9956" spans="27:32" x14ac:dyDescent="0.3">
      <c r="AA9956" s="3">
        <v>-4299.13</v>
      </c>
      <c r="AB9956">
        <v>1E-4</v>
      </c>
      <c r="AC9956">
        <v>9</v>
      </c>
      <c r="AD9956" s="5">
        <v>5.0824143470948409</v>
      </c>
      <c r="AE9956" s="5">
        <v>2.1863076930296113</v>
      </c>
      <c r="AF9956">
        <v>1</v>
      </c>
    </row>
    <row r="9957" spans="27:32" x14ac:dyDescent="0.3">
      <c r="AA9957" s="3">
        <v>15438.11</v>
      </c>
      <c r="AB9957">
        <v>1E-4</v>
      </c>
      <c r="AC9957">
        <v>8</v>
      </c>
      <c r="AD9957" s="5">
        <v>4.8728873508960033</v>
      </c>
      <c r="AE9957" s="5">
        <v>2.185502598836083</v>
      </c>
      <c r="AF9957">
        <v>1</v>
      </c>
    </row>
    <row r="9958" spans="27:32" x14ac:dyDescent="0.3">
      <c r="AA9958" s="3">
        <v>9881.84</v>
      </c>
      <c r="AB9958">
        <v>1E-4</v>
      </c>
      <c r="AC9958">
        <v>8</v>
      </c>
      <c r="AD9958" s="5">
        <v>4.999430692028958</v>
      </c>
      <c r="AE9958" s="5">
        <v>2.2313221444337512</v>
      </c>
      <c r="AF9958">
        <v>1</v>
      </c>
    </row>
    <row r="9959" spans="27:32" x14ac:dyDescent="0.3">
      <c r="AA9959" s="3">
        <v>47289.94</v>
      </c>
      <c r="AB9959">
        <v>1E-4</v>
      </c>
      <c r="AC9959">
        <v>7</v>
      </c>
      <c r="AD9959" s="5">
        <v>5.0829310926597602</v>
      </c>
      <c r="AE9959" s="5">
        <v>2.2544923278920344</v>
      </c>
      <c r="AF9959">
        <v>1</v>
      </c>
    </row>
    <row r="9960" spans="27:32" x14ac:dyDescent="0.3">
      <c r="AA9960" s="3">
        <v>24428.34</v>
      </c>
      <c r="AB9960">
        <v>1E-4</v>
      </c>
      <c r="AC9960">
        <v>8</v>
      </c>
      <c r="AD9960" s="5">
        <v>4.9075249506263017</v>
      </c>
      <c r="AE9960" s="5">
        <v>2.1430629728257244</v>
      </c>
      <c r="AF9960">
        <v>1</v>
      </c>
    </row>
    <row r="9961" spans="27:32" x14ac:dyDescent="0.3">
      <c r="AA9961" s="3">
        <v>26012.39</v>
      </c>
      <c r="AB9961">
        <v>1E-4</v>
      </c>
      <c r="AC9961">
        <v>8</v>
      </c>
      <c r="AD9961" s="5">
        <v>5.0350435093893928</v>
      </c>
      <c r="AE9961" s="5">
        <v>2.1531540258893047</v>
      </c>
      <c r="AF9961">
        <v>1</v>
      </c>
    </row>
    <row r="9962" spans="27:32" x14ac:dyDescent="0.3">
      <c r="AA9962" s="3">
        <v>12845.29</v>
      </c>
      <c r="AB9962">
        <v>1E-4</v>
      </c>
      <c r="AC9962">
        <v>8</v>
      </c>
      <c r="AD9962" s="5">
        <v>4.8387471608375412</v>
      </c>
      <c r="AE9962" s="5">
        <v>2.2096109863421365</v>
      </c>
      <c r="AF9962">
        <v>1</v>
      </c>
    </row>
    <row r="9963" spans="27:32" x14ac:dyDescent="0.3">
      <c r="AA9963" s="3">
        <v>-5900.78</v>
      </c>
      <c r="AB9963">
        <v>1E-4</v>
      </c>
      <c r="AC9963">
        <v>9</v>
      </c>
      <c r="AD9963" s="5">
        <v>4.9848353272234451</v>
      </c>
      <c r="AE9963" s="5">
        <v>2.190524419264908</v>
      </c>
      <c r="AF9963">
        <v>1</v>
      </c>
    </row>
    <row r="9964" spans="27:32" x14ac:dyDescent="0.3">
      <c r="AA9964" s="3">
        <v>12484.59</v>
      </c>
      <c r="AB9964">
        <v>1E-4</v>
      </c>
      <c r="AC9964">
        <v>8</v>
      </c>
      <c r="AD9964" s="5">
        <v>4.9008142095824034</v>
      </c>
      <c r="AE9964" s="5">
        <v>2.2171102198937422</v>
      </c>
      <c r="AF9964">
        <v>1</v>
      </c>
    </row>
    <row r="9965" spans="27:32" x14ac:dyDescent="0.3">
      <c r="AA9965" s="3">
        <v>5545.97</v>
      </c>
      <c r="AB9965">
        <v>1E-4</v>
      </c>
      <c r="AC9965">
        <v>8</v>
      </c>
      <c r="AD9965" s="5">
        <v>4.8109473253864223</v>
      </c>
      <c r="AE9965" s="5">
        <v>2.1941716161136555</v>
      </c>
      <c r="AF9965">
        <v>1</v>
      </c>
    </row>
    <row r="9966" spans="27:32" x14ac:dyDescent="0.3">
      <c r="AA9966" s="3">
        <v>15240.15</v>
      </c>
      <c r="AB9966">
        <v>1E-4</v>
      </c>
      <c r="AC9966">
        <v>8</v>
      </c>
      <c r="AD9966" s="5">
        <v>5.06625732242646</v>
      </c>
      <c r="AE9966" s="5">
        <v>2.2531272713624988</v>
      </c>
      <c r="AF9966">
        <v>1</v>
      </c>
    </row>
    <row r="9967" spans="27:32" x14ac:dyDescent="0.3">
      <c r="AA9967" s="3">
        <v>-17679.714276124309</v>
      </c>
      <c r="AB9967">
        <v>1E-4</v>
      </c>
      <c r="AC9967">
        <v>8</v>
      </c>
      <c r="AD9967" s="5">
        <v>5.0516810952073197</v>
      </c>
      <c r="AE9967" s="5">
        <v>2.1017272547773089</v>
      </c>
      <c r="AF9967">
        <v>0</v>
      </c>
    </row>
    <row r="9968" spans="27:32" x14ac:dyDescent="0.3">
      <c r="AA9968" s="3">
        <v>-6406.21</v>
      </c>
      <c r="AB9968">
        <v>1E-4</v>
      </c>
      <c r="AC9968">
        <v>9</v>
      </c>
      <c r="AD9968" s="5">
        <v>4.8807862683218763</v>
      </c>
      <c r="AE9968" s="5">
        <v>2.201109608207994</v>
      </c>
      <c r="AF9968">
        <v>1</v>
      </c>
    </row>
    <row r="9969" spans="27:32" x14ac:dyDescent="0.3">
      <c r="AA9969" s="3">
        <v>20172.400000000001</v>
      </c>
      <c r="AB9969">
        <v>1E-4</v>
      </c>
      <c r="AC9969">
        <v>8</v>
      </c>
      <c r="AD9969" s="5">
        <v>5.0458341134888025</v>
      </c>
      <c r="AE9969" s="5">
        <v>2.1255022271904225</v>
      </c>
      <c r="AF9969">
        <v>1</v>
      </c>
    </row>
    <row r="9970" spans="27:32" x14ac:dyDescent="0.3">
      <c r="AA9970" s="3">
        <v>15574.95</v>
      </c>
      <c r="AB9970">
        <v>1E-4</v>
      </c>
      <c r="AC9970">
        <v>8</v>
      </c>
      <c r="AD9970" s="5">
        <v>4.9381020937146056</v>
      </c>
      <c r="AE9970" s="5">
        <v>2.2014515550320461</v>
      </c>
      <c r="AF9970">
        <v>1</v>
      </c>
    </row>
    <row r="9971" spans="27:32" x14ac:dyDescent="0.3">
      <c r="AA9971" s="3">
        <v>-8990.33</v>
      </c>
      <c r="AB9971">
        <v>1E-4</v>
      </c>
      <c r="AC9971">
        <v>9</v>
      </c>
      <c r="AD9971" s="5">
        <v>4.9268575558944985</v>
      </c>
      <c r="AE9971" s="5">
        <v>2.2188944792857632</v>
      </c>
      <c r="AF9971">
        <v>1</v>
      </c>
    </row>
    <row r="9972" spans="27:32" x14ac:dyDescent="0.3">
      <c r="AA9972" s="3">
        <v>14230.3</v>
      </c>
      <c r="AB9972">
        <v>1E-4</v>
      </c>
      <c r="AC9972">
        <v>8</v>
      </c>
      <c r="AD9972" s="5">
        <v>5.0178158107838016</v>
      </c>
      <c r="AE9972" s="5">
        <v>2.2426342812041127</v>
      </c>
      <c r="AF9972">
        <v>1</v>
      </c>
    </row>
    <row r="9973" spans="27:32" x14ac:dyDescent="0.3">
      <c r="AA9973" s="3">
        <v>12692.08</v>
      </c>
      <c r="AB9973">
        <v>1E-4</v>
      </c>
      <c r="AC9973">
        <v>8</v>
      </c>
      <c r="AD9973" s="5">
        <v>4.8789292028403519</v>
      </c>
      <c r="AE9973" s="5">
        <v>2.2585954162603255</v>
      </c>
      <c r="AF9973">
        <v>1</v>
      </c>
    </row>
    <row r="9974" spans="27:32" x14ac:dyDescent="0.3">
      <c r="AA9974" s="3">
        <v>7063.11</v>
      </c>
      <c r="AB9974">
        <v>1E-4</v>
      </c>
      <c r="AC9974">
        <v>8</v>
      </c>
      <c r="AD9974" s="5">
        <v>4.8254700131792436</v>
      </c>
      <c r="AE9974" s="5">
        <v>2.2566901042586842</v>
      </c>
      <c r="AF9974">
        <v>1</v>
      </c>
    </row>
    <row r="9975" spans="27:32" x14ac:dyDescent="0.3">
      <c r="AA9975" s="3">
        <v>17211.28</v>
      </c>
      <c r="AB9975">
        <v>1E-4</v>
      </c>
      <c r="AC9975">
        <v>8</v>
      </c>
      <c r="AD9975" s="5">
        <v>4.9096091883230422</v>
      </c>
      <c r="AE9975" s="5">
        <v>2.1443070699430353</v>
      </c>
      <c r="AF9975">
        <v>1</v>
      </c>
    </row>
    <row r="9976" spans="27:32" x14ac:dyDescent="0.3">
      <c r="AA9976" s="3">
        <v>-923.2</v>
      </c>
      <c r="AB9976">
        <v>1E-4</v>
      </c>
      <c r="AC9976">
        <v>9</v>
      </c>
      <c r="AD9976" s="5">
        <v>4.9251771315719974</v>
      </c>
      <c r="AE9976" s="5">
        <v>2.1462712607568917</v>
      </c>
      <c r="AF9976">
        <v>1</v>
      </c>
    </row>
    <row r="9977" spans="27:32" x14ac:dyDescent="0.3">
      <c r="AA9977" s="3">
        <v>25943.66</v>
      </c>
      <c r="AB9977">
        <v>1E-4</v>
      </c>
      <c r="AC9977">
        <v>8</v>
      </c>
      <c r="AD9977" s="5">
        <v>4.974260748985138</v>
      </c>
      <c r="AE9977" s="5">
        <v>2.2415723016938363</v>
      </c>
      <c r="AF9977">
        <v>1</v>
      </c>
    </row>
    <row r="9978" spans="27:32" x14ac:dyDescent="0.3">
      <c r="AA9978" s="3">
        <v>3251.49</v>
      </c>
      <c r="AB9978">
        <v>1E-4</v>
      </c>
      <c r="AC9978">
        <v>8</v>
      </c>
      <c r="AD9978" s="5">
        <v>5.1003761110947465</v>
      </c>
      <c r="AE9978" s="5">
        <v>2.2438181687258867</v>
      </c>
      <c r="AF9978">
        <v>1</v>
      </c>
    </row>
    <row r="9979" spans="27:32" x14ac:dyDescent="0.3">
      <c r="AA9979" s="3">
        <v>-2725.81</v>
      </c>
      <c r="AB9979">
        <v>1E-4</v>
      </c>
      <c r="AC9979">
        <v>9</v>
      </c>
      <c r="AD9979" s="5">
        <v>4.8749989462599421</v>
      </c>
      <c r="AE9979" s="5">
        <v>2.2593970188205144</v>
      </c>
      <c r="AF9979">
        <v>1</v>
      </c>
    </row>
    <row r="9980" spans="27:32" x14ac:dyDescent="0.3">
      <c r="AA9980" s="3">
        <v>-15356.761088755857</v>
      </c>
      <c r="AB9980">
        <v>1E-4</v>
      </c>
      <c r="AC9980">
        <v>8</v>
      </c>
      <c r="AD9980" s="5">
        <v>5.0716643544422784</v>
      </c>
      <c r="AE9980" s="5">
        <v>2.139820158984659</v>
      </c>
      <c r="AF9980">
        <v>0</v>
      </c>
    </row>
    <row r="9981" spans="27:32" x14ac:dyDescent="0.3">
      <c r="AA9981" s="3">
        <v>3406.72</v>
      </c>
      <c r="AB9981">
        <v>1E-4</v>
      </c>
      <c r="AC9981">
        <v>8</v>
      </c>
      <c r="AD9981" s="5">
        <v>5.0170385709216507</v>
      </c>
      <c r="AE9981" s="5">
        <v>2.2060230822043891</v>
      </c>
      <c r="AF9981">
        <v>1</v>
      </c>
    </row>
    <row r="9982" spans="27:32" x14ac:dyDescent="0.3">
      <c r="AA9982" s="3">
        <v>-18538.95</v>
      </c>
      <c r="AB9982">
        <v>1E-4</v>
      </c>
      <c r="AC9982">
        <v>9</v>
      </c>
      <c r="AD9982" s="5">
        <v>4.8200127082511433</v>
      </c>
      <c r="AE9982" s="5">
        <v>2.2995851776161609</v>
      </c>
      <c r="AF9982">
        <v>1</v>
      </c>
    </row>
    <row r="9983" spans="27:32" x14ac:dyDescent="0.3">
      <c r="AA9983" s="3">
        <v>8812.3799999999992</v>
      </c>
      <c r="AB9983">
        <v>1E-4</v>
      </c>
      <c r="AC9983">
        <v>8</v>
      </c>
      <c r="AD9983" s="5">
        <v>5.0931665337786791</v>
      </c>
      <c r="AE9983" s="5">
        <v>2.1850820736382768</v>
      </c>
      <c r="AF9983">
        <v>1</v>
      </c>
    </row>
    <row r="9984" spans="27:32" x14ac:dyDescent="0.3">
      <c r="AA9984" s="3">
        <v>16860.830000000002</v>
      </c>
      <c r="AB9984">
        <v>1E-4</v>
      </c>
      <c r="AC9984">
        <v>8</v>
      </c>
      <c r="AD9984" s="5">
        <v>4.946941661350083</v>
      </c>
      <c r="AE9984" s="5">
        <v>2.2716770855884008</v>
      </c>
      <c r="AF9984">
        <v>1</v>
      </c>
    </row>
    <row r="9985" spans="27:32" x14ac:dyDescent="0.3">
      <c r="AA9985" s="3">
        <v>12596.47</v>
      </c>
      <c r="AB9985">
        <v>1E-4</v>
      </c>
      <c r="AC9985">
        <v>8</v>
      </c>
      <c r="AD9985" s="5">
        <v>4.9967364892892689</v>
      </c>
      <c r="AE9985" s="5">
        <v>2.2098905907790556</v>
      </c>
      <c r="AF9985">
        <v>1</v>
      </c>
    </row>
    <row r="9986" spans="27:32" x14ac:dyDescent="0.3">
      <c r="AA9986" s="3">
        <v>27764.7</v>
      </c>
      <c r="AB9986">
        <v>1E-4</v>
      </c>
      <c r="AC9986">
        <v>8</v>
      </c>
      <c r="AD9986" s="5">
        <v>4.9533761370914515</v>
      </c>
      <c r="AE9986" s="5">
        <v>2.2253436087109826</v>
      </c>
      <c r="AF9986">
        <v>1</v>
      </c>
    </row>
    <row r="9987" spans="27:32" x14ac:dyDescent="0.3">
      <c r="AA9987" s="3">
        <v>6410.67</v>
      </c>
      <c r="AB9987">
        <v>1E-4</v>
      </c>
      <c r="AC9987">
        <v>8</v>
      </c>
      <c r="AD9987" s="5">
        <v>5.1097164033839819</v>
      </c>
      <c r="AE9987" s="5">
        <v>2.2154258811056255</v>
      </c>
      <c r="AF9987">
        <v>1</v>
      </c>
    </row>
    <row r="9988" spans="27:32" x14ac:dyDescent="0.3">
      <c r="AA9988" s="3">
        <v>19649.36</v>
      </c>
      <c r="AB9988">
        <v>1E-4</v>
      </c>
      <c r="AC9988">
        <v>8</v>
      </c>
      <c r="AD9988" s="5">
        <v>4.9744989899401393</v>
      </c>
      <c r="AE9988" s="5">
        <v>2.1050653187517696</v>
      </c>
      <c r="AF9988">
        <v>1</v>
      </c>
    </row>
    <row r="9989" spans="27:32" x14ac:dyDescent="0.3">
      <c r="AA9989" s="3">
        <v>-23408.83</v>
      </c>
      <c r="AB9989">
        <v>1E-4</v>
      </c>
      <c r="AC9989">
        <v>9</v>
      </c>
      <c r="AD9989" s="5">
        <v>5.0282263407093932</v>
      </c>
      <c r="AE9989" s="5">
        <v>2.2298615781054929</v>
      </c>
      <c r="AF9989">
        <v>1</v>
      </c>
    </row>
    <row r="9990" spans="27:32" x14ac:dyDescent="0.3">
      <c r="AA9990" s="3">
        <v>42783.15</v>
      </c>
      <c r="AB9990">
        <v>1E-4</v>
      </c>
      <c r="AC9990">
        <v>7</v>
      </c>
      <c r="AD9990" s="5">
        <v>5.0792812571519965</v>
      </c>
      <c r="AE9990" s="5">
        <v>2.1631728350467405</v>
      </c>
      <c r="AF9990">
        <v>1</v>
      </c>
    </row>
    <row r="9991" spans="27:32" x14ac:dyDescent="0.3">
      <c r="AA9991" s="3">
        <v>11812.4</v>
      </c>
      <c r="AB9991">
        <v>1E-4</v>
      </c>
      <c r="AC9991">
        <v>8</v>
      </c>
      <c r="AD9991" s="5">
        <v>4.8980987965349092</v>
      </c>
      <c r="AE9991" s="5">
        <v>2.2114076968584833</v>
      </c>
      <c r="AF9991">
        <v>1</v>
      </c>
    </row>
    <row r="9992" spans="27:32" x14ac:dyDescent="0.3">
      <c r="AA9992" s="3">
        <v>3500.66</v>
      </c>
      <c r="AB9992">
        <v>1E-4</v>
      </c>
      <c r="AC9992">
        <v>8</v>
      </c>
      <c r="AD9992" s="5">
        <v>5.0173899921661862</v>
      </c>
      <c r="AE9992" s="5">
        <v>2.2422840657340877</v>
      </c>
      <c r="AF9992">
        <v>1</v>
      </c>
    </row>
    <row r="9993" spans="27:32" x14ac:dyDescent="0.3">
      <c r="AA9993" s="3">
        <v>3156.33</v>
      </c>
      <c r="AB9993">
        <v>1E-4</v>
      </c>
      <c r="AC9993">
        <v>8</v>
      </c>
      <c r="AD9993" s="5">
        <v>5.1761713210919478</v>
      </c>
      <c r="AE9993" s="5">
        <v>2.2193232153747853</v>
      </c>
      <c r="AF9993">
        <v>1</v>
      </c>
    </row>
    <row r="9994" spans="27:32" x14ac:dyDescent="0.3">
      <c r="AA9994" s="3">
        <v>-11381.18</v>
      </c>
      <c r="AB9994">
        <v>1E-4</v>
      </c>
      <c r="AC9994">
        <v>9</v>
      </c>
      <c r="AD9994" s="5">
        <v>5.0406215638293537</v>
      </c>
      <c r="AE9994" s="5">
        <v>2.1748005590331045</v>
      </c>
      <c r="AF9994">
        <v>1</v>
      </c>
    </row>
    <row r="9995" spans="27:32" x14ac:dyDescent="0.3">
      <c r="AA9995" s="3">
        <v>906.41</v>
      </c>
      <c r="AB9995">
        <v>1E-4</v>
      </c>
      <c r="AC9995">
        <v>8</v>
      </c>
      <c r="AD9995" s="5">
        <v>5.047363979449516</v>
      </c>
      <c r="AE9995" s="5">
        <v>2.1393469347054088</v>
      </c>
      <c r="AF9995">
        <v>1</v>
      </c>
    </row>
    <row r="9996" spans="27:32" x14ac:dyDescent="0.3">
      <c r="AA9996" s="3">
        <v>17956.11</v>
      </c>
      <c r="AB9996">
        <v>1E-4</v>
      </c>
      <c r="AC9996">
        <v>8</v>
      </c>
      <c r="AD9996" s="5">
        <v>5.0372841223580416</v>
      </c>
      <c r="AE9996" s="5">
        <v>2.1927712428614226</v>
      </c>
      <c r="AF9996">
        <v>1</v>
      </c>
    </row>
    <row r="9997" spans="27:32" x14ac:dyDescent="0.3">
      <c r="AA9997" s="3">
        <v>50467.01</v>
      </c>
      <c r="AB9997">
        <v>1E-4</v>
      </c>
      <c r="AC9997">
        <v>6</v>
      </c>
      <c r="AD9997" s="5">
        <v>5.1326438939736816</v>
      </c>
      <c r="AE9997" s="5">
        <v>2.1769937510666844</v>
      </c>
      <c r="AF9997">
        <v>1</v>
      </c>
    </row>
    <row r="9998" spans="27:32" x14ac:dyDescent="0.3">
      <c r="AA9998" s="3">
        <v>11097.87</v>
      </c>
      <c r="AB9998">
        <v>1E-4</v>
      </c>
      <c r="AC9998">
        <v>8</v>
      </c>
      <c r="AD9998" s="5">
        <v>4.9880833485735847</v>
      </c>
      <c r="AE9998" s="5">
        <v>2.2510198846646818</v>
      </c>
      <c r="AF9998">
        <v>1</v>
      </c>
    </row>
    <row r="9999" spans="27:32" x14ac:dyDescent="0.3">
      <c r="AA9999" s="3">
        <v>33472.92</v>
      </c>
      <c r="AB9999">
        <v>1E-4</v>
      </c>
      <c r="AC9999">
        <v>7</v>
      </c>
      <c r="AD9999" s="5">
        <v>5.1945776941389727</v>
      </c>
      <c r="AE9999" s="5">
        <v>2.2583372934132777</v>
      </c>
      <c r="AF9999">
        <v>1</v>
      </c>
    </row>
    <row r="10000" spans="27:32" x14ac:dyDescent="0.3">
      <c r="AA10000" s="3">
        <v>7325.95</v>
      </c>
      <c r="AB10000">
        <v>1E-4</v>
      </c>
      <c r="AC10000">
        <v>8</v>
      </c>
      <c r="AD10000" s="5">
        <v>4.9991293445055351</v>
      </c>
      <c r="AE10000" s="5">
        <v>2.2609709771727244</v>
      </c>
      <c r="AF10000">
        <v>1</v>
      </c>
    </row>
    <row r="10001" spans="27:33" x14ac:dyDescent="0.3">
      <c r="AA10001" s="3">
        <v>23703.34</v>
      </c>
      <c r="AB10001">
        <v>1E-4</v>
      </c>
      <c r="AC10001">
        <v>8</v>
      </c>
      <c r="AD10001" s="5">
        <v>5.1315337028030008</v>
      </c>
      <c r="AE10001" s="5">
        <v>2.2421834396463916</v>
      </c>
      <c r="AF10001">
        <v>1</v>
      </c>
      <c r="AG10001">
        <v>9000</v>
      </c>
    </row>
  </sheetData>
  <conditionalFormatting sqref="I34:Q34">
    <cfRule type="cellIs" dxfId="1" priority="2" operator="greaterThan">
      <formula>0</formula>
    </cfRule>
  </conditionalFormatting>
  <conditionalFormatting sqref="J34:Q34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ignoredErrors>
    <ignoredError sqref="T10 T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57B7-914D-4A8F-B53B-667AF2BC049A}">
  <dimension ref="A1:J9"/>
  <sheetViews>
    <sheetView workbookViewId="0">
      <selection activeCell="B2" sqref="B2"/>
    </sheetView>
  </sheetViews>
  <sheetFormatPr baseColWidth="10" defaultRowHeight="14.4" x14ac:dyDescent="0.3"/>
  <cols>
    <col min="1" max="1" width="23.77734375" customWidth="1"/>
  </cols>
  <sheetData>
    <row r="1" spans="1:10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 t="s">
        <v>66</v>
      </c>
    </row>
    <row r="2" spans="1:10" x14ac:dyDescent="0.3">
      <c r="A2" s="2" t="s">
        <v>3</v>
      </c>
      <c r="B2">
        <f>'Flujo de Caja'!D2/5</f>
        <v>13920</v>
      </c>
      <c r="C2">
        <f t="shared" ref="C2:I3" si="0">+B2</f>
        <v>13920</v>
      </c>
      <c r="D2">
        <f t="shared" si="0"/>
        <v>13920</v>
      </c>
      <c r="E2">
        <f t="shared" si="0"/>
        <v>13920</v>
      </c>
      <c r="F2">
        <f t="shared" si="0"/>
        <v>13920</v>
      </c>
      <c r="J2">
        <v>0</v>
      </c>
    </row>
    <row r="3" spans="1:10" x14ac:dyDescent="0.3">
      <c r="A3" s="2" t="s">
        <v>5</v>
      </c>
      <c r="B3">
        <f>'Flujo de Caja'!D3/40</f>
        <v>435</v>
      </c>
      <c r="C3">
        <f t="shared" si="0"/>
        <v>435</v>
      </c>
      <c r="D3">
        <f t="shared" si="0"/>
        <v>435</v>
      </c>
      <c r="E3">
        <f t="shared" si="0"/>
        <v>435</v>
      </c>
      <c r="F3">
        <f t="shared" si="0"/>
        <v>435</v>
      </c>
      <c r="G3">
        <f t="shared" si="0"/>
        <v>435</v>
      </c>
      <c r="H3">
        <f t="shared" si="0"/>
        <v>435</v>
      </c>
      <c r="I3">
        <f t="shared" si="0"/>
        <v>435</v>
      </c>
      <c r="J3">
        <f>35000-SUM(B3:I3)</f>
        <v>31520</v>
      </c>
    </row>
    <row r="4" spans="1:10" x14ac:dyDescent="0.3">
      <c r="A4" s="2" t="s">
        <v>58</v>
      </c>
      <c r="B4">
        <f>+B3+B2</f>
        <v>14355</v>
      </c>
      <c r="C4">
        <f t="shared" ref="C4:I4" si="1">+C3+C2</f>
        <v>14355</v>
      </c>
      <c r="D4">
        <f t="shared" si="1"/>
        <v>14355</v>
      </c>
      <c r="E4">
        <f t="shared" si="1"/>
        <v>14355</v>
      </c>
      <c r="F4">
        <f t="shared" si="1"/>
        <v>14355</v>
      </c>
      <c r="G4">
        <f t="shared" si="1"/>
        <v>435</v>
      </c>
      <c r="H4">
        <f t="shared" si="1"/>
        <v>435</v>
      </c>
      <c r="I4">
        <f t="shared" si="1"/>
        <v>435</v>
      </c>
    </row>
    <row r="6" spans="1:10" x14ac:dyDescent="0.3">
      <c r="A6" t="s">
        <v>67</v>
      </c>
    </row>
    <row r="7" spans="1:10" x14ac:dyDescent="0.3">
      <c r="A7" t="s">
        <v>7</v>
      </c>
      <c r="B7" s="3">
        <f>+'Flujo de Caja'!D5/4</f>
        <v>2175</v>
      </c>
      <c r="C7" s="3">
        <f>+B7</f>
        <v>2175</v>
      </c>
      <c r="D7" s="3">
        <f t="shared" ref="D7:E7" si="2">+C7</f>
        <v>2175</v>
      </c>
      <c r="E7" s="3">
        <f t="shared" si="2"/>
        <v>2175</v>
      </c>
    </row>
    <row r="8" spans="1:10" x14ac:dyDescent="0.3">
      <c r="A8" t="s">
        <v>8</v>
      </c>
      <c r="B8" s="3">
        <f>+'Flujo de Caja'!B6/4</f>
        <v>1250</v>
      </c>
      <c r="C8" s="3">
        <f>+B8</f>
        <v>1250</v>
      </c>
      <c r="D8" s="3">
        <f t="shared" ref="D8:E8" si="3">+C8</f>
        <v>1250</v>
      </c>
      <c r="E8" s="3">
        <f t="shared" si="3"/>
        <v>1250</v>
      </c>
    </row>
    <row r="9" spans="1:10" x14ac:dyDescent="0.3">
      <c r="A9" t="s">
        <v>68</v>
      </c>
      <c r="B9" s="3">
        <f>+B8+B7</f>
        <v>3425</v>
      </c>
      <c r="C9" s="3">
        <f t="shared" ref="C9:I9" si="4">+C8+C7</f>
        <v>3425</v>
      </c>
      <c r="D9" s="3">
        <f t="shared" si="4"/>
        <v>3425</v>
      </c>
      <c r="E9" s="3">
        <f t="shared" si="4"/>
        <v>3425</v>
      </c>
      <c r="F9" s="3">
        <f t="shared" si="4"/>
        <v>0</v>
      </c>
      <c r="G9" s="3">
        <f t="shared" si="4"/>
        <v>0</v>
      </c>
      <c r="H9" s="3">
        <f t="shared" si="4"/>
        <v>0</v>
      </c>
      <c r="I9" s="3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Escenario Base</vt:lpstr>
      <vt:lpstr>Flujo de Caja</vt:lpstr>
      <vt:lpstr>Depreciacion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2026-04-10T02:27:33Z</dcterms:created>
  <dcterms:modified xsi:type="dcterms:W3CDTF">2026-05-07T12:12:21Z</dcterms:modified>
</cp:coreProperties>
</file>